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me02/Documents/SynTiSeD_data/noUPC/"/>
    </mc:Choice>
  </mc:AlternateContent>
  <xr:revisionPtr revIDLastSave="0" documentId="13_ncr:1_{75CA5D6E-0ABD-1B4A-9A3D-2C6FBAD980CF}" xr6:coauthVersionLast="47" xr6:coauthVersionMax="47" xr10:uidLastSave="{00000000-0000-0000-0000-000000000000}"/>
  <bookViews>
    <workbookView xWindow="0" yWindow="500" windowWidth="29040" windowHeight="17640" xr2:uid="{FC2E3554-D7D3-4A9E-B1F9-EEFBB52B2312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47" i="1" l="1"/>
  <c r="J47" i="1"/>
  <c r="I47" i="1"/>
  <c r="H47" i="1"/>
  <c r="G47" i="1"/>
  <c r="F47" i="1"/>
  <c r="K45" i="1"/>
  <c r="J45" i="1"/>
  <c r="I45" i="1"/>
  <c r="H45" i="1"/>
  <c r="G45" i="1"/>
  <c r="F45" i="1"/>
  <c r="K43" i="1"/>
  <c r="J43" i="1"/>
  <c r="I43" i="1"/>
  <c r="H43" i="1"/>
  <c r="G43" i="1"/>
  <c r="F43" i="1"/>
  <c r="K41" i="1"/>
  <c r="J41" i="1"/>
  <c r="I41" i="1"/>
  <c r="H41" i="1"/>
  <c r="G41" i="1"/>
  <c r="F41" i="1"/>
  <c r="K39" i="1"/>
  <c r="J39" i="1"/>
  <c r="I39" i="1"/>
  <c r="H39" i="1"/>
  <c r="G39" i="1"/>
  <c r="F39" i="1"/>
  <c r="K35" i="1"/>
  <c r="J35" i="1"/>
  <c r="I35" i="1"/>
  <c r="H35" i="1"/>
  <c r="G35" i="1"/>
  <c r="F35" i="1"/>
  <c r="K33" i="1"/>
  <c r="J33" i="1"/>
  <c r="I33" i="1"/>
  <c r="H33" i="1"/>
  <c r="G33" i="1"/>
  <c r="F33" i="1"/>
  <c r="K31" i="1"/>
  <c r="J31" i="1"/>
  <c r="I31" i="1"/>
  <c r="H31" i="1"/>
  <c r="G31" i="1"/>
  <c r="F31" i="1"/>
  <c r="K29" i="1"/>
  <c r="J29" i="1"/>
  <c r="I29" i="1"/>
  <c r="H29" i="1"/>
  <c r="G29" i="1"/>
  <c r="F29" i="1"/>
  <c r="K27" i="1"/>
  <c r="J27" i="1"/>
  <c r="I27" i="1"/>
  <c r="H27" i="1"/>
  <c r="G27" i="1"/>
  <c r="F27" i="1"/>
  <c r="K23" i="1"/>
  <c r="J23" i="1"/>
  <c r="I23" i="1"/>
  <c r="H23" i="1"/>
  <c r="G23" i="1"/>
  <c r="G11" i="1" s="1"/>
  <c r="F23" i="1"/>
  <c r="K21" i="1"/>
  <c r="J21" i="1"/>
  <c r="I21" i="1"/>
  <c r="H21" i="1"/>
  <c r="G21" i="1"/>
  <c r="F21" i="1"/>
  <c r="K19" i="1"/>
  <c r="J19" i="1"/>
  <c r="I19" i="1"/>
  <c r="H19" i="1"/>
  <c r="G19" i="1"/>
  <c r="F19" i="1"/>
  <c r="K17" i="1"/>
  <c r="J17" i="1"/>
  <c r="I17" i="1"/>
  <c r="H17" i="1"/>
  <c r="G17" i="1"/>
  <c r="F17" i="1"/>
  <c r="K15" i="1"/>
  <c r="J15" i="1"/>
  <c r="I15" i="1"/>
  <c r="H15" i="1"/>
  <c r="G15" i="1"/>
  <c r="F15" i="1"/>
  <c r="G8" i="1" l="1"/>
  <c r="G7" i="1"/>
  <c r="G9" i="1"/>
  <c r="G10" i="1"/>
</calcChain>
</file>

<file path=xl/sharedStrings.xml><?xml version="1.0" encoding="utf-8"?>
<sst xmlns="http://schemas.openxmlformats.org/spreadsheetml/2006/main" count="78" uniqueCount="46">
  <si>
    <t>Konfig:</t>
  </si>
  <si>
    <t>device: kettle</t>
  </si>
  <si>
    <t>NILM Algorithms:</t>
  </si>
  <si>
    <t>Metric</t>
  </si>
  <si>
    <t>Mean</t>
  </si>
  <si>
    <t>Experiments</t>
  </si>
  <si>
    <t>MAE</t>
  </si>
  <si>
    <t>DAE</t>
  </si>
  <si>
    <t>RNN</t>
  </si>
  <si>
    <t>WindowGRU</t>
  </si>
  <si>
    <t>Seq2Seq</t>
  </si>
  <si>
    <t>Seq2Point</t>
  </si>
  <si>
    <t>Max</t>
  </si>
  <si>
    <t>Min</t>
  </si>
  <si>
    <t>Variance</t>
  </si>
  <si>
    <t>Standart deviation</t>
  </si>
  <si>
    <t>für alle Algorithmen stardart NILM settings</t>
  </si>
  <si>
    <t>Number of exp</t>
  </si>
  <si>
    <t>gelap.h5</t>
  </si>
  <si>
    <t>buildings': 8</t>
  </si>
  <si>
    <t>buildings': 11</t>
  </si>
  <si>
    <t>buildings': 17</t>
  </si>
  <si>
    <t>reale Testdaten(hh_08):</t>
  </si>
  <si>
    <t>reale Testdaten(hh_11):</t>
  </si>
  <si>
    <t>reale Testdaten(hh_17):</t>
  </si>
  <si>
    <t>start_time': '2020-01-03'</t>
  </si>
  <si>
    <t>end_time': '2020-01-31'</t>
  </si>
  <si>
    <t>start_time': '2019-12-12'</t>
  </si>
  <si>
    <t>end_time': '2019-12-29'</t>
  </si>
  <si>
    <t>start_time': '2020-01-07'</t>
  </si>
  <si>
    <t>start_time': '2020-01-31'</t>
  </si>
  <si>
    <t>validierung: Validation from training data (15%)</t>
  </si>
  <si>
    <t>train_synth (hh_01):</t>
  </si>
  <si>
    <t>train_synth (hh_04):</t>
  </si>
  <si>
    <t>train_synth (hh_07):</t>
  </si>
  <si>
    <t>train_synth (hh_14):</t>
  </si>
  <si>
    <t>RNN_total</t>
  </si>
  <si>
    <t>WindowGRU_total</t>
  </si>
  <si>
    <t>DAE_total</t>
  </si>
  <si>
    <t>Seq2Seq_total</t>
  </si>
  <si>
    <t>Seq2Point_total</t>
  </si>
  <si>
    <t>start_time': '2024-01-01'</t>
  </si>
  <si>
    <t>end_time': '2024-01-14'</t>
  </si>
  <si>
    <t>train: noUPC_dataset.h5</t>
  </si>
  <si>
    <t>test_real: test_dataset.h5</t>
  </si>
  <si>
    <t>MAE_total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</si>
</sst>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quotePrefix="1"/>
    <xf numFmtId="164" fontId="0" fillId="0" borderId="0" xfId="0" applyNumberFormat="1"/>
    <xf numFmtId="0" fontId="0" fillId="0" borderId="0" xfId="0" quotePrefix="1" applyAlignment="1">
      <alignment horizontal="righ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24901-35CF-4ECF-B83A-C1F21DC89CAD}">
  <dimension ref="A1:GY63"/>
  <sheetViews>
    <sheetView tabSelected="1" workbookViewId="0">
      <selection activeCell="E7" sqref="E7"/>
    </sheetView>
  </sheetViews>
  <sheetFormatPr baseColWidth="10" defaultRowHeight="15" x14ac:dyDescent="0.2"/>
  <cols>
    <col min="1" max="1" width="36.83203125" customWidth="1"/>
    <col min="2" max="2" width="24.83203125" customWidth="1"/>
    <col min="3" max="3" width="24.5" customWidth="1"/>
    <col min="4" max="4" width="19.33203125" customWidth="1"/>
    <col min="5" max="5" width="10" customWidth="1"/>
    <col min="6" max="6" width="17.6640625" customWidth="1"/>
    <col min="7" max="7" width="18.1640625" customWidth="1"/>
    <col min="8" max="8" width="12.5" customWidth="1"/>
    <col min="9" max="9" width="12.6640625" customWidth="1"/>
    <col min="10" max="10" width="18.83203125" customWidth="1"/>
    <col min="11" max="11" width="14.83203125" customWidth="1"/>
    <col min="12" max="12" width="5.6640625" customWidth="1"/>
    <col min="13" max="13" width="13.33203125" customWidth="1"/>
  </cols>
  <sheetData>
    <row r="1" spans="1:207" x14ac:dyDescent="0.2">
      <c r="A1" s="1" t="s">
        <v>0</v>
      </c>
      <c r="D1" s="1"/>
    </row>
    <row r="2" spans="1:207" x14ac:dyDescent="0.2">
      <c r="A2" t="s">
        <v>1</v>
      </c>
    </row>
    <row r="3" spans="1:207" x14ac:dyDescent="0.2">
      <c r="A3" t="s">
        <v>43</v>
      </c>
      <c r="B3" s="2"/>
      <c r="C3" s="2"/>
      <c r="E3" s="2"/>
      <c r="G3" s="2"/>
      <c r="H3" s="2"/>
      <c r="I3" s="2"/>
      <c r="J3" s="3"/>
      <c r="K3" s="2"/>
      <c r="L3" s="2"/>
    </row>
    <row r="4" spans="1:207" x14ac:dyDescent="0.2">
      <c r="A4" t="s">
        <v>32</v>
      </c>
      <c r="B4" s="2" t="s">
        <v>41</v>
      </c>
      <c r="C4" s="2" t="s">
        <v>42</v>
      </c>
      <c r="E4" s="2"/>
      <c r="F4" s="2"/>
      <c r="G4" s="2"/>
      <c r="H4" s="2"/>
      <c r="I4" s="2"/>
      <c r="J4" s="2"/>
      <c r="K4" s="2"/>
      <c r="L4" s="2"/>
    </row>
    <row r="5" spans="1:207" x14ac:dyDescent="0.2">
      <c r="A5" t="s">
        <v>33</v>
      </c>
      <c r="B5" s="2" t="s">
        <v>41</v>
      </c>
      <c r="C5" s="2" t="s">
        <v>42</v>
      </c>
      <c r="E5" s="2"/>
      <c r="F5" s="2"/>
      <c r="G5" s="2"/>
      <c r="H5" s="2"/>
      <c r="I5" s="2"/>
      <c r="J5" s="2"/>
      <c r="K5" s="2"/>
      <c r="L5" s="2"/>
    </row>
    <row r="6" spans="1:207" x14ac:dyDescent="0.2">
      <c r="A6" t="s">
        <v>34</v>
      </c>
      <c r="B6" s="2" t="s">
        <v>41</v>
      </c>
      <c r="C6" s="2" t="s">
        <v>42</v>
      </c>
      <c r="E6" s="2"/>
      <c r="F6" s="2"/>
      <c r="G6" s="4" t="s">
        <v>45</v>
      </c>
      <c r="H6" s="2"/>
      <c r="I6" s="2"/>
      <c r="J6" s="2"/>
      <c r="K6" s="2"/>
      <c r="L6" s="2"/>
    </row>
    <row r="7" spans="1:207" x14ac:dyDescent="0.2">
      <c r="A7" t="s">
        <v>35</v>
      </c>
      <c r="B7" s="2" t="s">
        <v>41</v>
      </c>
      <c r="C7" s="2" t="s">
        <v>42</v>
      </c>
      <c r="E7" s="2"/>
      <c r="F7" t="s">
        <v>36</v>
      </c>
      <c r="G7" s="3">
        <f>SUM(G15,G27,G39)/3</f>
        <v>164.56703287111111</v>
      </c>
    </row>
    <row r="8" spans="1:207" x14ac:dyDescent="0.2">
      <c r="A8" t="s">
        <v>44</v>
      </c>
      <c r="E8" s="2"/>
      <c r="F8" t="s">
        <v>37</v>
      </c>
      <c r="G8" s="3">
        <f>SUM(G17,G29,G41)/3</f>
        <v>68.322553793333327</v>
      </c>
    </row>
    <row r="9" spans="1:207" x14ac:dyDescent="0.2">
      <c r="A9" t="s">
        <v>31</v>
      </c>
      <c r="B9" s="2"/>
      <c r="C9" s="2"/>
      <c r="F9" t="s">
        <v>38</v>
      </c>
      <c r="G9" s="3">
        <f>SUM(G19,G31,G43)/3</f>
        <v>117.1967745666667</v>
      </c>
    </row>
    <row r="10" spans="1:207" x14ac:dyDescent="0.2">
      <c r="A10" t="s">
        <v>16</v>
      </c>
      <c r="F10" t="s">
        <v>39</v>
      </c>
      <c r="G10" s="3">
        <f>SUM(G21,G33,G45)/3</f>
        <v>141.1803752866667</v>
      </c>
    </row>
    <row r="11" spans="1:207" x14ac:dyDescent="0.2">
      <c r="F11" t="s">
        <v>40</v>
      </c>
      <c r="G11" s="3">
        <f>SUM(G23,G35,G47)/3</f>
        <v>152.63364315333334</v>
      </c>
    </row>
    <row r="13" spans="1:207" x14ac:dyDescent="0.2">
      <c r="B13" t="s">
        <v>18</v>
      </c>
      <c r="D13" s="1" t="s">
        <v>22</v>
      </c>
    </row>
    <row r="14" spans="1:207" x14ac:dyDescent="0.2">
      <c r="B14" s="2" t="s">
        <v>19</v>
      </c>
      <c r="D14" s="1" t="s">
        <v>2</v>
      </c>
      <c r="E14" s="1" t="s">
        <v>3</v>
      </c>
      <c r="F14" s="1" t="s">
        <v>17</v>
      </c>
      <c r="G14" s="1" t="s">
        <v>4</v>
      </c>
      <c r="H14" s="1" t="s">
        <v>12</v>
      </c>
      <c r="I14" s="1" t="s">
        <v>13</v>
      </c>
      <c r="J14" s="1" t="s">
        <v>15</v>
      </c>
      <c r="K14" s="1" t="s">
        <v>14</v>
      </c>
      <c r="L14" s="1"/>
      <c r="M14" s="1" t="s">
        <v>5</v>
      </c>
    </row>
    <row r="15" spans="1:207" x14ac:dyDescent="0.2">
      <c r="B15" s="2" t="s">
        <v>25</v>
      </c>
      <c r="D15" t="s">
        <v>8</v>
      </c>
      <c r="E15" t="s">
        <v>6</v>
      </c>
      <c r="F15">
        <f>COUNT(M15:GJ15)</f>
        <v>75</v>
      </c>
      <c r="G15" s="3">
        <f>AVERAGE(M15:GJ15)</f>
        <v>302.45548541333329</v>
      </c>
      <c r="H15" s="3">
        <f>MAX(M15:GJ15)</f>
        <v>346.677277</v>
      </c>
      <c r="I15" s="3">
        <f>MIN(M15:GJ15)</f>
        <v>266.66507000000001</v>
      </c>
      <c r="J15" s="3">
        <f>_xlfn.STDEV.P(M15:GJ15)</f>
        <v>15.289237928714572</v>
      </c>
      <c r="K15" s="3">
        <f>_xlfn.VAR.S(M15:GJ15)</f>
        <v>236.9197261224773</v>
      </c>
      <c r="M15" s="3">
        <v>280.91607699999997</v>
      </c>
      <c r="N15" s="3">
        <v>314.57757600000002</v>
      </c>
      <c r="O15" s="3">
        <v>301.32037400000002</v>
      </c>
      <c r="P15" s="3">
        <v>287.619934</v>
      </c>
      <c r="Q15" s="3">
        <v>310.24807700000002</v>
      </c>
      <c r="R15" s="3">
        <v>293.733093</v>
      </c>
      <c r="S15" s="3">
        <v>310.05697600000002</v>
      </c>
      <c r="T15" s="3">
        <v>315.118225</v>
      </c>
      <c r="U15" s="3">
        <v>294.67770400000001</v>
      </c>
      <c r="V15" s="3">
        <v>307.19869999999997</v>
      </c>
      <c r="W15" s="3">
        <v>330.59439099999997</v>
      </c>
      <c r="X15" s="3">
        <v>296.648956</v>
      </c>
      <c r="Y15" s="3">
        <v>306.63726800000001</v>
      </c>
      <c r="Z15" s="3">
        <v>273.43515000000002</v>
      </c>
      <c r="AA15" s="3">
        <v>291.279449</v>
      </c>
      <c r="AB15" s="3">
        <v>303.44735700000001</v>
      </c>
      <c r="AC15" s="3">
        <v>297.74508700000001</v>
      </c>
      <c r="AD15" s="3">
        <v>313.27951000000002</v>
      </c>
      <c r="AE15" s="3">
        <v>293.71536300000002</v>
      </c>
      <c r="AF15" s="3">
        <v>302.376465</v>
      </c>
      <c r="AG15" s="3">
        <v>309.511505</v>
      </c>
      <c r="AH15" s="3">
        <v>344.14840700000002</v>
      </c>
      <c r="AI15" s="3">
        <v>312.82321200000001</v>
      </c>
      <c r="AJ15" s="3">
        <v>279.64993299999998</v>
      </c>
      <c r="AK15" s="3">
        <v>316.23263500000002</v>
      </c>
      <c r="AL15" s="3">
        <v>303.28680400000002</v>
      </c>
      <c r="AM15" s="3">
        <v>297.01272599999999</v>
      </c>
      <c r="AN15" s="3">
        <v>312.42849699999999</v>
      </c>
      <c r="AO15" s="3">
        <v>290.68298299999998</v>
      </c>
      <c r="AP15" s="3">
        <v>298.55480999999997</v>
      </c>
      <c r="AQ15" s="3">
        <v>313.98144500000001</v>
      </c>
      <c r="AR15" s="3">
        <v>295.58261099999999</v>
      </c>
      <c r="AS15" s="3">
        <v>304.81024200000002</v>
      </c>
      <c r="AT15" s="3">
        <v>292.20309400000002</v>
      </c>
      <c r="AU15" s="3">
        <v>297.79058800000001</v>
      </c>
      <c r="AV15" s="3">
        <v>295.32019000000003</v>
      </c>
      <c r="AW15" s="3">
        <v>298.90252700000002</v>
      </c>
      <c r="AX15" s="3">
        <v>302.698395</v>
      </c>
      <c r="AY15" s="3">
        <v>279.25396699999999</v>
      </c>
      <c r="AZ15" s="3">
        <v>302.82672100000002</v>
      </c>
      <c r="BA15" s="3">
        <v>310.03225700000002</v>
      </c>
      <c r="BB15" s="3">
        <v>301.07464599999997</v>
      </c>
      <c r="BC15" s="3">
        <v>285.96170000000001</v>
      </c>
      <c r="BD15" s="3">
        <v>310.58102400000001</v>
      </c>
      <c r="BE15" s="3">
        <v>303.421967</v>
      </c>
      <c r="BF15" s="3">
        <v>322.53100599999999</v>
      </c>
      <c r="BG15" s="3">
        <v>313.76263399999999</v>
      </c>
      <c r="BH15" s="3">
        <v>330.919037</v>
      </c>
      <c r="BI15" s="3">
        <v>311.55670199999997</v>
      </c>
      <c r="BJ15" s="3">
        <v>317.32598899999999</v>
      </c>
      <c r="BK15" s="3">
        <v>271.783905</v>
      </c>
      <c r="BL15" s="3">
        <v>346.677277</v>
      </c>
      <c r="BM15" s="3">
        <v>303.63043199999998</v>
      </c>
      <c r="BN15" s="3">
        <v>314.06381199999998</v>
      </c>
      <c r="BO15" s="3">
        <v>289.61361699999998</v>
      </c>
      <c r="BP15" s="3">
        <v>310.95361300000002</v>
      </c>
      <c r="BQ15" s="3">
        <v>286.96026599999999</v>
      </c>
      <c r="BR15" s="3">
        <v>305.88955700000002</v>
      </c>
      <c r="BS15" s="3">
        <v>280.58651700000001</v>
      </c>
      <c r="BT15" s="3">
        <v>312.87658699999997</v>
      </c>
      <c r="BU15" s="3">
        <v>289.73937999999998</v>
      </c>
      <c r="BV15" s="3">
        <v>312.12027</v>
      </c>
      <c r="BW15" s="3">
        <v>326.10571299999998</v>
      </c>
      <c r="BX15" s="3">
        <v>299.56463600000001</v>
      </c>
      <c r="BY15" s="3">
        <v>304.24880999999999</v>
      </c>
      <c r="BZ15" s="3">
        <v>273.64358499999997</v>
      </c>
      <c r="CA15" s="3">
        <v>296.77453600000001</v>
      </c>
      <c r="CB15" s="3">
        <v>313.66754200000003</v>
      </c>
      <c r="CC15" s="3">
        <v>284.33596799999998</v>
      </c>
      <c r="CD15" s="3">
        <v>305.619934</v>
      </c>
      <c r="CE15" s="3">
        <v>285.523529</v>
      </c>
      <c r="CF15" s="3">
        <v>292.48406999999997</v>
      </c>
      <c r="CG15" s="3">
        <v>266.66507000000001</v>
      </c>
      <c r="CH15" s="3">
        <v>307.943512</v>
      </c>
      <c r="CI15" s="3">
        <v>323.19528200000002</v>
      </c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</row>
    <row r="16" spans="1:207" x14ac:dyDescent="0.2">
      <c r="B16" s="2" t="s">
        <v>30</v>
      </c>
      <c r="G16" s="3"/>
      <c r="H16" s="3"/>
      <c r="I16" s="3"/>
      <c r="J16" s="3"/>
      <c r="K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</row>
    <row r="17" spans="2:207" x14ac:dyDescent="0.2">
      <c r="D17" t="s">
        <v>9</v>
      </c>
      <c r="E17" t="s">
        <v>6</v>
      </c>
      <c r="F17">
        <f>COUNT(M17:GJ17)</f>
        <v>100</v>
      </c>
      <c r="G17" s="3">
        <f>AVERAGE(M17:GJ17)</f>
        <v>112.89216187</v>
      </c>
      <c r="H17" s="3">
        <f>MAX(M17:GJ17)</f>
        <v>217.350266</v>
      </c>
      <c r="I17" s="3">
        <f>MIN(M17:GJ17)</f>
        <v>49.930388999999998</v>
      </c>
      <c r="J17" s="3">
        <f>_xlfn.STDEV.P(M17:GJ17)</f>
        <v>36.419939629345308</v>
      </c>
      <c r="K17" s="3">
        <f>_xlfn.VAR.S(M17:GJ17)</f>
        <v>1339.8101036415712</v>
      </c>
      <c r="M17" s="3">
        <v>65.410431000000003</v>
      </c>
      <c r="N17" s="3">
        <v>85.984604000000004</v>
      </c>
      <c r="O17" s="3">
        <v>126.471046</v>
      </c>
      <c r="P17" s="3">
        <v>88.587699999999998</v>
      </c>
      <c r="Q17" s="3">
        <v>130.14418000000001</v>
      </c>
      <c r="R17" s="3">
        <v>178.11689799999999</v>
      </c>
      <c r="S17" s="3">
        <v>119.997894</v>
      </c>
      <c r="T17" s="3">
        <v>66.455832999999998</v>
      </c>
      <c r="U17" s="3">
        <v>76.43235</v>
      </c>
      <c r="V17" s="3">
        <v>161.194412</v>
      </c>
      <c r="W17" s="3">
        <v>127.404419</v>
      </c>
      <c r="X17" s="3">
        <v>94.826279</v>
      </c>
      <c r="Y17" s="3">
        <v>119.37576300000001</v>
      </c>
      <c r="Z17" s="3">
        <v>195.509232</v>
      </c>
      <c r="AA17" s="3">
        <v>119.21141799999999</v>
      </c>
      <c r="AB17" s="3">
        <v>121.35008999999999</v>
      </c>
      <c r="AC17" s="3">
        <v>98.775101000000006</v>
      </c>
      <c r="AD17" s="3">
        <v>122.563019</v>
      </c>
      <c r="AE17" s="3">
        <v>83.769356000000002</v>
      </c>
      <c r="AF17" s="3">
        <v>131.59487899999999</v>
      </c>
      <c r="AG17" s="3">
        <v>94.539069999999995</v>
      </c>
      <c r="AH17" s="3">
        <v>59.955832999999998</v>
      </c>
      <c r="AI17" s="3">
        <v>161.54144299999999</v>
      </c>
      <c r="AJ17" s="3">
        <v>100.05529</v>
      </c>
      <c r="AK17" s="3">
        <v>148.343964</v>
      </c>
      <c r="AL17" s="3">
        <v>99.645545999999996</v>
      </c>
      <c r="AM17" s="3">
        <v>88.086472000000001</v>
      </c>
      <c r="AN17" s="3">
        <v>121.62784600000001</v>
      </c>
      <c r="AO17" s="3">
        <v>124.223015</v>
      </c>
      <c r="AP17" s="3">
        <v>121.876656</v>
      </c>
      <c r="AQ17" s="3">
        <v>176.04087799999999</v>
      </c>
      <c r="AR17" s="3">
        <v>80.677848999999995</v>
      </c>
      <c r="AS17" s="3">
        <v>70.811913000000004</v>
      </c>
      <c r="AT17" s="3">
        <v>127.001358</v>
      </c>
      <c r="AU17" s="3">
        <v>101.55596199999999</v>
      </c>
      <c r="AV17" s="3">
        <v>131.401321</v>
      </c>
      <c r="AW17" s="3">
        <v>81.885589999999993</v>
      </c>
      <c r="AX17" s="3">
        <v>113.792374</v>
      </c>
      <c r="AY17" s="3">
        <v>100.677628</v>
      </c>
      <c r="AZ17" s="3">
        <v>165.46565200000001</v>
      </c>
      <c r="BA17" s="3">
        <v>71.553382999999997</v>
      </c>
      <c r="BB17" s="3">
        <v>84.742348000000007</v>
      </c>
      <c r="BC17" s="3">
        <v>62.925933999999998</v>
      </c>
      <c r="BD17" s="3">
        <v>78.292762999999994</v>
      </c>
      <c r="BE17" s="3">
        <v>125.22229799999999</v>
      </c>
      <c r="BF17" s="3">
        <v>105.252396</v>
      </c>
      <c r="BG17" s="3">
        <v>93.402122000000006</v>
      </c>
      <c r="BH17" s="3">
        <v>95.420165999999995</v>
      </c>
      <c r="BI17" s="3">
        <v>106.387337</v>
      </c>
      <c r="BJ17" s="3">
        <v>103.245346</v>
      </c>
      <c r="BK17" s="3">
        <v>82.973099000000005</v>
      </c>
      <c r="BL17" s="3">
        <v>92.153175000000005</v>
      </c>
      <c r="BM17" s="3">
        <v>141.80178799999999</v>
      </c>
      <c r="BN17" s="3">
        <v>130.62068199999999</v>
      </c>
      <c r="BO17" s="3">
        <v>99.761589000000001</v>
      </c>
      <c r="BP17" s="3">
        <v>94.760216</v>
      </c>
      <c r="BQ17" s="3">
        <v>80.145827999999995</v>
      </c>
      <c r="BR17" s="3">
        <v>92.982346000000007</v>
      </c>
      <c r="BS17" s="3">
        <v>125.640533</v>
      </c>
      <c r="BT17" s="3">
        <v>116.21977200000001</v>
      </c>
      <c r="BU17" s="3">
        <v>149.451324</v>
      </c>
      <c r="BV17" s="3">
        <v>64.812827999999996</v>
      </c>
      <c r="BW17" s="3">
        <v>167.894318</v>
      </c>
      <c r="BX17" s="3">
        <v>92.062629999999999</v>
      </c>
      <c r="BY17" s="3">
        <v>70.797675999999996</v>
      </c>
      <c r="BZ17" s="3">
        <v>129.78517199999999</v>
      </c>
      <c r="CA17" s="3">
        <v>52.920600999999998</v>
      </c>
      <c r="CB17" s="3">
        <v>96.252028999999993</v>
      </c>
      <c r="CC17" s="3">
        <v>205.069839</v>
      </c>
      <c r="CD17" s="3">
        <v>122.55152099999999</v>
      </c>
      <c r="CE17" s="3">
        <v>133.020096</v>
      </c>
      <c r="CF17" s="3">
        <v>96.592727999999994</v>
      </c>
      <c r="CG17" s="3">
        <v>162.80664100000001</v>
      </c>
      <c r="CH17" s="3">
        <v>100.517532</v>
      </c>
      <c r="CI17" s="3">
        <v>49.930388999999998</v>
      </c>
      <c r="CJ17" s="3">
        <v>96.410186999999993</v>
      </c>
      <c r="CK17" s="3">
        <v>60.108924999999999</v>
      </c>
      <c r="CL17" s="3">
        <v>89.932929999999999</v>
      </c>
      <c r="CM17" s="3">
        <v>144.82749899999999</v>
      </c>
      <c r="CN17" s="3">
        <v>88.955269000000001</v>
      </c>
      <c r="CO17" s="3">
        <v>72.286689999999993</v>
      </c>
      <c r="CP17" s="3">
        <v>57.565987</v>
      </c>
      <c r="CQ17" s="3">
        <v>94.700348000000005</v>
      </c>
      <c r="CR17" s="3">
        <v>164.90982099999999</v>
      </c>
      <c r="CS17" s="3">
        <v>156.48940999999999</v>
      </c>
      <c r="CT17" s="3">
        <v>147.96537799999999</v>
      </c>
      <c r="CU17" s="3">
        <v>55.477001000000001</v>
      </c>
      <c r="CV17" s="3">
        <v>182.41456600000001</v>
      </c>
      <c r="CW17" s="3">
        <v>152.815338</v>
      </c>
      <c r="CX17" s="3">
        <v>66.455765</v>
      </c>
      <c r="CY17" s="3">
        <v>217.350266</v>
      </c>
      <c r="CZ17" s="3">
        <v>129.21083100000001</v>
      </c>
      <c r="DA17" s="3">
        <v>114.529175</v>
      </c>
      <c r="DB17" s="3">
        <v>133.85432399999999</v>
      </c>
      <c r="DC17" s="3">
        <v>98.246193000000005</v>
      </c>
      <c r="DD17" s="3">
        <v>153.58783</v>
      </c>
      <c r="DE17" s="3">
        <v>156.699524</v>
      </c>
      <c r="DF17" s="3">
        <v>188.967941</v>
      </c>
      <c r="DG17" s="3">
        <v>105.339119</v>
      </c>
      <c r="DH17" s="3">
        <v>99.766861000000006</v>
      </c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</row>
    <row r="18" spans="2:207" x14ac:dyDescent="0.2">
      <c r="G18" s="3"/>
      <c r="H18" s="3"/>
      <c r="I18" s="3"/>
      <c r="J18" s="3"/>
      <c r="K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  <c r="GY18" s="3"/>
    </row>
    <row r="19" spans="2:207" x14ac:dyDescent="0.2">
      <c r="D19" t="s">
        <v>7</v>
      </c>
      <c r="E19" t="s">
        <v>6</v>
      </c>
      <c r="F19">
        <f>COUNT(M19:GJ19)</f>
        <v>100</v>
      </c>
      <c r="G19" s="3">
        <f>AVERAGE(M19:GJ19)</f>
        <v>255.20593233000008</v>
      </c>
      <c r="H19" s="3">
        <f>MAX(M19:GJ19)</f>
        <v>377.66235399999999</v>
      </c>
      <c r="I19" s="3">
        <f>MIN(M19:GJ19)</f>
        <v>155.41331500000001</v>
      </c>
      <c r="J19" s="3">
        <f>_xlfn.STDEV.P(M19:GJ19)</f>
        <v>47.737033484727533</v>
      </c>
      <c r="K19" s="3">
        <f>_xlfn.VAR.S(M19:GJ19)</f>
        <v>2301.8427938606046</v>
      </c>
      <c r="M19" s="3">
        <v>347.56359900000001</v>
      </c>
      <c r="N19" s="3">
        <v>244.910965</v>
      </c>
      <c r="O19" s="3">
        <v>236.46530200000001</v>
      </c>
      <c r="P19" s="3">
        <v>322.41744999999997</v>
      </c>
      <c r="Q19" s="3">
        <v>257.294983</v>
      </c>
      <c r="R19" s="3">
        <v>241.05246</v>
      </c>
      <c r="S19" s="3">
        <v>351.35318000000001</v>
      </c>
      <c r="T19" s="3">
        <v>243.152344</v>
      </c>
      <c r="U19" s="3">
        <v>247.01980599999999</v>
      </c>
      <c r="V19" s="3">
        <v>347.56427000000002</v>
      </c>
      <c r="W19" s="3">
        <v>248.734421</v>
      </c>
      <c r="X19" s="3">
        <v>287.68344100000002</v>
      </c>
      <c r="Y19" s="3">
        <v>318.86971999999997</v>
      </c>
      <c r="Z19" s="3">
        <v>258.61471599999999</v>
      </c>
      <c r="AA19" s="3">
        <v>251.14447000000001</v>
      </c>
      <c r="AB19" s="3">
        <v>209.08239699999999</v>
      </c>
      <c r="AC19" s="3">
        <v>255.17726099999999</v>
      </c>
      <c r="AD19" s="3">
        <v>223.134354</v>
      </c>
      <c r="AE19" s="3">
        <v>175.59777800000001</v>
      </c>
      <c r="AF19" s="3">
        <v>235.758499</v>
      </c>
      <c r="AG19" s="3">
        <v>326.87844799999999</v>
      </c>
      <c r="AH19" s="3">
        <v>312.08075000000002</v>
      </c>
      <c r="AI19" s="3">
        <v>232.25855999999999</v>
      </c>
      <c r="AJ19" s="3">
        <v>350.274811</v>
      </c>
      <c r="AK19" s="3">
        <v>207.74792500000001</v>
      </c>
      <c r="AL19" s="3">
        <v>260.31356799999998</v>
      </c>
      <c r="AM19" s="3">
        <v>183.10618600000001</v>
      </c>
      <c r="AN19" s="3">
        <v>231.49101300000001</v>
      </c>
      <c r="AO19" s="3">
        <v>251.907196</v>
      </c>
      <c r="AP19" s="3">
        <v>224.74617000000001</v>
      </c>
      <c r="AQ19" s="3">
        <v>292.38070699999997</v>
      </c>
      <c r="AR19" s="3">
        <v>281.237549</v>
      </c>
      <c r="AS19" s="3">
        <v>238.55841100000001</v>
      </c>
      <c r="AT19" s="3">
        <v>202.016693</v>
      </c>
      <c r="AU19" s="3">
        <v>296.97909499999997</v>
      </c>
      <c r="AV19" s="3">
        <v>224.393463</v>
      </c>
      <c r="AW19" s="3">
        <v>227.01628099999999</v>
      </c>
      <c r="AX19" s="3">
        <v>327.11541699999998</v>
      </c>
      <c r="AY19" s="3">
        <v>218.14482100000001</v>
      </c>
      <c r="AZ19" s="3">
        <v>267.58477800000003</v>
      </c>
      <c r="BA19" s="3">
        <v>193.18222</v>
      </c>
      <c r="BB19" s="3">
        <v>171.95542900000001</v>
      </c>
      <c r="BC19" s="3">
        <v>213.23031599999999</v>
      </c>
      <c r="BD19" s="3">
        <v>203.74778699999999</v>
      </c>
      <c r="BE19" s="3">
        <v>377.66235399999999</v>
      </c>
      <c r="BF19" s="3">
        <v>221.90965299999999</v>
      </c>
      <c r="BG19" s="3">
        <v>271.14917000000003</v>
      </c>
      <c r="BH19" s="3">
        <v>270.021545</v>
      </c>
      <c r="BI19" s="3">
        <v>201.024902</v>
      </c>
      <c r="BJ19" s="3">
        <v>250.14233400000001</v>
      </c>
      <c r="BK19" s="3">
        <v>238.93167099999999</v>
      </c>
      <c r="BL19" s="3">
        <v>220.45803799999999</v>
      </c>
      <c r="BM19" s="3">
        <v>224.163895</v>
      </c>
      <c r="BN19" s="3">
        <v>238.38002</v>
      </c>
      <c r="BO19" s="3">
        <v>266.24658199999999</v>
      </c>
      <c r="BP19" s="3">
        <v>248.88092</v>
      </c>
      <c r="BQ19" s="3">
        <v>329.16485599999999</v>
      </c>
      <c r="BR19" s="3">
        <v>214.89845299999999</v>
      </c>
      <c r="BS19" s="3">
        <v>191.404709</v>
      </c>
      <c r="BT19" s="3">
        <v>214.751678</v>
      </c>
      <c r="BU19" s="3">
        <v>226.64295999999999</v>
      </c>
      <c r="BV19" s="3">
        <v>246.955566</v>
      </c>
      <c r="BW19" s="3">
        <v>249.31738300000001</v>
      </c>
      <c r="BX19" s="3">
        <v>236.21902499999999</v>
      </c>
      <c r="BY19" s="3">
        <v>239.19233700000001</v>
      </c>
      <c r="BZ19" s="3">
        <v>206.79080200000001</v>
      </c>
      <c r="CA19" s="3">
        <v>226.381058</v>
      </c>
      <c r="CB19" s="3">
        <v>220.147232</v>
      </c>
      <c r="CC19" s="3">
        <v>199.76147499999999</v>
      </c>
      <c r="CD19" s="3">
        <v>290.59750400000001</v>
      </c>
      <c r="CE19" s="3">
        <v>214.53637699999999</v>
      </c>
      <c r="CF19" s="3">
        <v>306.85626200000002</v>
      </c>
      <c r="CG19" s="3">
        <v>324.80801400000001</v>
      </c>
      <c r="CH19" s="3">
        <v>155.41331500000001</v>
      </c>
      <c r="CI19" s="3">
        <v>197.170029</v>
      </c>
      <c r="CJ19" s="3">
        <v>281.24963400000001</v>
      </c>
      <c r="CK19" s="3">
        <v>216.42532299999999</v>
      </c>
      <c r="CL19" s="3">
        <v>284.17126500000001</v>
      </c>
      <c r="CM19" s="3">
        <v>222.853928</v>
      </c>
      <c r="CN19" s="3">
        <v>327.45803799999999</v>
      </c>
      <c r="CO19" s="3">
        <v>267.61554000000001</v>
      </c>
      <c r="CP19" s="3">
        <v>309.34845000000001</v>
      </c>
      <c r="CQ19" s="3">
        <v>244.28471400000001</v>
      </c>
      <c r="CR19" s="3">
        <v>254.628784</v>
      </c>
      <c r="CS19" s="3">
        <v>315.20907599999998</v>
      </c>
      <c r="CT19" s="3">
        <v>259.79836999999998</v>
      </c>
      <c r="CU19" s="3">
        <v>220.191406</v>
      </c>
      <c r="CV19" s="3">
        <v>286.44937099999999</v>
      </c>
      <c r="CW19" s="3">
        <v>341.08532700000001</v>
      </c>
      <c r="CX19" s="3">
        <v>279.57986499999998</v>
      </c>
      <c r="CY19" s="3">
        <v>305.35739100000001</v>
      </c>
      <c r="CZ19" s="3">
        <v>291.22006199999998</v>
      </c>
      <c r="DA19" s="3">
        <v>158.392212</v>
      </c>
      <c r="DB19" s="3">
        <v>236.00122099999999</v>
      </c>
      <c r="DC19" s="3">
        <v>254.11926299999999</v>
      </c>
      <c r="DD19" s="3">
        <v>218.81817599999999</v>
      </c>
      <c r="DE19" s="3">
        <v>259.14685100000003</v>
      </c>
      <c r="DF19" s="3">
        <v>270.03396600000002</v>
      </c>
      <c r="DG19" s="3">
        <v>285.28823899999998</v>
      </c>
      <c r="DH19" s="3">
        <v>370.947632</v>
      </c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</row>
    <row r="20" spans="2:207" x14ac:dyDescent="0.2">
      <c r="G20" s="3"/>
      <c r="H20" s="3"/>
      <c r="I20" s="3"/>
      <c r="J20" s="3"/>
      <c r="K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  <c r="GY20" s="3"/>
    </row>
    <row r="21" spans="2:207" x14ac:dyDescent="0.2">
      <c r="D21" t="s">
        <v>10</v>
      </c>
      <c r="E21" t="s">
        <v>6</v>
      </c>
      <c r="F21">
        <f>COUNT(M21:GJ21)</f>
        <v>100</v>
      </c>
      <c r="G21" s="3">
        <f>AVERAGE(M21:GJ21)</f>
        <v>268.93097033000009</v>
      </c>
      <c r="H21" s="3">
        <f>MAX(M21:GJ21)</f>
        <v>318.77545199999997</v>
      </c>
      <c r="I21" s="3">
        <f>MIN(M21:GJ21)</f>
        <v>207.79501300000001</v>
      </c>
      <c r="J21" s="3">
        <f>_xlfn.STDEV.P(M21:GJ21)</f>
        <v>20.444583182041264</v>
      </c>
      <c r="K21" s="3">
        <f>_xlfn.VAR.S(M21:GJ21)</f>
        <v>422.20301160343888</v>
      </c>
      <c r="M21" s="3">
        <v>288.14581299999998</v>
      </c>
      <c r="N21" s="3">
        <v>270.70486499999998</v>
      </c>
      <c r="O21" s="3">
        <v>262.82791099999997</v>
      </c>
      <c r="P21" s="3">
        <v>265.16967799999998</v>
      </c>
      <c r="Q21" s="3">
        <v>260.17321800000002</v>
      </c>
      <c r="R21" s="3">
        <v>275.35674999999998</v>
      </c>
      <c r="S21" s="3">
        <v>253.87373400000001</v>
      </c>
      <c r="T21" s="3">
        <v>289.94162</v>
      </c>
      <c r="U21" s="3">
        <v>273.82806399999998</v>
      </c>
      <c r="V21" s="3">
        <v>267.71554600000002</v>
      </c>
      <c r="W21" s="3">
        <v>283.65853900000002</v>
      </c>
      <c r="X21" s="3">
        <v>296.24786399999999</v>
      </c>
      <c r="Y21" s="3">
        <v>256.14556900000002</v>
      </c>
      <c r="Z21" s="3">
        <v>248.43843100000001</v>
      </c>
      <c r="AA21" s="3">
        <v>259.013306</v>
      </c>
      <c r="AB21" s="3">
        <v>285.534851</v>
      </c>
      <c r="AC21" s="3">
        <v>216.22122200000001</v>
      </c>
      <c r="AD21" s="3">
        <v>267.47467</v>
      </c>
      <c r="AE21" s="3">
        <v>278.627228</v>
      </c>
      <c r="AF21" s="3">
        <v>277.69424400000003</v>
      </c>
      <c r="AG21" s="3">
        <v>286.53005999999999</v>
      </c>
      <c r="AH21" s="3">
        <v>255.14134200000001</v>
      </c>
      <c r="AI21" s="3">
        <v>265.83157299999999</v>
      </c>
      <c r="AJ21" s="3">
        <v>234.10649100000001</v>
      </c>
      <c r="AK21" s="3">
        <v>288.03350799999998</v>
      </c>
      <c r="AL21" s="3">
        <v>251.380325</v>
      </c>
      <c r="AM21" s="3">
        <v>253.793915</v>
      </c>
      <c r="AN21" s="3">
        <v>277.99880999999999</v>
      </c>
      <c r="AO21" s="3">
        <v>287.86981200000002</v>
      </c>
      <c r="AP21" s="3">
        <v>228.226257</v>
      </c>
      <c r="AQ21" s="3">
        <v>260.44695999999999</v>
      </c>
      <c r="AR21" s="3">
        <v>255.48211699999999</v>
      </c>
      <c r="AS21" s="3">
        <v>255.46736100000001</v>
      </c>
      <c r="AT21" s="3">
        <v>266.19494600000002</v>
      </c>
      <c r="AU21" s="3">
        <v>261.081299</v>
      </c>
      <c r="AV21" s="3">
        <v>268.59686299999998</v>
      </c>
      <c r="AW21" s="3">
        <v>276.11691300000001</v>
      </c>
      <c r="AX21" s="3">
        <v>280.494934</v>
      </c>
      <c r="AY21" s="3">
        <v>258.86688199999998</v>
      </c>
      <c r="AZ21" s="3">
        <v>254.43836999999999</v>
      </c>
      <c r="BA21" s="3">
        <v>274.87939499999999</v>
      </c>
      <c r="BB21" s="3">
        <v>252.88780199999999</v>
      </c>
      <c r="BC21" s="3">
        <v>265.94693000000001</v>
      </c>
      <c r="BD21" s="3">
        <v>257.92343099999999</v>
      </c>
      <c r="BE21" s="3">
        <v>283.55413800000002</v>
      </c>
      <c r="BF21" s="3">
        <v>243.075287</v>
      </c>
      <c r="BG21" s="3">
        <v>294.28793300000001</v>
      </c>
      <c r="BH21" s="3">
        <v>265.32324199999999</v>
      </c>
      <c r="BI21" s="3">
        <v>315.86849999999998</v>
      </c>
      <c r="BJ21" s="3">
        <v>291.27276599999999</v>
      </c>
      <c r="BK21" s="3">
        <v>267.72155800000002</v>
      </c>
      <c r="BL21" s="3">
        <v>304.92242399999998</v>
      </c>
      <c r="BM21" s="3">
        <v>242.470764</v>
      </c>
      <c r="BN21" s="3">
        <v>300.55914300000001</v>
      </c>
      <c r="BO21" s="3">
        <v>256.973389</v>
      </c>
      <c r="BP21" s="3">
        <v>265.11239599999999</v>
      </c>
      <c r="BQ21" s="3">
        <v>274.20419299999998</v>
      </c>
      <c r="BR21" s="3">
        <v>253.53660600000001</v>
      </c>
      <c r="BS21" s="3">
        <v>268.39276100000001</v>
      </c>
      <c r="BT21" s="3">
        <v>287.707764</v>
      </c>
      <c r="BU21" s="3">
        <v>256.83889799999997</v>
      </c>
      <c r="BV21" s="3">
        <v>275.81179800000001</v>
      </c>
      <c r="BW21" s="3">
        <v>265.52108800000002</v>
      </c>
      <c r="BX21" s="3">
        <v>207.79501300000001</v>
      </c>
      <c r="BY21" s="3">
        <v>302.83599900000002</v>
      </c>
      <c r="BZ21" s="3">
        <v>315.60168499999997</v>
      </c>
      <c r="CA21" s="3">
        <v>285.70541400000002</v>
      </c>
      <c r="CB21" s="3">
        <v>232.93083200000001</v>
      </c>
      <c r="CC21" s="3">
        <v>262.588776</v>
      </c>
      <c r="CD21" s="3">
        <v>252.088989</v>
      </c>
      <c r="CE21" s="3">
        <v>242.302322</v>
      </c>
      <c r="CF21" s="3">
        <v>269.935608</v>
      </c>
      <c r="CG21" s="3">
        <v>270.84491000000003</v>
      </c>
      <c r="CH21" s="3">
        <v>239.24259900000001</v>
      </c>
      <c r="CI21" s="3">
        <v>290.68875100000002</v>
      </c>
      <c r="CJ21" s="3">
        <v>276.02453600000001</v>
      </c>
      <c r="CK21" s="3">
        <v>318.77545199999997</v>
      </c>
      <c r="CL21" s="3">
        <v>251.58152799999999</v>
      </c>
      <c r="CM21" s="3">
        <v>287.66436800000002</v>
      </c>
      <c r="CN21" s="3">
        <v>251.95060699999999</v>
      </c>
      <c r="CO21" s="3">
        <v>276.20437600000002</v>
      </c>
      <c r="CP21" s="3">
        <v>254.596451</v>
      </c>
      <c r="CQ21" s="3">
        <v>287.26251200000002</v>
      </c>
      <c r="CR21" s="3">
        <v>248.54771400000001</v>
      </c>
      <c r="CS21" s="3">
        <v>280.74939000000001</v>
      </c>
      <c r="CT21" s="3">
        <v>264.40982100000002</v>
      </c>
      <c r="CU21" s="3">
        <v>252.101181</v>
      </c>
      <c r="CV21" s="3">
        <v>276.96066300000001</v>
      </c>
      <c r="CW21" s="3">
        <v>286.17623900000001</v>
      </c>
      <c r="CX21" s="3">
        <v>246.00340299999999</v>
      </c>
      <c r="CY21" s="3">
        <v>295.25882000000001</v>
      </c>
      <c r="CZ21" s="3">
        <v>265.01986699999998</v>
      </c>
      <c r="DA21" s="3">
        <v>299.62066700000003</v>
      </c>
      <c r="DB21" s="3">
        <v>257.30410799999999</v>
      </c>
      <c r="DC21" s="3">
        <v>296.01858499999997</v>
      </c>
      <c r="DD21" s="3">
        <v>289.15249599999999</v>
      </c>
      <c r="DE21" s="3">
        <v>271.18536399999999</v>
      </c>
      <c r="DF21" s="3">
        <v>268.20617700000003</v>
      </c>
      <c r="DG21" s="3">
        <v>231.437759</v>
      </c>
      <c r="DH21" s="3">
        <v>280.63998400000003</v>
      </c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  <c r="GY21" s="3"/>
    </row>
    <row r="22" spans="2:207" x14ac:dyDescent="0.2">
      <c r="G22" s="3"/>
      <c r="H22" s="3"/>
      <c r="I22" s="3"/>
      <c r="J22" s="3"/>
      <c r="K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  <c r="GP22" s="3"/>
      <c r="GQ22" s="3"/>
      <c r="GR22" s="3"/>
      <c r="GS22" s="3"/>
      <c r="GT22" s="3"/>
      <c r="GU22" s="3"/>
      <c r="GV22" s="3"/>
      <c r="GW22" s="3"/>
      <c r="GX22" s="3"/>
      <c r="GY22" s="3"/>
    </row>
    <row r="23" spans="2:207" x14ac:dyDescent="0.2">
      <c r="D23" t="s">
        <v>11</v>
      </c>
      <c r="E23" t="s">
        <v>6</v>
      </c>
      <c r="F23">
        <f>COUNT(M23:GJ23)</f>
        <v>100</v>
      </c>
      <c r="G23" s="3">
        <f>AVERAGE(M23:GJ23)</f>
        <v>277.81279404000003</v>
      </c>
      <c r="H23" s="3">
        <f>MAX(M23:GJ23)</f>
        <v>332.32324199999999</v>
      </c>
      <c r="I23" s="3">
        <f>MIN(M23:GJ23)</f>
        <v>205.01396199999999</v>
      </c>
      <c r="J23" s="3">
        <f>_xlfn.STDEV.P(M23:GJ23)</f>
        <v>23.351381965740519</v>
      </c>
      <c r="K23" s="3">
        <f>_xlfn.VAR.S(M23:GJ23)</f>
        <v>550.7949896059713</v>
      </c>
      <c r="M23" s="3">
        <v>294.99194299999999</v>
      </c>
      <c r="N23" s="3">
        <v>273.66677900000002</v>
      </c>
      <c r="O23" s="3">
        <v>268.70895400000001</v>
      </c>
      <c r="P23" s="3">
        <v>228.71360799999999</v>
      </c>
      <c r="Q23" s="3">
        <v>278.39959700000003</v>
      </c>
      <c r="R23" s="3">
        <v>282.65176400000001</v>
      </c>
      <c r="S23" s="3">
        <v>293.222534</v>
      </c>
      <c r="T23" s="3">
        <v>225.00801100000001</v>
      </c>
      <c r="U23" s="3">
        <v>271.10015900000002</v>
      </c>
      <c r="V23" s="3">
        <v>319.09310900000003</v>
      </c>
      <c r="W23" s="3">
        <v>269.454498</v>
      </c>
      <c r="X23" s="3">
        <v>282.21719400000001</v>
      </c>
      <c r="Y23" s="3">
        <v>265.52450599999997</v>
      </c>
      <c r="Z23" s="3">
        <v>205.01396199999999</v>
      </c>
      <c r="AA23" s="3">
        <v>259.89859000000001</v>
      </c>
      <c r="AB23" s="3">
        <v>259.17147799999998</v>
      </c>
      <c r="AC23" s="3">
        <v>290.20214800000002</v>
      </c>
      <c r="AD23" s="3">
        <v>288.935089</v>
      </c>
      <c r="AE23" s="3">
        <v>272.05960099999999</v>
      </c>
      <c r="AF23" s="3">
        <v>275.82794200000001</v>
      </c>
      <c r="AG23" s="3">
        <v>271.036835</v>
      </c>
      <c r="AH23" s="3">
        <v>311.13217200000003</v>
      </c>
      <c r="AI23" s="3">
        <v>277.81286599999999</v>
      </c>
      <c r="AJ23" s="3">
        <v>253.85032699999999</v>
      </c>
      <c r="AK23" s="3">
        <v>278.77862499999998</v>
      </c>
      <c r="AL23" s="3">
        <v>259.38171399999999</v>
      </c>
      <c r="AM23" s="3">
        <v>242.282318</v>
      </c>
      <c r="AN23" s="3">
        <v>272.54373199999998</v>
      </c>
      <c r="AO23" s="3">
        <v>322.01275600000002</v>
      </c>
      <c r="AP23" s="3">
        <v>305.24334700000003</v>
      </c>
      <c r="AQ23" s="3">
        <v>232.23487900000001</v>
      </c>
      <c r="AR23" s="3">
        <v>293.95062300000001</v>
      </c>
      <c r="AS23" s="3">
        <v>270.98382600000002</v>
      </c>
      <c r="AT23" s="3">
        <v>293.36599699999999</v>
      </c>
      <c r="AU23" s="3">
        <v>263.33728000000002</v>
      </c>
      <c r="AV23" s="3">
        <v>247.964584</v>
      </c>
      <c r="AW23" s="3">
        <v>316.87261999999998</v>
      </c>
      <c r="AX23" s="3">
        <v>276.23568699999998</v>
      </c>
      <c r="AY23" s="3">
        <v>274.47445699999997</v>
      </c>
      <c r="AZ23" s="3">
        <v>245.21545399999999</v>
      </c>
      <c r="BA23" s="3">
        <v>248.28924599999999</v>
      </c>
      <c r="BB23" s="3">
        <v>277.65603599999997</v>
      </c>
      <c r="BC23" s="3">
        <v>284.826752</v>
      </c>
      <c r="BD23" s="3">
        <v>319.26165800000001</v>
      </c>
      <c r="BE23" s="3">
        <v>275.59146099999998</v>
      </c>
      <c r="BF23" s="3">
        <v>284.86193800000001</v>
      </c>
      <c r="BG23" s="3">
        <v>306.85342400000002</v>
      </c>
      <c r="BH23" s="3">
        <v>293.25878899999998</v>
      </c>
      <c r="BI23" s="3">
        <v>296.352844</v>
      </c>
      <c r="BJ23" s="3">
        <v>286.33749399999999</v>
      </c>
      <c r="BK23" s="3">
        <v>241.49307300000001</v>
      </c>
      <c r="BL23" s="3">
        <v>325.22070300000001</v>
      </c>
      <c r="BM23" s="3">
        <v>277.11682100000002</v>
      </c>
      <c r="BN23" s="3">
        <v>332.32324199999999</v>
      </c>
      <c r="BO23" s="3">
        <v>256.45971700000001</v>
      </c>
      <c r="BP23" s="3">
        <v>241.660889</v>
      </c>
      <c r="BQ23" s="3">
        <v>324.079498</v>
      </c>
      <c r="BR23" s="3">
        <v>315.05566399999998</v>
      </c>
      <c r="BS23" s="3">
        <v>294.102081</v>
      </c>
      <c r="BT23" s="3">
        <v>278.40917999999999</v>
      </c>
      <c r="BU23" s="3">
        <v>256.04800399999999</v>
      </c>
      <c r="BV23" s="3">
        <v>309.32702599999999</v>
      </c>
      <c r="BW23" s="3">
        <v>256.53222699999998</v>
      </c>
      <c r="BX23" s="3">
        <v>296.951324</v>
      </c>
      <c r="BY23" s="3">
        <v>284.87799100000001</v>
      </c>
      <c r="BZ23" s="3">
        <v>265.46801799999997</v>
      </c>
      <c r="CA23" s="3">
        <v>278.46948200000003</v>
      </c>
      <c r="CB23" s="3">
        <v>259.32824699999998</v>
      </c>
      <c r="CC23" s="3">
        <v>283.36157200000002</v>
      </c>
      <c r="CD23" s="3">
        <v>278.16137700000002</v>
      </c>
      <c r="CE23" s="3">
        <v>291.76840199999998</v>
      </c>
      <c r="CF23" s="3">
        <v>276.547821</v>
      </c>
      <c r="CG23" s="3">
        <v>247.84304800000001</v>
      </c>
      <c r="CH23" s="3">
        <v>269.53228799999999</v>
      </c>
      <c r="CI23" s="3">
        <v>296.22598299999999</v>
      </c>
      <c r="CJ23" s="3">
        <v>265.91037</v>
      </c>
      <c r="CK23" s="3">
        <v>293.83755500000001</v>
      </c>
      <c r="CL23" s="3">
        <v>283.649384</v>
      </c>
      <c r="CM23" s="3">
        <v>319.37795999999997</v>
      </c>
      <c r="CN23" s="3">
        <v>264.71551499999998</v>
      </c>
      <c r="CO23" s="3">
        <v>296.83776899999998</v>
      </c>
      <c r="CP23" s="3">
        <v>301.410461</v>
      </c>
      <c r="CQ23" s="3">
        <v>285.78500400000001</v>
      </c>
      <c r="CR23" s="3">
        <v>286.24984699999999</v>
      </c>
      <c r="CS23" s="3">
        <v>293.54110700000001</v>
      </c>
      <c r="CT23" s="3">
        <v>264.75744600000002</v>
      </c>
      <c r="CU23" s="3">
        <v>258.746307</v>
      </c>
      <c r="CV23" s="3">
        <v>269.84765599999997</v>
      </c>
      <c r="CW23" s="3">
        <v>271.35537699999998</v>
      </c>
      <c r="CX23" s="3">
        <v>264.71743800000002</v>
      </c>
      <c r="CY23" s="3">
        <v>241.558212</v>
      </c>
      <c r="CZ23" s="3">
        <v>268.51010100000002</v>
      </c>
      <c r="DA23" s="3">
        <v>301.34634399999999</v>
      </c>
      <c r="DB23" s="3">
        <v>277.51470899999998</v>
      </c>
      <c r="DC23" s="3">
        <v>275.415955</v>
      </c>
      <c r="DD23" s="3">
        <v>261.849335</v>
      </c>
      <c r="DE23" s="3">
        <v>274.57833900000003</v>
      </c>
      <c r="DF23" s="3">
        <v>286.65841699999999</v>
      </c>
      <c r="DG23" s="3">
        <v>258.16537499999998</v>
      </c>
      <c r="DH23" s="3">
        <v>292.71853599999997</v>
      </c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  <c r="GD23" s="3"/>
      <c r="GE23" s="3"/>
      <c r="GF23" s="3"/>
      <c r="GG23" s="3"/>
      <c r="GH23" s="3"/>
      <c r="GI23" s="3"/>
      <c r="GJ23" s="3"/>
      <c r="GK23" s="3"/>
      <c r="GL23" s="3"/>
      <c r="GM23" s="3"/>
      <c r="GN23" s="3"/>
      <c r="GO23" s="3"/>
      <c r="GP23" s="3"/>
      <c r="GQ23" s="3"/>
      <c r="GR23" s="3"/>
      <c r="GS23" s="3"/>
      <c r="GT23" s="3"/>
      <c r="GU23" s="3"/>
      <c r="GV23" s="3"/>
      <c r="GW23" s="3"/>
      <c r="GX23" s="3"/>
      <c r="GY23" s="3"/>
    </row>
    <row r="25" spans="2:207" x14ac:dyDescent="0.2">
      <c r="D25" s="1"/>
    </row>
    <row r="26" spans="2:207" x14ac:dyDescent="0.2">
      <c r="B26" t="s">
        <v>18</v>
      </c>
      <c r="D26" s="1" t="s">
        <v>23</v>
      </c>
    </row>
    <row r="27" spans="2:207" x14ac:dyDescent="0.2">
      <c r="B27" s="2" t="s">
        <v>20</v>
      </c>
      <c r="D27" t="s">
        <v>8</v>
      </c>
      <c r="E27" t="s">
        <v>6</v>
      </c>
      <c r="F27">
        <f>COUNT(M27:GJ27)</f>
        <v>75</v>
      </c>
      <c r="G27" s="3">
        <f>AVERAGE(M27:GJ27)</f>
        <v>104.19967829333338</v>
      </c>
      <c r="H27" s="3">
        <f>MAX(M27:GJ27)</f>
        <v>111.78724699999999</v>
      </c>
      <c r="I27" s="3">
        <f>MIN(M27:GJ27)</f>
        <v>73.711669999999998</v>
      </c>
      <c r="J27" s="3">
        <f>_xlfn.STDEV.P(M27:GJ27)</f>
        <v>5.9771711584524105</v>
      </c>
      <c r="K27" s="3">
        <f>_xlfn.VAR.S(M27:GJ27)</f>
        <v>36.209366612265534</v>
      </c>
      <c r="M27" s="3">
        <v>104.07461499999999</v>
      </c>
      <c r="N27" s="3">
        <v>100.464828</v>
      </c>
      <c r="O27" s="3">
        <v>102.274292</v>
      </c>
      <c r="P27" s="3">
        <v>102.50067900000001</v>
      </c>
      <c r="Q27" s="3">
        <v>105.814384</v>
      </c>
      <c r="R27" s="3">
        <v>85.160133000000002</v>
      </c>
      <c r="S27" s="3">
        <v>110.197754</v>
      </c>
      <c r="T27" s="3">
        <v>107.38698599999999</v>
      </c>
      <c r="U27" s="3">
        <v>107.76207700000001</v>
      </c>
      <c r="V27" s="3">
        <v>109.27068300000001</v>
      </c>
      <c r="W27" s="3">
        <v>109.277641</v>
      </c>
      <c r="X27" s="3">
        <v>107.34993</v>
      </c>
      <c r="Y27" s="3">
        <v>105.044022</v>
      </c>
      <c r="Z27" s="3">
        <v>104.473305</v>
      </c>
      <c r="AA27" s="3">
        <v>106.76160400000001</v>
      </c>
      <c r="AB27" s="3">
        <v>103.217354</v>
      </c>
      <c r="AC27" s="3">
        <v>101.08593</v>
      </c>
      <c r="AD27" s="3">
        <v>109.00490600000001</v>
      </c>
      <c r="AE27" s="3">
        <v>99.528296999999995</v>
      </c>
      <c r="AF27" s="3">
        <v>105.80867000000001</v>
      </c>
      <c r="AG27" s="3">
        <v>105.07912399999999</v>
      </c>
      <c r="AH27" s="3">
        <v>105.38713799999999</v>
      </c>
      <c r="AI27" s="3">
        <v>109.140488</v>
      </c>
      <c r="AJ27" s="3">
        <v>100.60150899999999</v>
      </c>
      <c r="AK27" s="3">
        <v>110.536644</v>
      </c>
      <c r="AL27" s="3">
        <v>104.96523999999999</v>
      </c>
      <c r="AM27" s="3">
        <v>104.242294</v>
      </c>
      <c r="AN27" s="3">
        <v>107.435303</v>
      </c>
      <c r="AO27" s="3">
        <v>109.687843</v>
      </c>
      <c r="AP27" s="3">
        <v>104.079475</v>
      </c>
      <c r="AQ27" s="3">
        <v>106.845764</v>
      </c>
      <c r="AR27" s="3">
        <v>107.409645</v>
      </c>
      <c r="AS27" s="3">
        <v>103.19227600000001</v>
      </c>
      <c r="AT27" s="3">
        <v>105.42723100000001</v>
      </c>
      <c r="AU27" s="3">
        <v>100.837006</v>
      </c>
      <c r="AV27" s="3">
        <v>101.741989</v>
      </c>
      <c r="AW27" s="3">
        <v>107.880341</v>
      </c>
      <c r="AX27" s="3">
        <v>107.245987</v>
      </c>
      <c r="AY27" s="3">
        <v>103.681984</v>
      </c>
      <c r="AZ27" s="3">
        <v>106.051086</v>
      </c>
      <c r="BA27" s="3">
        <v>105.78782699999999</v>
      </c>
      <c r="BB27" s="3">
        <v>105.479355</v>
      </c>
      <c r="BC27" s="3">
        <v>106.795372</v>
      </c>
      <c r="BD27" s="3">
        <v>107.133926</v>
      </c>
      <c r="BE27" s="3">
        <v>105.95253</v>
      </c>
      <c r="BF27" s="3">
        <v>108.569107</v>
      </c>
      <c r="BG27" s="3">
        <v>107.279488</v>
      </c>
      <c r="BH27" s="3">
        <v>104.51752500000001</v>
      </c>
      <c r="BI27" s="3">
        <v>105.120102</v>
      </c>
      <c r="BJ27" s="3">
        <v>108.221436</v>
      </c>
      <c r="BK27" s="3">
        <v>99.824600000000004</v>
      </c>
      <c r="BL27" s="3">
        <v>111.78724699999999</v>
      </c>
      <c r="BM27" s="3">
        <v>99.017371999999995</v>
      </c>
      <c r="BN27" s="3">
        <v>107.410995</v>
      </c>
      <c r="BO27" s="3">
        <v>104.20311</v>
      </c>
      <c r="BP27" s="3">
        <v>81.399199999999993</v>
      </c>
      <c r="BQ27" s="3">
        <v>105.76899</v>
      </c>
      <c r="BR27" s="3">
        <v>99.624709999999993</v>
      </c>
      <c r="BS27" s="3">
        <v>103.770332</v>
      </c>
      <c r="BT27" s="3">
        <v>106.09504699999999</v>
      </c>
      <c r="BU27" s="3">
        <v>104.42289700000001</v>
      </c>
      <c r="BV27" s="3">
        <v>105.799042</v>
      </c>
      <c r="BW27" s="3">
        <v>110.16789199999999</v>
      </c>
      <c r="BX27" s="3">
        <v>104.542984</v>
      </c>
      <c r="BY27" s="3">
        <v>105.38958</v>
      </c>
      <c r="BZ27" s="3">
        <v>101.65334300000001</v>
      </c>
      <c r="CA27" s="3">
        <v>103.54528000000001</v>
      </c>
      <c r="CB27" s="3">
        <v>108.43034400000001</v>
      </c>
      <c r="CC27" s="3">
        <v>73.711669999999998</v>
      </c>
      <c r="CD27" s="3">
        <v>100.93214399999999</v>
      </c>
      <c r="CE27" s="3">
        <v>103.459282</v>
      </c>
      <c r="CF27" s="3">
        <v>107.506561</v>
      </c>
      <c r="CG27" s="3">
        <v>91.489220000000003</v>
      </c>
      <c r="CH27" s="3">
        <v>103.988258</v>
      </c>
      <c r="CI27" s="3">
        <v>108.252647</v>
      </c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/>
      <c r="GG27" s="3"/>
      <c r="GH27" s="3"/>
      <c r="GI27" s="3"/>
      <c r="GJ27" s="3"/>
      <c r="GK27" s="3"/>
      <c r="GL27" s="3"/>
      <c r="GM27" s="3"/>
      <c r="GN27" s="3"/>
      <c r="GO27" s="3"/>
      <c r="GP27" s="3"/>
      <c r="GQ27" s="3"/>
      <c r="GR27" s="3"/>
      <c r="GS27" s="3"/>
      <c r="GT27" s="3"/>
      <c r="GU27" s="3"/>
      <c r="GV27" s="3"/>
      <c r="GW27" s="3"/>
      <c r="GX27" s="3"/>
      <c r="GY27" s="3"/>
    </row>
    <row r="28" spans="2:207" x14ac:dyDescent="0.2">
      <c r="B28" s="2" t="s">
        <v>27</v>
      </c>
      <c r="G28" s="3"/>
      <c r="H28" s="3"/>
      <c r="I28" s="3"/>
      <c r="J28" s="3"/>
      <c r="K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  <c r="FW28" s="3"/>
      <c r="FX28" s="3"/>
      <c r="FY28" s="3"/>
      <c r="FZ28" s="3"/>
      <c r="GA28" s="3"/>
      <c r="GB28" s="3"/>
      <c r="GC28" s="3"/>
      <c r="GD28" s="3"/>
      <c r="GE28" s="3"/>
      <c r="GF28" s="3"/>
      <c r="GG28" s="3"/>
      <c r="GH28" s="3"/>
      <c r="GI28" s="3"/>
      <c r="GJ28" s="3"/>
      <c r="GK28" s="3"/>
      <c r="GL28" s="3"/>
      <c r="GM28" s="3"/>
      <c r="GN28" s="3"/>
      <c r="GO28" s="3"/>
      <c r="GP28" s="3"/>
      <c r="GQ28" s="3"/>
      <c r="GR28" s="3"/>
      <c r="GS28" s="3"/>
      <c r="GT28" s="3"/>
      <c r="GU28" s="3"/>
      <c r="GV28" s="3"/>
      <c r="GW28" s="3"/>
      <c r="GX28" s="3"/>
      <c r="GY28" s="3"/>
    </row>
    <row r="29" spans="2:207" x14ac:dyDescent="0.2">
      <c r="B29" s="2" t="s">
        <v>28</v>
      </c>
      <c r="D29" t="s">
        <v>9</v>
      </c>
      <c r="E29" t="s">
        <v>6</v>
      </c>
      <c r="F29">
        <f>COUNT(M29:GJ29)</f>
        <v>100</v>
      </c>
      <c r="G29" s="3">
        <f>AVERAGE(M29:GJ29)</f>
        <v>47.014002989999987</v>
      </c>
      <c r="H29" s="3">
        <f>MAX(M29:GJ29)</f>
        <v>67.632155999999995</v>
      </c>
      <c r="I29" s="3">
        <f>MIN(M29:GJ29)</f>
        <v>29.896142999999999</v>
      </c>
      <c r="J29" s="3">
        <f>_xlfn.STDEV.P(M29:GJ29)</f>
        <v>7.5514997906082755</v>
      </c>
      <c r="K29" s="3">
        <f>_xlfn.VAR.S(M29:GJ29)</f>
        <v>57.601160694501651</v>
      </c>
      <c r="M29" s="3">
        <v>32.802295999999998</v>
      </c>
      <c r="N29" s="3">
        <v>44.275157999999998</v>
      </c>
      <c r="O29" s="3">
        <v>60.097225000000002</v>
      </c>
      <c r="P29" s="3">
        <v>40.756217999999997</v>
      </c>
      <c r="Q29" s="3">
        <v>53.163325999999998</v>
      </c>
      <c r="R29" s="3">
        <v>42.808585999999998</v>
      </c>
      <c r="S29" s="3">
        <v>50.182259000000002</v>
      </c>
      <c r="T29" s="3">
        <v>35.084682000000001</v>
      </c>
      <c r="U29" s="3">
        <v>36.326729</v>
      </c>
      <c r="V29" s="3">
        <v>56.768920999999999</v>
      </c>
      <c r="W29" s="3">
        <v>48.945853999999997</v>
      </c>
      <c r="X29" s="3">
        <v>48.670985999999999</v>
      </c>
      <c r="Y29" s="3">
        <v>40.577457000000003</v>
      </c>
      <c r="Z29" s="3">
        <v>64.557961000000006</v>
      </c>
      <c r="AA29" s="3">
        <v>50.769573000000001</v>
      </c>
      <c r="AB29" s="3">
        <v>48.377814999999998</v>
      </c>
      <c r="AC29" s="3">
        <v>56.532612</v>
      </c>
      <c r="AD29" s="3">
        <v>39.852927999999999</v>
      </c>
      <c r="AE29" s="3">
        <v>44.260962999999997</v>
      </c>
      <c r="AF29" s="3">
        <v>58.515385000000002</v>
      </c>
      <c r="AG29" s="3">
        <v>43.573860000000003</v>
      </c>
      <c r="AH29" s="3">
        <v>44.561374999999998</v>
      </c>
      <c r="AI29" s="3">
        <v>45.663761000000001</v>
      </c>
      <c r="AJ29" s="3">
        <v>47.550156000000001</v>
      </c>
      <c r="AK29" s="3">
        <v>64.957520000000002</v>
      </c>
      <c r="AL29" s="3">
        <v>40.478451</v>
      </c>
      <c r="AM29" s="3">
        <v>39.881481000000001</v>
      </c>
      <c r="AN29" s="3">
        <v>48.247692000000001</v>
      </c>
      <c r="AO29" s="3">
        <v>50.832622999999998</v>
      </c>
      <c r="AP29" s="3">
        <v>54.133133000000001</v>
      </c>
      <c r="AQ29" s="3">
        <v>50.411803999999997</v>
      </c>
      <c r="AR29" s="3">
        <v>44.629955000000002</v>
      </c>
      <c r="AS29" s="3">
        <v>34.221020000000003</v>
      </c>
      <c r="AT29" s="3">
        <v>39.297927999999999</v>
      </c>
      <c r="AU29" s="3">
        <v>50.676872000000003</v>
      </c>
      <c r="AV29" s="3">
        <v>49.147671000000003</v>
      </c>
      <c r="AW29" s="3">
        <v>46.799919000000003</v>
      </c>
      <c r="AX29" s="3">
        <v>45.592433999999997</v>
      </c>
      <c r="AY29" s="3">
        <v>49.399002000000003</v>
      </c>
      <c r="AZ29" s="3">
        <v>59.001944999999999</v>
      </c>
      <c r="BA29" s="3">
        <v>34.958317000000001</v>
      </c>
      <c r="BB29" s="3">
        <v>44.647491000000002</v>
      </c>
      <c r="BC29" s="3">
        <v>38.282139000000001</v>
      </c>
      <c r="BD29" s="3">
        <v>44.722126000000003</v>
      </c>
      <c r="BE29" s="3">
        <v>52.467995000000002</v>
      </c>
      <c r="BF29" s="3">
        <v>48.046455000000002</v>
      </c>
      <c r="BG29" s="3">
        <v>45.370995000000001</v>
      </c>
      <c r="BH29" s="3">
        <v>41.583159999999999</v>
      </c>
      <c r="BI29" s="3">
        <v>45.278416</v>
      </c>
      <c r="BJ29" s="3">
        <v>54.490302999999997</v>
      </c>
      <c r="BK29" s="3">
        <v>44.439911000000002</v>
      </c>
      <c r="BL29" s="3">
        <v>29.896142999999999</v>
      </c>
      <c r="BM29" s="3">
        <v>50.059230999999997</v>
      </c>
      <c r="BN29" s="3">
        <v>47.193153000000002</v>
      </c>
      <c r="BO29" s="3">
        <v>53.666786000000002</v>
      </c>
      <c r="BP29" s="3">
        <v>51.913077999999999</v>
      </c>
      <c r="BQ29" s="3">
        <v>42.944980999999999</v>
      </c>
      <c r="BR29" s="3">
        <v>44.577407999999998</v>
      </c>
      <c r="BS29" s="3">
        <v>40.592758000000003</v>
      </c>
      <c r="BT29" s="3">
        <v>53.331963000000002</v>
      </c>
      <c r="BU29" s="3">
        <v>56.416023000000003</v>
      </c>
      <c r="BV29" s="3">
        <v>35.561508000000003</v>
      </c>
      <c r="BW29" s="3">
        <v>45.644641999999997</v>
      </c>
      <c r="BX29" s="3">
        <v>47.043979999999998</v>
      </c>
      <c r="BY29" s="3">
        <v>54.786312000000002</v>
      </c>
      <c r="BZ29" s="3">
        <v>48.54081</v>
      </c>
      <c r="CA29" s="3">
        <v>32.555599000000001</v>
      </c>
      <c r="CB29" s="3">
        <v>46.395587999999996</v>
      </c>
      <c r="CC29" s="3">
        <v>53.680542000000003</v>
      </c>
      <c r="CD29" s="3">
        <v>49.888798000000001</v>
      </c>
      <c r="CE29" s="3">
        <v>57.162964000000002</v>
      </c>
      <c r="CF29" s="3">
        <v>48.825699</v>
      </c>
      <c r="CG29" s="3">
        <v>54.515202000000002</v>
      </c>
      <c r="CH29" s="3">
        <v>50.806148999999998</v>
      </c>
      <c r="CI29" s="3">
        <v>38.732292000000001</v>
      </c>
      <c r="CJ29" s="3">
        <v>43.49091</v>
      </c>
      <c r="CK29" s="3">
        <v>37.364249999999998</v>
      </c>
      <c r="CL29" s="3">
        <v>38.773529000000003</v>
      </c>
      <c r="CM29" s="3">
        <v>51.224418999999997</v>
      </c>
      <c r="CN29" s="3">
        <v>41.648860999999997</v>
      </c>
      <c r="CO29" s="3">
        <v>50.278663999999999</v>
      </c>
      <c r="CP29" s="3">
        <v>34.920200000000001</v>
      </c>
      <c r="CQ29" s="3">
        <v>46.268143000000002</v>
      </c>
      <c r="CR29" s="3">
        <v>59.471778999999998</v>
      </c>
      <c r="CS29" s="3">
        <v>63.050548999999997</v>
      </c>
      <c r="CT29" s="3">
        <v>45.566966999999998</v>
      </c>
      <c r="CU29" s="3">
        <v>37.099494999999997</v>
      </c>
      <c r="CV29" s="3">
        <v>52.481856999999998</v>
      </c>
      <c r="CW29" s="3">
        <v>41.429774999999999</v>
      </c>
      <c r="CX29" s="3">
        <v>40.929820999999997</v>
      </c>
      <c r="CY29" s="3">
        <v>67.632155999999995</v>
      </c>
      <c r="CZ29" s="3">
        <v>44.646811999999997</v>
      </c>
      <c r="DA29" s="3">
        <v>47.368355000000001</v>
      </c>
      <c r="DB29" s="3">
        <v>34.767498000000003</v>
      </c>
      <c r="DC29" s="3">
        <v>47.026051000000002</v>
      </c>
      <c r="DD29" s="3">
        <v>52.054305999999997</v>
      </c>
      <c r="DE29" s="3">
        <v>49.663162</v>
      </c>
      <c r="DF29" s="3">
        <v>52.493343000000003</v>
      </c>
      <c r="DG29" s="3">
        <v>49.329414</v>
      </c>
      <c r="DH29" s="3">
        <v>41.015529999999998</v>
      </c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3"/>
      <c r="FQ29" s="3"/>
      <c r="FR29" s="3"/>
      <c r="FS29" s="3"/>
      <c r="FT29" s="3"/>
      <c r="FU29" s="3"/>
      <c r="FV29" s="3"/>
      <c r="FW29" s="3"/>
      <c r="FX29" s="3"/>
      <c r="FY29" s="3"/>
      <c r="FZ29" s="3"/>
      <c r="GA29" s="3"/>
      <c r="GB29" s="3"/>
      <c r="GC29" s="3"/>
      <c r="GD29" s="3"/>
      <c r="GE29" s="3"/>
      <c r="GF29" s="3"/>
      <c r="GG29" s="3"/>
      <c r="GH29" s="3"/>
      <c r="GI29" s="3"/>
      <c r="GJ29" s="3"/>
      <c r="GK29" s="3"/>
      <c r="GL29" s="3"/>
      <c r="GM29" s="3"/>
      <c r="GN29" s="3"/>
      <c r="GO29" s="3"/>
      <c r="GP29" s="3"/>
      <c r="GQ29" s="3"/>
      <c r="GR29" s="3"/>
      <c r="GS29" s="3"/>
      <c r="GT29" s="3"/>
      <c r="GU29" s="3"/>
      <c r="GV29" s="3"/>
      <c r="GW29" s="3"/>
      <c r="GX29" s="3"/>
      <c r="GY29" s="3"/>
    </row>
    <row r="30" spans="2:207" x14ac:dyDescent="0.2">
      <c r="G30" s="3"/>
      <c r="H30" s="3"/>
      <c r="I30" s="3"/>
      <c r="J30" s="3"/>
      <c r="K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  <c r="FN30" s="3"/>
      <c r="FO30" s="3"/>
      <c r="FP30" s="3"/>
      <c r="FQ30" s="3"/>
      <c r="FR30" s="3"/>
      <c r="FS30" s="3"/>
      <c r="FT30" s="3"/>
      <c r="FU30" s="3"/>
      <c r="FV30" s="3"/>
      <c r="FW30" s="3"/>
      <c r="FX30" s="3"/>
      <c r="FY30" s="3"/>
      <c r="FZ30" s="3"/>
      <c r="GA30" s="3"/>
      <c r="GB30" s="3"/>
      <c r="GC30" s="3"/>
      <c r="GD30" s="3"/>
      <c r="GE30" s="3"/>
      <c r="GF30" s="3"/>
      <c r="GG30" s="3"/>
      <c r="GH30" s="3"/>
      <c r="GI30" s="3"/>
      <c r="GJ30" s="3"/>
      <c r="GK30" s="3"/>
      <c r="GL30" s="3"/>
      <c r="GM30" s="3"/>
      <c r="GN30" s="3"/>
      <c r="GO30" s="3"/>
      <c r="GP30" s="3"/>
      <c r="GQ30" s="3"/>
      <c r="GR30" s="3"/>
      <c r="GS30" s="3"/>
      <c r="GT30" s="3"/>
      <c r="GU30" s="3"/>
      <c r="GV30" s="3"/>
      <c r="GW30" s="3"/>
      <c r="GX30" s="3"/>
      <c r="GY30" s="3"/>
    </row>
    <row r="31" spans="2:207" x14ac:dyDescent="0.2">
      <c r="D31" t="s">
        <v>7</v>
      </c>
      <c r="E31" t="s">
        <v>6</v>
      </c>
      <c r="F31">
        <f>COUNT(M31:GJ31)</f>
        <v>100</v>
      </c>
      <c r="G31" s="3">
        <f>AVERAGE(M31:GJ31)</f>
        <v>48.474393639999981</v>
      </c>
      <c r="H31" s="3">
        <f>MAX(M31:GJ31)</f>
        <v>69.388367000000002</v>
      </c>
      <c r="I31" s="3">
        <f>MIN(M31:GJ31)</f>
        <v>35.939864999999998</v>
      </c>
      <c r="J31" s="3">
        <f>_xlfn.STDEV.P(M31:GJ31)</f>
        <v>6.8352369312198604</v>
      </c>
      <c r="K31" s="3">
        <f>_xlfn.VAR.S(M31:GJ31)</f>
        <v>47.19238778374968</v>
      </c>
      <c r="M31" s="3">
        <v>60.259117000000003</v>
      </c>
      <c r="N31" s="3">
        <v>47.918883999999998</v>
      </c>
      <c r="O31" s="3">
        <v>42.933411</v>
      </c>
      <c r="P31" s="3">
        <v>57.841213000000003</v>
      </c>
      <c r="Q31" s="3">
        <v>44.371837999999997</v>
      </c>
      <c r="R31" s="3">
        <v>46.747238000000003</v>
      </c>
      <c r="S31" s="3">
        <v>60.023651000000001</v>
      </c>
      <c r="T31" s="3">
        <v>47.059562999999997</v>
      </c>
      <c r="U31" s="3">
        <v>48.461917999999997</v>
      </c>
      <c r="V31" s="3">
        <v>54.287643000000003</v>
      </c>
      <c r="W31" s="3">
        <v>50.016556000000001</v>
      </c>
      <c r="X31" s="3">
        <v>57.070866000000002</v>
      </c>
      <c r="Y31" s="3">
        <v>59.389927</v>
      </c>
      <c r="Z31" s="3">
        <v>60.598323999999998</v>
      </c>
      <c r="AA31" s="3">
        <v>47.415954999999997</v>
      </c>
      <c r="AB31" s="3">
        <v>40.681891999999998</v>
      </c>
      <c r="AC31" s="3">
        <v>47.214615000000002</v>
      </c>
      <c r="AD31" s="3">
        <v>43.197239000000003</v>
      </c>
      <c r="AE31" s="3">
        <v>36.350014000000002</v>
      </c>
      <c r="AF31" s="3">
        <v>43.04007</v>
      </c>
      <c r="AG31" s="3">
        <v>58.501820000000002</v>
      </c>
      <c r="AH31" s="3">
        <v>53.880661000000003</v>
      </c>
      <c r="AI31" s="3">
        <v>44.132750999999999</v>
      </c>
      <c r="AJ31" s="3">
        <v>59.901009000000002</v>
      </c>
      <c r="AK31" s="3">
        <v>51.301487000000002</v>
      </c>
      <c r="AL31" s="3">
        <v>48.964973000000001</v>
      </c>
      <c r="AM31" s="3">
        <v>35.939864999999998</v>
      </c>
      <c r="AN31" s="3">
        <v>42.673358999999998</v>
      </c>
      <c r="AO31" s="3">
        <v>47.370204999999999</v>
      </c>
      <c r="AP31" s="3">
        <v>40.679447000000003</v>
      </c>
      <c r="AQ31" s="3">
        <v>48.993988000000002</v>
      </c>
      <c r="AR31" s="3">
        <v>52.352291000000001</v>
      </c>
      <c r="AS31" s="3">
        <v>48.389468999999998</v>
      </c>
      <c r="AT31" s="3">
        <v>38.352646</v>
      </c>
      <c r="AU31" s="3">
        <v>47.068184000000002</v>
      </c>
      <c r="AV31" s="3">
        <v>42.237040999999998</v>
      </c>
      <c r="AW31" s="3">
        <v>41.580387000000002</v>
      </c>
      <c r="AX31" s="3">
        <v>56.561069000000003</v>
      </c>
      <c r="AY31" s="3">
        <v>47.055664</v>
      </c>
      <c r="AZ31" s="3">
        <v>46.657035999999998</v>
      </c>
      <c r="BA31" s="3">
        <v>38.155906999999999</v>
      </c>
      <c r="BB31" s="3">
        <v>38.052258000000002</v>
      </c>
      <c r="BC31" s="3">
        <v>42.886040000000001</v>
      </c>
      <c r="BD31" s="3">
        <v>38.811202999999999</v>
      </c>
      <c r="BE31" s="3">
        <v>58.917865999999997</v>
      </c>
      <c r="BF31" s="3">
        <v>47.872013000000003</v>
      </c>
      <c r="BG31" s="3">
        <v>49.003543999999998</v>
      </c>
      <c r="BH31" s="3">
        <v>48.720219</v>
      </c>
      <c r="BI31" s="3">
        <v>38.563305</v>
      </c>
      <c r="BJ31" s="3">
        <v>52.488109999999999</v>
      </c>
      <c r="BK31" s="3">
        <v>44.677813999999998</v>
      </c>
      <c r="BL31" s="3">
        <v>39.279651999999999</v>
      </c>
      <c r="BM31" s="3">
        <v>43.178707000000003</v>
      </c>
      <c r="BN31" s="3">
        <v>50.198647000000001</v>
      </c>
      <c r="BO31" s="3">
        <v>47.959240000000001</v>
      </c>
      <c r="BP31" s="3">
        <v>50.583610999999998</v>
      </c>
      <c r="BQ31" s="3">
        <v>62.957766999999997</v>
      </c>
      <c r="BR31" s="3">
        <v>42.702469000000001</v>
      </c>
      <c r="BS31" s="3">
        <v>40.907066</v>
      </c>
      <c r="BT31" s="3">
        <v>40.928809999999999</v>
      </c>
      <c r="BU31" s="3">
        <v>47.954932999999997</v>
      </c>
      <c r="BV31" s="3">
        <v>50.358989999999999</v>
      </c>
      <c r="BW31" s="3">
        <v>49.347427000000003</v>
      </c>
      <c r="BX31" s="3">
        <v>51.494370000000004</v>
      </c>
      <c r="BY31" s="3">
        <v>41.839599999999997</v>
      </c>
      <c r="BZ31" s="3">
        <v>38.270153000000001</v>
      </c>
      <c r="CA31" s="3">
        <v>44.457962000000002</v>
      </c>
      <c r="CB31" s="3">
        <v>43.798737000000003</v>
      </c>
      <c r="CC31" s="3">
        <v>40.902915999999998</v>
      </c>
      <c r="CD31" s="3">
        <v>49.276133999999999</v>
      </c>
      <c r="CE31" s="3">
        <v>46.134810999999999</v>
      </c>
      <c r="CF31" s="3">
        <v>55.210228000000001</v>
      </c>
      <c r="CG31" s="3">
        <v>57.503086000000003</v>
      </c>
      <c r="CH31" s="3">
        <v>40.853828</v>
      </c>
      <c r="CI31" s="3">
        <v>47.532547000000001</v>
      </c>
      <c r="CJ31" s="3">
        <v>46.661282</v>
      </c>
      <c r="CK31" s="3">
        <v>42.957607000000003</v>
      </c>
      <c r="CL31" s="3">
        <v>49.387535</v>
      </c>
      <c r="CM31" s="3">
        <v>46.131618000000003</v>
      </c>
      <c r="CN31" s="3">
        <v>60.071891999999998</v>
      </c>
      <c r="CO31" s="3">
        <v>51.187016</v>
      </c>
      <c r="CP31" s="3">
        <v>58.999329000000003</v>
      </c>
      <c r="CQ31" s="3">
        <v>48.144848000000003</v>
      </c>
      <c r="CR31" s="3">
        <v>50.282226999999999</v>
      </c>
      <c r="CS31" s="3">
        <v>51.191833000000003</v>
      </c>
      <c r="CT31" s="3">
        <v>54.323203999999997</v>
      </c>
      <c r="CU31" s="3">
        <v>42.995525000000001</v>
      </c>
      <c r="CV31" s="3">
        <v>55.828358000000001</v>
      </c>
      <c r="CW31" s="3">
        <v>69.388367000000002</v>
      </c>
      <c r="CX31" s="3">
        <v>47.649872000000002</v>
      </c>
      <c r="CY31" s="3">
        <v>54.135021000000002</v>
      </c>
      <c r="CZ31" s="3">
        <v>49.369548999999999</v>
      </c>
      <c r="DA31" s="3">
        <v>36.073073999999998</v>
      </c>
      <c r="DB31" s="3">
        <v>49.127766000000001</v>
      </c>
      <c r="DC31" s="3">
        <v>47.391941000000003</v>
      </c>
      <c r="DD31" s="3">
        <v>51.639400000000002</v>
      </c>
      <c r="DE31" s="3">
        <v>56.781222999999997</v>
      </c>
      <c r="DF31" s="3">
        <v>47.925891999999997</v>
      </c>
      <c r="DG31" s="3">
        <v>49.210472000000003</v>
      </c>
      <c r="DH31" s="3">
        <v>61.331257000000001</v>
      </c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/>
      <c r="FJ31" s="3"/>
      <c r="FK31" s="3"/>
      <c r="FL31" s="3"/>
      <c r="FM31" s="3"/>
      <c r="FN31" s="3"/>
      <c r="FO31" s="3"/>
      <c r="FP31" s="3"/>
      <c r="FQ31" s="3"/>
      <c r="FR31" s="3"/>
      <c r="FS31" s="3"/>
      <c r="FT31" s="3"/>
      <c r="FU31" s="3"/>
      <c r="FV31" s="3"/>
      <c r="FW31" s="3"/>
      <c r="FX31" s="3"/>
      <c r="FY31" s="3"/>
      <c r="FZ31" s="3"/>
      <c r="GA31" s="3"/>
      <c r="GB31" s="3"/>
      <c r="GC31" s="3"/>
      <c r="GD31" s="3"/>
      <c r="GE31" s="3"/>
      <c r="GF31" s="3"/>
      <c r="GG31" s="3"/>
      <c r="GH31" s="3"/>
      <c r="GI31" s="3"/>
      <c r="GJ31" s="3"/>
      <c r="GK31" s="3"/>
      <c r="GL31" s="3"/>
      <c r="GM31" s="3"/>
      <c r="GN31" s="3"/>
      <c r="GO31" s="3"/>
      <c r="GP31" s="3"/>
      <c r="GQ31" s="3"/>
      <c r="GR31" s="3"/>
      <c r="GS31" s="3"/>
      <c r="GT31" s="3"/>
      <c r="GU31" s="3"/>
      <c r="GV31" s="3"/>
      <c r="GW31" s="3"/>
      <c r="GX31" s="3"/>
      <c r="GY31" s="3"/>
    </row>
    <row r="32" spans="2:207" x14ac:dyDescent="0.2">
      <c r="G32" s="3"/>
      <c r="H32" s="3"/>
      <c r="I32" s="3"/>
      <c r="J32" s="3"/>
      <c r="K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  <c r="FN32" s="3"/>
      <c r="FO32" s="3"/>
      <c r="FP32" s="3"/>
      <c r="FQ32" s="3"/>
      <c r="FR32" s="3"/>
      <c r="FS32" s="3"/>
      <c r="FT32" s="3"/>
      <c r="FU32" s="3"/>
      <c r="FV32" s="3"/>
      <c r="FW32" s="3"/>
      <c r="FX32" s="3"/>
      <c r="FY32" s="3"/>
      <c r="FZ32" s="3"/>
      <c r="GA32" s="3"/>
      <c r="GB32" s="3"/>
      <c r="GC32" s="3"/>
      <c r="GD32" s="3"/>
      <c r="GE32" s="3"/>
      <c r="GF32" s="3"/>
      <c r="GG32" s="3"/>
      <c r="GH32" s="3"/>
      <c r="GI32" s="3"/>
      <c r="GJ32" s="3"/>
      <c r="GK32" s="3"/>
      <c r="GL32" s="3"/>
      <c r="GM32" s="3"/>
      <c r="GN32" s="3"/>
      <c r="GO32" s="3"/>
      <c r="GP32" s="3"/>
      <c r="GQ32" s="3"/>
      <c r="GR32" s="3"/>
      <c r="GS32" s="3"/>
      <c r="GT32" s="3"/>
      <c r="GU32" s="3"/>
      <c r="GV32" s="3"/>
      <c r="GW32" s="3"/>
      <c r="GX32" s="3"/>
      <c r="GY32" s="3"/>
    </row>
    <row r="33" spans="2:207" x14ac:dyDescent="0.2">
      <c r="D33" t="s">
        <v>10</v>
      </c>
      <c r="E33" t="s">
        <v>6</v>
      </c>
      <c r="F33">
        <f>COUNT(M33:GJ33)</f>
        <v>100</v>
      </c>
      <c r="G33" s="3">
        <f>AVERAGE(M33:GJ33)</f>
        <v>85.256739859999982</v>
      </c>
      <c r="H33" s="3">
        <f>MAX(M33:GJ33)</f>
        <v>105.733604</v>
      </c>
      <c r="I33" s="3">
        <f>MIN(M33:GJ33)</f>
        <v>60.763804999999998</v>
      </c>
      <c r="J33" s="3">
        <f>_xlfn.STDEV.P(M33:GJ33)</f>
        <v>7.8822833731392095</v>
      </c>
      <c r="K33" s="3">
        <f>_xlfn.VAR.S(M33:GJ33)</f>
        <v>62.757970883299826</v>
      </c>
      <c r="M33" s="3">
        <v>92.801811000000001</v>
      </c>
      <c r="N33" s="3">
        <v>81.071944999999999</v>
      </c>
      <c r="O33" s="3">
        <v>78.949448000000004</v>
      </c>
      <c r="P33" s="3">
        <v>88.381050000000002</v>
      </c>
      <c r="Q33" s="3">
        <v>87.566017000000002</v>
      </c>
      <c r="R33" s="3">
        <v>88.047089</v>
      </c>
      <c r="S33" s="3">
        <v>87.200149999999994</v>
      </c>
      <c r="T33" s="3">
        <v>89.490432999999996</v>
      </c>
      <c r="U33" s="3">
        <v>84.344002000000003</v>
      </c>
      <c r="V33" s="3">
        <v>99.247664999999998</v>
      </c>
      <c r="W33" s="3">
        <v>83.759322999999995</v>
      </c>
      <c r="X33" s="3">
        <v>87.339095999999998</v>
      </c>
      <c r="Y33" s="3">
        <v>76.052277000000004</v>
      </c>
      <c r="Z33" s="3">
        <v>85.053528</v>
      </c>
      <c r="AA33" s="3">
        <v>79.969832999999994</v>
      </c>
      <c r="AB33" s="3">
        <v>88.383185999999995</v>
      </c>
      <c r="AC33" s="3">
        <v>60.763804999999998</v>
      </c>
      <c r="AD33" s="3">
        <v>80.274947999999995</v>
      </c>
      <c r="AE33" s="3">
        <v>85.912064000000001</v>
      </c>
      <c r="AF33" s="3">
        <v>94.642853000000002</v>
      </c>
      <c r="AG33" s="3">
        <v>86.594620000000006</v>
      </c>
      <c r="AH33" s="3">
        <v>87.070847000000001</v>
      </c>
      <c r="AI33" s="3">
        <v>86.894149999999996</v>
      </c>
      <c r="AJ33" s="3">
        <v>81.083922999999999</v>
      </c>
      <c r="AK33" s="3">
        <v>90.727608000000004</v>
      </c>
      <c r="AL33" s="3">
        <v>97.688498999999993</v>
      </c>
      <c r="AM33" s="3">
        <v>73.691565999999995</v>
      </c>
      <c r="AN33" s="3">
        <v>85.353043</v>
      </c>
      <c r="AO33" s="3">
        <v>79.904151999999996</v>
      </c>
      <c r="AP33" s="3">
        <v>74.931556999999998</v>
      </c>
      <c r="AQ33" s="3">
        <v>87.667045999999999</v>
      </c>
      <c r="AR33" s="3">
        <v>80.818534999999997</v>
      </c>
      <c r="AS33" s="3">
        <v>86.545897999999994</v>
      </c>
      <c r="AT33" s="3">
        <v>80.450485</v>
      </c>
      <c r="AU33" s="3">
        <v>92.114333999999999</v>
      </c>
      <c r="AV33" s="3">
        <v>91.280242999999999</v>
      </c>
      <c r="AW33" s="3">
        <v>83.533157000000003</v>
      </c>
      <c r="AX33" s="3">
        <v>89.844452000000004</v>
      </c>
      <c r="AY33" s="3">
        <v>97.555274999999995</v>
      </c>
      <c r="AZ33" s="3">
        <v>85.635986000000003</v>
      </c>
      <c r="BA33" s="3">
        <v>85.415672000000001</v>
      </c>
      <c r="BB33" s="3">
        <v>64.682297000000005</v>
      </c>
      <c r="BC33" s="3">
        <v>82.703354000000004</v>
      </c>
      <c r="BD33" s="3">
        <v>80.466781999999995</v>
      </c>
      <c r="BE33" s="3">
        <v>87.286263000000005</v>
      </c>
      <c r="BF33" s="3">
        <v>73.765877000000003</v>
      </c>
      <c r="BG33" s="3">
        <v>93.018790999999993</v>
      </c>
      <c r="BH33" s="3">
        <v>84.345771999999997</v>
      </c>
      <c r="BI33" s="3">
        <v>95.550064000000006</v>
      </c>
      <c r="BJ33" s="3">
        <v>86.093117000000007</v>
      </c>
      <c r="BK33" s="3">
        <v>92.779601999999997</v>
      </c>
      <c r="BL33" s="3">
        <v>67.996551999999994</v>
      </c>
      <c r="BM33" s="3">
        <v>74.238608999999997</v>
      </c>
      <c r="BN33" s="3">
        <v>81.946990999999997</v>
      </c>
      <c r="BO33" s="3">
        <v>83.425667000000004</v>
      </c>
      <c r="BP33" s="3">
        <v>80.337813999999995</v>
      </c>
      <c r="BQ33" s="3">
        <v>82.450400999999999</v>
      </c>
      <c r="BR33" s="3">
        <v>82.511550999999997</v>
      </c>
      <c r="BS33" s="3">
        <v>83.880629999999996</v>
      </c>
      <c r="BT33" s="3">
        <v>97.168976000000001</v>
      </c>
      <c r="BU33" s="3">
        <v>75.102196000000006</v>
      </c>
      <c r="BV33" s="3">
        <v>79.747771999999998</v>
      </c>
      <c r="BW33" s="3">
        <v>89.763687000000004</v>
      </c>
      <c r="BX33" s="3">
        <v>86.835999000000001</v>
      </c>
      <c r="BY33" s="3">
        <v>94.054992999999996</v>
      </c>
      <c r="BZ33" s="3">
        <v>95.090027000000006</v>
      </c>
      <c r="CA33" s="3">
        <v>70.392075000000006</v>
      </c>
      <c r="CB33" s="3">
        <v>74.916077000000001</v>
      </c>
      <c r="CC33" s="3">
        <v>82.071349999999995</v>
      </c>
      <c r="CD33" s="3">
        <v>83.987183000000002</v>
      </c>
      <c r="CE33" s="3">
        <v>81.558104999999998</v>
      </c>
      <c r="CF33" s="3">
        <v>84.760323</v>
      </c>
      <c r="CG33" s="3">
        <v>96.673439000000002</v>
      </c>
      <c r="CH33" s="3">
        <v>90.063461000000004</v>
      </c>
      <c r="CI33" s="3">
        <v>92.758110000000002</v>
      </c>
      <c r="CJ33" s="3">
        <v>93.461051999999995</v>
      </c>
      <c r="CK33" s="3">
        <v>89.386154000000005</v>
      </c>
      <c r="CL33" s="3">
        <v>80.764702</v>
      </c>
      <c r="CM33" s="3">
        <v>83.211783999999994</v>
      </c>
      <c r="CN33" s="3">
        <v>87.107048000000006</v>
      </c>
      <c r="CO33" s="3">
        <v>89.106598000000005</v>
      </c>
      <c r="CP33" s="3">
        <v>79.450446999999997</v>
      </c>
      <c r="CQ33" s="3">
        <v>86.374352000000002</v>
      </c>
      <c r="CR33" s="3">
        <v>85.412643000000003</v>
      </c>
      <c r="CS33" s="3">
        <v>105.733604</v>
      </c>
      <c r="CT33" s="3">
        <v>80.903182999999999</v>
      </c>
      <c r="CU33" s="3">
        <v>73.893173000000004</v>
      </c>
      <c r="CV33" s="3">
        <v>87.432227999999995</v>
      </c>
      <c r="CW33" s="3">
        <v>100.43956</v>
      </c>
      <c r="CX33" s="3">
        <v>89.196906999999996</v>
      </c>
      <c r="CY33" s="3">
        <v>86.152869999999993</v>
      </c>
      <c r="CZ33" s="3">
        <v>63.382874000000001</v>
      </c>
      <c r="DA33" s="3">
        <v>87.192336999999995</v>
      </c>
      <c r="DB33" s="3">
        <v>78.177368000000001</v>
      </c>
      <c r="DC33" s="3">
        <v>86.539542999999995</v>
      </c>
      <c r="DD33" s="3">
        <v>88.084366000000003</v>
      </c>
      <c r="DE33" s="3">
        <v>88.024474999999995</v>
      </c>
      <c r="DF33" s="3">
        <v>102.58551799999999</v>
      </c>
      <c r="DG33" s="3">
        <v>83.562613999999996</v>
      </c>
      <c r="DH33" s="3">
        <v>93.623108000000002</v>
      </c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3"/>
      <c r="FN33" s="3"/>
      <c r="FO33" s="3"/>
      <c r="FP33" s="3"/>
      <c r="FQ33" s="3"/>
      <c r="FR33" s="3"/>
      <c r="FS33" s="3"/>
      <c r="FT33" s="3"/>
      <c r="FU33" s="3"/>
      <c r="FV33" s="3"/>
      <c r="FW33" s="3"/>
      <c r="FX33" s="3"/>
      <c r="FY33" s="3"/>
      <c r="FZ33" s="3"/>
      <c r="GA33" s="3"/>
      <c r="GB33" s="3"/>
      <c r="GC33" s="3"/>
      <c r="GD33" s="3"/>
      <c r="GE33" s="3"/>
      <c r="GF33" s="3"/>
      <c r="GG33" s="3"/>
      <c r="GH33" s="3"/>
      <c r="GI33" s="3"/>
      <c r="GJ33" s="3"/>
      <c r="GK33" s="3"/>
      <c r="GL33" s="3"/>
      <c r="GM33" s="3"/>
      <c r="GN33" s="3"/>
      <c r="GO33" s="3"/>
      <c r="GP33" s="3"/>
      <c r="GQ33" s="3"/>
      <c r="GR33" s="3"/>
      <c r="GS33" s="3"/>
      <c r="GT33" s="3"/>
      <c r="GU33" s="3"/>
      <c r="GV33" s="3"/>
      <c r="GW33" s="3"/>
      <c r="GX33" s="3"/>
      <c r="GY33" s="3"/>
    </row>
    <row r="34" spans="2:207" x14ac:dyDescent="0.2">
      <c r="G34" s="3"/>
      <c r="H34" s="3"/>
      <c r="I34" s="3"/>
      <c r="J34" s="3"/>
      <c r="K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  <c r="FM34" s="3"/>
      <c r="FN34" s="3"/>
      <c r="FO34" s="3"/>
      <c r="FP34" s="3"/>
      <c r="FQ34" s="3"/>
      <c r="FR34" s="3"/>
      <c r="FS34" s="3"/>
      <c r="FT34" s="3"/>
      <c r="FU34" s="3"/>
      <c r="FV34" s="3"/>
      <c r="FW34" s="3"/>
      <c r="FX34" s="3"/>
      <c r="FY34" s="3"/>
      <c r="FZ34" s="3"/>
      <c r="GA34" s="3"/>
      <c r="GB34" s="3"/>
      <c r="GC34" s="3"/>
      <c r="GD34" s="3"/>
      <c r="GE34" s="3"/>
      <c r="GF34" s="3"/>
      <c r="GG34" s="3"/>
      <c r="GH34" s="3"/>
      <c r="GI34" s="3"/>
      <c r="GJ34" s="3"/>
      <c r="GK34" s="3"/>
      <c r="GL34" s="3"/>
      <c r="GM34" s="3"/>
      <c r="GN34" s="3"/>
      <c r="GO34" s="3"/>
      <c r="GP34" s="3"/>
      <c r="GQ34" s="3"/>
      <c r="GR34" s="3"/>
      <c r="GS34" s="3"/>
      <c r="GT34" s="3"/>
      <c r="GU34" s="3"/>
      <c r="GV34" s="3"/>
      <c r="GW34" s="3"/>
      <c r="GX34" s="3"/>
      <c r="GY34" s="3"/>
    </row>
    <row r="35" spans="2:207" x14ac:dyDescent="0.2">
      <c r="D35" t="s">
        <v>11</v>
      </c>
      <c r="E35" t="s">
        <v>6</v>
      </c>
      <c r="F35">
        <f>COUNT(M35:GJ35)</f>
        <v>100</v>
      </c>
      <c r="G35" s="3">
        <f>AVERAGE(M35:GJ35)</f>
        <v>99.062745949999965</v>
      </c>
      <c r="H35" s="3">
        <f>MAX(M35:GJ35)</f>
        <v>115.009247</v>
      </c>
      <c r="I35" s="3">
        <f>MIN(M35:GJ35)</f>
        <v>65.833220999999995</v>
      </c>
      <c r="J35" s="3">
        <f>_xlfn.STDEV.P(M35:GJ35)</f>
        <v>6.8927847994521878</v>
      </c>
      <c r="K35" s="3">
        <f>_xlfn.VAR.S(M35:GJ35)</f>
        <v>47.990386153090036</v>
      </c>
      <c r="M35" s="3">
        <v>108.40068100000001</v>
      </c>
      <c r="N35" s="3">
        <v>106.619621</v>
      </c>
      <c r="O35" s="3">
        <v>92.884048000000007</v>
      </c>
      <c r="P35" s="3">
        <v>91.898880000000005</v>
      </c>
      <c r="Q35" s="3">
        <v>96.477333000000002</v>
      </c>
      <c r="R35" s="3">
        <v>98.868499999999997</v>
      </c>
      <c r="S35" s="3">
        <v>98.496398999999997</v>
      </c>
      <c r="T35" s="3">
        <v>98.352203000000003</v>
      </c>
      <c r="U35" s="3">
        <v>92.512435999999994</v>
      </c>
      <c r="V35" s="3">
        <v>96.803191999999996</v>
      </c>
      <c r="W35" s="3">
        <v>95.605430999999996</v>
      </c>
      <c r="X35" s="3">
        <v>88.957924000000006</v>
      </c>
      <c r="Y35" s="3">
        <v>92.735236999999998</v>
      </c>
      <c r="Z35" s="3">
        <v>101.91310900000001</v>
      </c>
      <c r="AA35" s="3">
        <v>97.631057999999996</v>
      </c>
      <c r="AB35" s="3">
        <v>94.189171000000002</v>
      </c>
      <c r="AC35" s="3">
        <v>99.026732999999993</v>
      </c>
      <c r="AD35" s="3">
        <v>93.613158999999996</v>
      </c>
      <c r="AE35" s="3">
        <v>104.652069</v>
      </c>
      <c r="AF35" s="3">
        <v>105.245529</v>
      </c>
      <c r="AG35" s="3">
        <v>99.112319999999997</v>
      </c>
      <c r="AH35" s="3">
        <v>99.189094999999995</v>
      </c>
      <c r="AI35" s="3">
        <v>103.19059799999999</v>
      </c>
      <c r="AJ35" s="3">
        <v>97.303543000000005</v>
      </c>
      <c r="AK35" s="3">
        <v>95.585991000000007</v>
      </c>
      <c r="AL35" s="3">
        <v>95.780379999999994</v>
      </c>
      <c r="AM35" s="3">
        <v>88.024673000000007</v>
      </c>
      <c r="AN35" s="3">
        <v>101.103836</v>
      </c>
      <c r="AO35" s="3">
        <v>95.701262999999997</v>
      </c>
      <c r="AP35" s="3">
        <v>115.009247</v>
      </c>
      <c r="AQ35" s="3">
        <v>80.340546000000003</v>
      </c>
      <c r="AR35" s="3">
        <v>99.189301</v>
      </c>
      <c r="AS35" s="3">
        <v>104.91851800000001</v>
      </c>
      <c r="AT35" s="3">
        <v>94.405190000000005</v>
      </c>
      <c r="AU35" s="3">
        <v>95.551895000000002</v>
      </c>
      <c r="AV35" s="3">
        <v>100.5243</v>
      </c>
      <c r="AW35" s="3">
        <v>95.294021999999998</v>
      </c>
      <c r="AX35" s="3">
        <v>97.072379999999995</v>
      </c>
      <c r="AY35" s="3">
        <v>104.08886699999999</v>
      </c>
      <c r="AZ35" s="3">
        <v>92.299262999999996</v>
      </c>
      <c r="BA35" s="3">
        <v>96.803612000000001</v>
      </c>
      <c r="BB35" s="3">
        <v>108.99015799999999</v>
      </c>
      <c r="BC35" s="3">
        <v>103.70116400000001</v>
      </c>
      <c r="BD35" s="3">
        <v>105.124313</v>
      </c>
      <c r="BE35" s="3">
        <v>111.804283</v>
      </c>
      <c r="BF35" s="3">
        <v>101.68776699999999</v>
      </c>
      <c r="BG35" s="3">
        <v>100.06017300000001</v>
      </c>
      <c r="BH35" s="3">
        <v>110.80978399999999</v>
      </c>
      <c r="BI35" s="3">
        <v>99.720230000000001</v>
      </c>
      <c r="BJ35" s="3">
        <v>101.51222199999999</v>
      </c>
      <c r="BK35" s="3">
        <v>97.928886000000006</v>
      </c>
      <c r="BL35" s="3">
        <v>106.39997099999999</v>
      </c>
      <c r="BM35" s="3">
        <v>101.04753100000001</v>
      </c>
      <c r="BN35" s="3">
        <v>98.486243999999999</v>
      </c>
      <c r="BO35" s="3">
        <v>108.46307400000001</v>
      </c>
      <c r="BP35" s="3">
        <v>91.784164000000004</v>
      </c>
      <c r="BQ35" s="3">
        <v>111.463852</v>
      </c>
      <c r="BR35" s="3">
        <v>108.050995</v>
      </c>
      <c r="BS35" s="3">
        <v>95.969994</v>
      </c>
      <c r="BT35" s="3">
        <v>102.03209699999999</v>
      </c>
      <c r="BU35" s="3">
        <v>103.783783</v>
      </c>
      <c r="BV35" s="3">
        <v>105.482399</v>
      </c>
      <c r="BW35" s="3">
        <v>95.042061000000004</v>
      </c>
      <c r="BX35" s="3">
        <v>109.33197800000001</v>
      </c>
      <c r="BY35" s="3">
        <v>101.319489</v>
      </c>
      <c r="BZ35" s="3">
        <v>99.009499000000005</v>
      </c>
      <c r="CA35" s="3">
        <v>105.52570299999999</v>
      </c>
      <c r="CB35" s="3">
        <v>104.20124800000001</v>
      </c>
      <c r="CC35" s="3">
        <v>104.20414700000001</v>
      </c>
      <c r="CD35" s="3">
        <v>104.05722</v>
      </c>
      <c r="CE35" s="3">
        <v>98.160919000000007</v>
      </c>
      <c r="CF35" s="3">
        <v>93.084114</v>
      </c>
      <c r="CG35" s="3">
        <v>94.911681999999999</v>
      </c>
      <c r="CH35" s="3">
        <v>95.687613999999996</v>
      </c>
      <c r="CI35" s="3">
        <v>98.930442999999997</v>
      </c>
      <c r="CJ35" s="3">
        <v>92.552291999999994</v>
      </c>
      <c r="CK35" s="3">
        <v>102.637642</v>
      </c>
      <c r="CL35" s="3">
        <v>98.195839000000007</v>
      </c>
      <c r="CM35" s="3">
        <v>101.246674</v>
      </c>
      <c r="CN35" s="3">
        <v>98.676659000000001</v>
      </c>
      <c r="CO35" s="3">
        <v>104.529388</v>
      </c>
      <c r="CP35" s="3">
        <v>103.282509</v>
      </c>
      <c r="CQ35" s="3">
        <v>95.216590999999994</v>
      </c>
      <c r="CR35" s="3">
        <v>104.321487</v>
      </c>
      <c r="CS35" s="3">
        <v>95.688254999999998</v>
      </c>
      <c r="CT35" s="3">
        <v>91.436301999999998</v>
      </c>
      <c r="CU35" s="3">
        <v>65.833220999999995</v>
      </c>
      <c r="CV35" s="3">
        <v>88.037659000000005</v>
      </c>
      <c r="CW35" s="3">
        <v>108.20105700000001</v>
      </c>
      <c r="CX35" s="3">
        <v>99.255791000000002</v>
      </c>
      <c r="CY35" s="3">
        <v>90.933334000000002</v>
      </c>
      <c r="CZ35" s="3">
        <v>94.001723999999996</v>
      </c>
      <c r="DA35" s="3">
        <v>104.835548</v>
      </c>
      <c r="DB35" s="3">
        <v>101.404404</v>
      </c>
      <c r="DC35" s="3">
        <v>92.919128000000001</v>
      </c>
      <c r="DD35" s="3">
        <v>96.777175999999997</v>
      </c>
      <c r="DE35" s="3">
        <v>90.513205999999997</v>
      </c>
      <c r="DF35" s="3">
        <v>108.84103399999999</v>
      </c>
      <c r="DG35" s="3">
        <v>92.255234000000002</v>
      </c>
      <c r="DH35" s="3">
        <v>101.541687</v>
      </c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3"/>
      <c r="FZ35" s="3"/>
      <c r="GA35" s="3"/>
      <c r="GB35" s="3"/>
      <c r="GC35" s="3"/>
      <c r="GD35" s="3"/>
      <c r="GE35" s="3"/>
      <c r="GF35" s="3"/>
      <c r="GG35" s="3"/>
      <c r="GH35" s="3"/>
      <c r="GI35" s="3"/>
      <c r="GJ35" s="3"/>
      <c r="GK35" s="3"/>
      <c r="GL35" s="3"/>
      <c r="GM35" s="3"/>
      <c r="GN35" s="3"/>
      <c r="GO35" s="3"/>
      <c r="GP35" s="3"/>
      <c r="GQ35" s="3"/>
      <c r="GR35" s="3"/>
      <c r="GS35" s="3"/>
      <c r="GT35" s="3"/>
      <c r="GU35" s="3"/>
      <c r="GV35" s="3"/>
      <c r="GW35" s="3"/>
      <c r="GX35" s="3"/>
      <c r="GY35" s="3"/>
    </row>
    <row r="36" spans="2:207" x14ac:dyDescent="0.2">
      <c r="G36" s="3"/>
      <c r="H36" s="3"/>
      <c r="I36" s="3"/>
      <c r="J36" s="3"/>
      <c r="K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  <c r="FN36" s="3"/>
      <c r="FO36" s="3"/>
      <c r="FP36" s="3"/>
      <c r="FQ36" s="3"/>
      <c r="FR36" s="3"/>
      <c r="FS36" s="3"/>
      <c r="FT36" s="3"/>
      <c r="FU36" s="3"/>
      <c r="FV36" s="3"/>
      <c r="FW36" s="3"/>
      <c r="FX36" s="3"/>
      <c r="FY36" s="3"/>
      <c r="FZ36" s="3"/>
      <c r="GA36" s="3"/>
      <c r="GB36" s="3"/>
      <c r="GC36" s="3"/>
      <c r="GD36" s="3"/>
      <c r="GE36" s="3"/>
      <c r="GF36" s="3"/>
      <c r="GG36" s="3"/>
      <c r="GH36" s="3"/>
      <c r="GI36" s="3"/>
      <c r="GJ36" s="3"/>
      <c r="GK36" s="3"/>
      <c r="GL36" s="3"/>
      <c r="GM36" s="3"/>
      <c r="GN36" s="3"/>
      <c r="GO36" s="3"/>
      <c r="GP36" s="3"/>
      <c r="GQ36" s="3"/>
      <c r="GR36" s="3"/>
      <c r="GS36" s="3"/>
      <c r="GT36" s="3"/>
      <c r="GU36" s="3"/>
      <c r="GV36" s="3"/>
      <c r="GW36" s="3"/>
      <c r="GX36" s="3"/>
      <c r="GY36" s="3"/>
    </row>
    <row r="38" spans="2:207" x14ac:dyDescent="0.2">
      <c r="B38" t="s">
        <v>18</v>
      </c>
      <c r="D38" s="1" t="s">
        <v>24</v>
      </c>
    </row>
    <row r="39" spans="2:207" x14ac:dyDescent="0.2">
      <c r="B39" s="2" t="s">
        <v>21</v>
      </c>
      <c r="D39" t="s">
        <v>8</v>
      </c>
      <c r="E39" t="s">
        <v>6</v>
      </c>
      <c r="F39">
        <f>COUNT(M39:GJ39)</f>
        <v>75</v>
      </c>
      <c r="G39" s="3">
        <f>AVERAGE(M39:GJ39)</f>
        <v>87.045934906666659</v>
      </c>
      <c r="H39" s="3">
        <f>MAX(M39:GJ39)</f>
        <v>93.375504000000006</v>
      </c>
      <c r="I39" s="3">
        <f>MIN(M39:GJ39)</f>
        <v>71.612212999999997</v>
      </c>
      <c r="J39" s="3">
        <f>_xlfn.STDEV.P(M39:GJ39)</f>
        <v>3.5412081654794076</v>
      </c>
      <c r="K39" s="3">
        <f>_xlfn.VAR.S(M39:GJ39)</f>
        <v>12.709616828977737</v>
      </c>
      <c r="M39" s="3">
        <v>86.070496000000006</v>
      </c>
      <c r="N39" s="3">
        <v>83.447922000000005</v>
      </c>
      <c r="O39" s="3">
        <v>84.674987999999999</v>
      </c>
      <c r="P39" s="3">
        <v>88.290961999999993</v>
      </c>
      <c r="Q39" s="3">
        <v>87.353722000000005</v>
      </c>
      <c r="R39" s="3">
        <v>77.646538000000007</v>
      </c>
      <c r="S39" s="3">
        <v>89.474402999999995</v>
      </c>
      <c r="T39" s="3">
        <v>88.636154000000005</v>
      </c>
      <c r="U39" s="3">
        <v>89.839241000000001</v>
      </c>
      <c r="V39" s="3">
        <v>90.616919999999993</v>
      </c>
      <c r="W39" s="3">
        <v>88.779572000000002</v>
      </c>
      <c r="X39" s="3">
        <v>90.219314999999995</v>
      </c>
      <c r="Y39" s="3">
        <v>86.445899999999995</v>
      </c>
      <c r="Z39" s="3">
        <v>86.090851000000001</v>
      </c>
      <c r="AA39" s="3">
        <v>86.803595999999999</v>
      </c>
      <c r="AB39" s="3">
        <v>85.012649999999994</v>
      </c>
      <c r="AC39" s="3">
        <v>86.268912999999998</v>
      </c>
      <c r="AD39" s="3">
        <v>88.193969999999993</v>
      </c>
      <c r="AE39" s="3">
        <v>85.922707000000003</v>
      </c>
      <c r="AF39" s="3">
        <v>86.731255000000004</v>
      </c>
      <c r="AG39" s="3">
        <v>90.372024999999994</v>
      </c>
      <c r="AH39" s="3">
        <v>89.076453999999998</v>
      </c>
      <c r="AI39" s="3">
        <v>91.224143999999995</v>
      </c>
      <c r="AJ39" s="3">
        <v>83.637664999999998</v>
      </c>
      <c r="AK39" s="3">
        <v>89.283935999999997</v>
      </c>
      <c r="AL39" s="3">
        <v>88.978133999999997</v>
      </c>
      <c r="AM39" s="3">
        <v>85.619774000000007</v>
      </c>
      <c r="AN39" s="3">
        <v>88.872321999999997</v>
      </c>
      <c r="AO39" s="3">
        <v>92.455085999999994</v>
      </c>
      <c r="AP39" s="3">
        <v>87.794678000000005</v>
      </c>
      <c r="AQ39" s="3">
        <v>87.948372000000006</v>
      </c>
      <c r="AR39" s="3">
        <v>89.464805999999996</v>
      </c>
      <c r="AS39" s="3">
        <v>88.496337999999994</v>
      </c>
      <c r="AT39" s="3">
        <v>86.602478000000005</v>
      </c>
      <c r="AU39" s="3">
        <v>84.548598999999996</v>
      </c>
      <c r="AV39" s="3">
        <v>84.241364000000004</v>
      </c>
      <c r="AW39" s="3">
        <v>88.610328999999993</v>
      </c>
      <c r="AX39" s="3">
        <v>91.131270999999998</v>
      </c>
      <c r="AY39" s="3">
        <v>85.760932999999994</v>
      </c>
      <c r="AZ39" s="3">
        <v>90.450111000000007</v>
      </c>
      <c r="BA39" s="3">
        <v>87.520729000000003</v>
      </c>
      <c r="BB39" s="3">
        <v>90.022582999999997</v>
      </c>
      <c r="BC39" s="3">
        <v>85.162719999999993</v>
      </c>
      <c r="BD39" s="3">
        <v>87.863640000000004</v>
      </c>
      <c r="BE39" s="3">
        <v>86.841605999999999</v>
      </c>
      <c r="BF39" s="3">
        <v>88.366973999999999</v>
      </c>
      <c r="BG39" s="3">
        <v>87.869461000000001</v>
      </c>
      <c r="BH39" s="3">
        <v>86.144820999999993</v>
      </c>
      <c r="BI39" s="3">
        <v>88.402901</v>
      </c>
      <c r="BJ39" s="3">
        <v>90.360504000000006</v>
      </c>
      <c r="BK39" s="3">
        <v>85.202499000000003</v>
      </c>
      <c r="BL39" s="3">
        <v>93.375504000000006</v>
      </c>
      <c r="BM39" s="3">
        <v>81.6614</v>
      </c>
      <c r="BN39" s="3">
        <v>88.740639000000002</v>
      </c>
      <c r="BO39" s="3">
        <v>86.281936999999999</v>
      </c>
      <c r="BP39" s="3">
        <v>75.521561000000005</v>
      </c>
      <c r="BQ39" s="3">
        <v>87.902762999999993</v>
      </c>
      <c r="BR39" s="3">
        <v>84.881950000000003</v>
      </c>
      <c r="BS39" s="3">
        <v>86.274817999999996</v>
      </c>
      <c r="BT39" s="3">
        <v>89.861930999999998</v>
      </c>
      <c r="BU39" s="3">
        <v>87.714279000000005</v>
      </c>
      <c r="BV39" s="3">
        <v>87.652671999999995</v>
      </c>
      <c r="BW39" s="3">
        <v>90.527122000000006</v>
      </c>
      <c r="BX39" s="3">
        <v>86.638580000000005</v>
      </c>
      <c r="BY39" s="3">
        <v>88.350464000000002</v>
      </c>
      <c r="BZ39" s="3">
        <v>82.986435</v>
      </c>
      <c r="CA39" s="3">
        <v>84.709586999999999</v>
      </c>
      <c r="CB39" s="3">
        <v>90.543639999999996</v>
      </c>
      <c r="CC39" s="3">
        <v>71.612212999999997</v>
      </c>
      <c r="CD39" s="3">
        <v>85.619506999999999</v>
      </c>
      <c r="CE39" s="3">
        <v>85.982215999999994</v>
      </c>
      <c r="CF39" s="3">
        <v>90.701133999999996</v>
      </c>
      <c r="CG39" s="3">
        <v>78.417441999999994</v>
      </c>
      <c r="CH39" s="3">
        <v>88.669257999999999</v>
      </c>
      <c r="CI39" s="3">
        <v>88.970733999999993</v>
      </c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  <c r="FP39" s="3"/>
      <c r="FQ39" s="3"/>
      <c r="FR39" s="3"/>
      <c r="FS39" s="3"/>
      <c r="FT39" s="3"/>
      <c r="FU39" s="3"/>
      <c r="FV39" s="3"/>
      <c r="FW39" s="3"/>
      <c r="FX39" s="3"/>
      <c r="FY39" s="3"/>
      <c r="FZ39" s="3"/>
      <c r="GA39" s="3"/>
      <c r="GB39" s="3"/>
      <c r="GC39" s="3"/>
      <c r="GD39" s="3"/>
      <c r="GE39" s="3"/>
      <c r="GF39" s="3"/>
      <c r="GG39" s="3"/>
      <c r="GH39" s="3"/>
      <c r="GI39" s="3"/>
      <c r="GJ39" s="3"/>
      <c r="GK39" s="3"/>
      <c r="GL39" s="3"/>
      <c r="GM39" s="3"/>
      <c r="GN39" s="3"/>
      <c r="GO39" s="3"/>
      <c r="GP39" s="3"/>
      <c r="GQ39" s="3"/>
      <c r="GR39" s="3"/>
      <c r="GS39" s="3"/>
      <c r="GT39" s="3"/>
      <c r="GU39" s="3"/>
      <c r="GV39" s="3"/>
      <c r="GW39" s="3"/>
      <c r="GX39" s="3"/>
      <c r="GY39" s="3"/>
    </row>
    <row r="40" spans="2:207" x14ac:dyDescent="0.2">
      <c r="B40" s="2" t="s">
        <v>29</v>
      </c>
      <c r="G40" s="3"/>
      <c r="H40" s="3"/>
      <c r="I40" s="3"/>
      <c r="J40" s="3"/>
      <c r="K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  <c r="FN40" s="3"/>
      <c r="FO40" s="3"/>
      <c r="FP40" s="3"/>
      <c r="FQ40" s="3"/>
      <c r="FR40" s="3"/>
      <c r="FS40" s="3"/>
      <c r="FT40" s="3"/>
      <c r="FU40" s="3"/>
      <c r="FV40" s="3"/>
      <c r="FW40" s="3"/>
      <c r="FX40" s="3"/>
      <c r="FY40" s="3"/>
      <c r="FZ40" s="3"/>
      <c r="GA40" s="3"/>
      <c r="GB40" s="3"/>
      <c r="GC40" s="3"/>
      <c r="GD40" s="3"/>
      <c r="GE40" s="3"/>
      <c r="GF40" s="3"/>
      <c r="GG40" s="3"/>
      <c r="GH40" s="3"/>
      <c r="GI40" s="3"/>
      <c r="GJ40" s="3"/>
      <c r="GK40" s="3"/>
      <c r="GL40" s="3"/>
      <c r="GM40" s="3"/>
      <c r="GN40" s="3"/>
      <c r="GO40" s="3"/>
      <c r="GP40" s="3"/>
      <c r="GQ40" s="3"/>
      <c r="GR40" s="3"/>
      <c r="GS40" s="3"/>
      <c r="GT40" s="3"/>
      <c r="GU40" s="3"/>
      <c r="GV40" s="3"/>
      <c r="GW40" s="3"/>
      <c r="GX40" s="3"/>
      <c r="GY40" s="3"/>
    </row>
    <row r="41" spans="2:207" x14ac:dyDescent="0.2">
      <c r="B41" s="2" t="s">
        <v>26</v>
      </c>
      <c r="D41" t="s">
        <v>9</v>
      </c>
      <c r="E41" t="s">
        <v>6</v>
      </c>
      <c r="F41">
        <f>COUNT(M41:GJ41)</f>
        <v>100</v>
      </c>
      <c r="G41" s="3">
        <f>AVERAGE(M41:GJ41)</f>
        <v>45.061496519999992</v>
      </c>
      <c r="H41" s="3">
        <f>MAX(M41:GJ41)</f>
        <v>63.360900999999998</v>
      </c>
      <c r="I41" s="3">
        <f>MIN(M41:GJ41)</f>
        <v>30.526116999999999</v>
      </c>
      <c r="J41" s="3">
        <f>_xlfn.STDEV.P(M41:GJ41)</f>
        <v>6.239197181743517</v>
      </c>
      <c r="K41" s="3">
        <f>_xlfn.VAR.S(M41:GJ41)</f>
        <v>39.320789366339646</v>
      </c>
      <c r="M41" s="3">
        <v>33.125495999999998</v>
      </c>
      <c r="N41" s="3">
        <v>40.268718999999997</v>
      </c>
      <c r="O41" s="3">
        <v>52.697254000000001</v>
      </c>
      <c r="P41" s="3">
        <v>37.899410000000003</v>
      </c>
      <c r="Q41" s="3">
        <v>48.730671000000001</v>
      </c>
      <c r="R41" s="3">
        <v>46.363765999999998</v>
      </c>
      <c r="S41" s="3">
        <v>49.705081999999997</v>
      </c>
      <c r="T41" s="3">
        <v>33.696658999999997</v>
      </c>
      <c r="U41" s="3">
        <v>36.114941000000002</v>
      </c>
      <c r="V41" s="3">
        <v>50.122318</v>
      </c>
      <c r="W41" s="3">
        <v>46.815486999999997</v>
      </c>
      <c r="X41" s="3">
        <v>44.403377999999996</v>
      </c>
      <c r="Y41" s="3">
        <v>40.764111</v>
      </c>
      <c r="Z41" s="3">
        <v>61.668205</v>
      </c>
      <c r="AA41" s="3">
        <v>45.852241999999997</v>
      </c>
      <c r="AB41" s="3">
        <v>47.611384999999999</v>
      </c>
      <c r="AC41" s="3">
        <v>50.420425000000002</v>
      </c>
      <c r="AD41" s="3">
        <v>42.605182999999997</v>
      </c>
      <c r="AE41" s="3">
        <v>38.052086000000003</v>
      </c>
      <c r="AF41" s="3">
        <v>47.721111000000001</v>
      </c>
      <c r="AG41" s="3">
        <v>45.792682999999997</v>
      </c>
      <c r="AH41" s="3">
        <v>41.914650000000002</v>
      </c>
      <c r="AI41" s="3">
        <v>49.942450999999998</v>
      </c>
      <c r="AJ41" s="3">
        <v>46.999115000000003</v>
      </c>
      <c r="AK41" s="3">
        <v>55.863163</v>
      </c>
      <c r="AL41" s="3">
        <v>41.866028</v>
      </c>
      <c r="AM41" s="3">
        <v>36.610905000000002</v>
      </c>
      <c r="AN41" s="3">
        <v>43.534348000000001</v>
      </c>
      <c r="AO41" s="3">
        <v>46.623961999999999</v>
      </c>
      <c r="AP41" s="3">
        <v>48.503880000000002</v>
      </c>
      <c r="AQ41" s="3">
        <v>54.626297000000001</v>
      </c>
      <c r="AR41" s="3">
        <v>46.951163999999999</v>
      </c>
      <c r="AS41" s="3">
        <v>32.890704999999997</v>
      </c>
      <c r="AT41" s="3">
        <v>39.524563000000001</v>
      </c>
      <c r="AU41" s="3">
        <v>45.580055000000002</v>
      </c>
      <c r="AV41" s="3">
        <v>46.507542000000001</v>
      </c>
      <c r="AW41" s="3">
        <v>44.120322999999999</v>
      </c>
      <c r="AX41" s="3">
        <v>41.983069999999998</v>
      </c>
      <c r="AY41" s="3">
        <v>46.196392000000003</v>
      </c>
      <c r="AZ41" s="3">
        <v>52.918571</v>
      </c>
      <c r="BA41" s="3">
        <v>35.230643999999998</v>
      </c>
      <c r="BB41" s="3">
        <v>39.488857000000003</v>
      </c>
      <c r="BC41" s="3">
        <v>37.713183999999998</v>
      </c>
      <c r="BD41" s="3">
        <v>43.378974999999997</v>
      </c>
      <c r="BE41" s="3">
        <v>46.912894999999999</v>
      </c>
      <c r="BF41" s="3">
        <v>48.307364999999997</v>
      </c>
      <c r="BG41" s="3">
        <v>44.459564</v>
      </c>
      <c r="BH41" s="3">
        <v>43.298859</v>
      </c>
      <c r="BI41" s="3">
        <v>45.505389999999998</v>
      </c>
      <c r="BJ41" s="3">
        <v>48.926082999999998</v>
      </c>
      <c r="BK41" s="3">
        <v>42.957138</v>
      </c>
      <c r="BL41" s="3">
        <v>30.526116999999999</v>
      </c>
      <c r="BM41" s="3">
        <v>44.445003999999997</v>
      </c>
      <c r="BN41" s="3">
        <v>46.807105999999997</v>
      </c>
      <c r="BO41" s="3">
        <v>47.848049000000003</v>
      </c>
      <c r="BP41" s="3">
        <v>48.171695999999997</v>
      </c>
      <c r="BQ41" s="3">
        <v>43.932056000000003</v>
      </c>
      <c r="BR41" s="3">
        <v>44.558841999999999</v>
      </c>
      <c r="BS41" s="3">
        <v>41.506698999999998</v>
      </c>
      <c r="BT41" s="3">
        <v>47.807490999999999</v>
      </c>
      <c r="BU41" s="3">
        <v>53.743549000000002</v>
      </c>
      <c r="BV41" s="3">
        <v>34.482796</v>
      </c>
      <c r="BW41" s="3">
        <v>45.628535999999997</v>
      </c>
      <c r="BX41" s="3">
        <v>43.088852000000003</v>
      </c>
      <c r="BY41" s="3">
        <v>49.321990999999997</v>
      </c>
      <c r="BZ41" s="3">
        <v>45.365543000000002</v>
      </c>
      <c r="CA41" s="3">
        <v>32.322902999999997</v>
      </c>
      <c r="CB41" s="3">
        <v>44.946753999999999</v>
      </c>
      <c r="CC41" s="3">
        <v>57.427734000000001</v>
      </c>
      <c r="CD41" s="3">
        <v>48.947963999999999</v>
      </c>
      <c r="CE41" s="3">
        <v>51.911064000000003</v>
      </c>
      <c r="CF41" s="3">
        <v>50.149551000000002</v>
      </c>
      <c r="CG41" s="3">
        <v>52.313930999999997</v>
      </c>
      <c r="CH41" s="3">
        <v>49.480342999999998</v>
      </c>
      <c r="CI41" s="3">
        <v>39.126747000000002</v>
      </c>
      <c r="CJ41" s="3">
        <v>41.789734000000003</v>
      </c>
      <c r="CK41" s="3">
        <v>38.506278999999999</v>
      </c>
      <c r="CL41" s="3">
        <v>37.870669999999997</v>
      </c>
      <c r="CM41" s="3">
        <v>50.031039999999997</v>
      </c>
      <c r="CN41" s="3">
        <v>40.549778000000003</v>
      </c>
      <c r="CO41" s="3">
        <v>43.231017999999999</v>
      </c>
      <c r="CP41" s="3">
        <v>38.680957999999997</v>
      </c>
      <c r="CQ41" s="3">
        <v>43.864204000000001</v>
      </c>
      <c r="CR41" s="3">
        <v>56.041145</v>
      </c>
      <c r="CS41" s="3">
        <v>54.395454000000001</v>
      </c>
      <c r="CT41" s="3">
        <v>43.150108000000003</v>
      </c>
      <c r="CU41" s="3">
        <v>36.879978000000001</v>
      </c>
      <c r="CV41" s="3">
        <v>53.400379000000001</v>
      </c>
      <c r="CW41" s="3">
        <v>39.581211000000003</v>
      </c>
      <c r="CX41" s="3">
        <v>39.949511999999999</v>
      </c>
      <c r="CY41" s="3">
        <v>63.360900999999998</v>
      </c>
      <c r="CZ41" s="3">
        <v>43.454566999999997</v>
      </c>
      <c r="DA41" s="3">
        <v>45.206135000000003</v>
      </c>
      <c r="DB41" s="3">
        <v>36.634101999999999</v>
      </c>
      <c r="DC41" s="3">
        <v>45.50938</v>
      </c>
      <c r="DD41" s="3">
        <v>51.626480000000001</v>
      </c>
      <c r="DE41" s="3">
        <v>47.466166999999999</v>
      </c>
      <c r="DF41" s="3">
        <v>52.415793999999998</v>
      </c>
      <c r="DG41" s="3">
        <v>48.933418000000003</v>
      </c>
      <c r="DH41" s="3">
        <v>39.993172000000001</v>
      </c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  <c r="FM41" s="3"/>
      <c r="FN41" s="3"/>
      <c r="FO41" s="3"/>
      <c r="FP41" s="3"/>
      <c r="FQ41" s="3"/>
      <c r="FR41" s="3"/>
      <c r="FS41" s="3"/>
      <c r="FT41" s="3"/>
      <c r="FU41" s="3"/>
      <c r="FV41" s="3"/>
      <c r="FW41" s="3"/>
      <c r="FX41" s="3"/>
      <c r="FY41" s="3"/>
      <c r="FZ41" s="3"/>
      <c r="GA41" s="3"/>
      <c r="GB41" s="3"/>
      <c r="GC41" s="3"/>
      <c r="GD41" s="3"/>
      <c r="GE41" s="3"/>
      <c r="GF41" s="3"/>
      <c r="GG41" s="3"/>
      <c r="GH41" s="3"/>
      <c r="GI41" s="3"/>
      <c r="GJ41" s="3"/>
      <c r="GK41" s="3"/>
      <c r="GL41" s="3"/>
      <c r="GM41" s="3"/>
      <c r="GN41" s="3"/>
      <c r="GO41" s="3"/>
      <c r="GP41" s="3"/>
      <c r="GQ41" s="3"/>
      <c r="GR41" s="3"/>
      <c r="GS41" s="3"/>
      <c r="GT41" s="3"/>
      <c r="GU41" s="3"/>
      <c r="GV41" s="3"/>
      <c r="GW41" s="3"/>
      <c r="GX41" s="3"/>
      <c r="GY41" s="3"/>
    </row>
    <row r="42" spans="2:207" x14ac:dyDescent="0.2">
      <c r="G42" s="3"/>
      <c r="H42" s="3"/>
      <c r="I42" s="3"/>
      <c r="J42" s="3"/>
      <c r="K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  <c r="FM42" s="3"/>
      <c r="FN42" s="3"/>
      <c r="FO42" s="3"/>
      <c r="FP42" s="3"/>
      <c r="FQ42" s="3"/>
      <c r="FR42" s="3"/>
      <c r="FS42" s="3"/>
      <c r="FT42" s="3"/>
      <c r="FU42" s="3"/>
      <c r="FV42" s="3"/>
      <c r="FW42" s="3"/>
      <c r="FX42" s="3"/>
      <c r="FY42" s="3"/>
      <c r="FZ42" s="3"/>
      <c r="GA42" s="3"/>
      <c r="GB42" s="3"/>
      <c r="GC42" s="3"/>
      <c r="GD42" s="3"/>
      <c r="GE42" s="3"/>
      <c r="GF42" s="3"/>
      <c r="GG42" s="3"/>
      <c r="GH42" s="3"/>
      <c r="GI42" s="3"/>
      <c r="GJ42" s="3"/>
      <c r="GK42" s="3"/>
      <c r="GL42" s="3"/>
      <c r="GM42" s="3"/>
      <c r="GN42" s="3"/>
      <c r="GO42" s="3"/>
      <c r="GP42" s="3"/>
      <c r="GQ42" s="3"/>
      <c r="GR42" s="3"/>
      <c r="GS42" s="3"/>
      <c r="GT42" s="3"/>
      <c r="GU42" s="3"/>
      <c r="GV42" s="3"/>
      <c r="GW42" s="3"/>
      <c r="GX42" s="3"/>
      <c r="GY42" s="3"/>
    </row>
    <row r="43" spans="2:207" x14ac:dyDescent="0.2">
      <c r="D43" t="s">
        <v>7</v>
      </c>
      <c r="E43" t="s">
        <v>6</v>
      </c>
      <c r="F43">
        <f>COUNT(M43:GJ43)</f>
        <v>100</v>
      </c>
      <c r="G43" s="3">
        <f>AVERAGE(M43:GJ43)</f>
        <v>47.909997730000015</v>
      </c>
      <c r="H43" s="3">
        <f>MAX(M43:GJ43)</f>
        <v>61.448925000000003</v>
      </c>
      <c r="I43" s="3">
        <f>MIN(M43:GJ43)</f>
        <v>39.494556000000003</v>
      </c>
      <c r="J43" s="3">
        <f>_xlfn.STDEV.P(M43:GJ43)</f>
        <v>4.5408289697248971</v>
      </c>
      <c r="K43" s="3">
        <f>_xlfn.VAR.S(M43:GJ43)</f>
        <v>20.827401749790781</v>
      </c>
      <c r="M43" s="3">
        <v>53.874096000000002</v>
      </c>
      <c r="N43" s="3">
        <v>47.823428999999997</v>
      </c>
      <c r="O43" s="3">
        <v>47.149177999999999</v>
      </c>
      <c r="P43" s="3">
        <v>53.604664</v>
      </c>
      <c r="Q43" s="3">
        <v>46.035091000000001</v>
      </c>
      <c r="R43" s="3">
        <v>47.036037</v>
      </c>
      <c r="S43" s="3">
        <v>53.433948999999998</v>
      </c>
      <c r="T43" s="3">
        <v>47.069156999999997</v>
      </c>
      <c r="U43" s="3">
        <v>46.841656</v>
      </c>
      <c r="V43" s="3">
        <v>57.156654000000003</v>
      </c>
      <c r="W43" s="3">
        <v>48.258113999999999</v>
      </c>
      <c r="X43" s="3">
        <v>49.979438999999999</v>
      </c>
      <c r="Y43" s="3">
        <v>57.635525000000001</v>
      </c>
      <c r="Z43" s="3">
        <v>53.732532999999997</v>
      </c>
      <c r="AA43" s="3">
        <v>50.114773</v>
      </c>
      <c r="AB43" s="3">
        <v>42.376548999999997</v>
      </c>
      <c r="AC43" s="3">
        <v>48.225315000000002</v>
      </c>
      <c r="AD43" s="3">
        <v>44.544041</v>
      </c>
      <c r="AE43" s="3">
        <v>39.633395999999998</v>
      </c>
      <c r="AF43" s="3">
        <v>42.597152999999999</v>
      </c>
      <c r="AG43" s="3">
        <v>52.949264999999997</v>
      </c>
      <c r="AH43" s="3">
        <v>50.943027000000001</v>
      </c>
      <c r="AI43" s="3">
        <v>45.161906999999999</v>
      </c>
      <c r="AJ43" s="3">
        <v>56.764198</v>
      </c>
      <c r="AK43" s="3">
        <v>45.605148</v>
      </c>
      <c r="AL43" s="3">
        <v>46.546543</v>
      </c>
      <c r="AM43" s="3">
        <v>41.035758999999999</v>
      </c>
      <c r="AN43" s="3">
        <v>48.238998000000002</v>
      </c>
      <c r="AO43" s="3">
        <v>44.534953999999999</v>
      </c>
      <c r="AP43" s="3">
        <v>44.846724999999999</v>
      </c>
      <c r="AQ43" s="3">
        <v>49.616024000000003</v>
      </c>
      <c r="AR43" s="3">
        <v>48.563614000000001</v>
      </c>
      <c r="AS43" s="3">
        <v>48.261023999999999</v>
      </c>
      <c r="AT43" s="3">
        <v>39.494556000000003</v>
      </c>
      <c r="AU43" s="3">
        <v>50.306804999999997</v>
      </c>
      <c r="AV43" s="3">
        <v>44.450237000000001</v>
      </c>
      <c r="AW43" s="3">
        <v>43.179564999999997</v>
      </c>
      <c r="AX43" s="3">
        <v>53.769866999999998</v>
      </c>
      <c r="AY43" s="3">
        <v>47.103622000000001</v>
      </c>
      <c r="AZ43" s="3">
        <v>47.407505</v>
      </c>
      <c r="BA43" s="3">
        <v>42.418410999999999</v>
      </c>
      <c r="BB43" s="3">
        <v>40.181572000000003</v>
      </c>
      <c r="BC43" s="3">
        <v>43.852859000000002</v>
      </c>
      <c r="BD43" s="3">
        <v>42.123016</v>
      </c>
      <c r="BE43" s="3">
        <v>56.048575999999997</v>
      </c>
      <c r="BF43" s="3">
        <v>43.794117</v>
      </c>
      <c r="BG43" s="3">
        <v>48.696444999999997</v>
      </c>
      <c r="BH43" s="3">
        <v>46.064853999999997</v>
      </c>
      <c r="BI43" s="3">
        <v>42.388432000000002</v>
      </c>
      <c r="BJ43" s="3">
        <v>47.260013999999998</v>
      </c>
      <c r="BK43" s="3">
        <v>45.300102000000003</v>
      </c>
      <c r="BL43" s="3">
        <v>43.962237999999999</v>
      </c>
      <c r="BM43" s="3">
        <v>46.512656999999997</v>
      </c>
      <c r="BN43" s="3">
        <v>46.013072999999999</v>
      </c>
      <c r="BO43" s="3">
        <v>47.305861999999998</v>
      </c>
      <c r="BP43" s="3">
        <v>49.392864000000003</v>
      </c>
      <c r="BQ43" s="3">
        <v>55.674140999999999</v>
      </c>
      <c r="BR43" s="3">
        <v>44.067089000000003</v>
      </c>
      <c r="BS43" s="3">
        <v>41.210552</v>
      </c>
      <c r="BT43" s="3">
        <v>44.390461000000002</v>
      </c>
      <c r="BU43" s="3">
        <v>47.921824999999998</v>
      </c>
      <c r="BV43" s="3">
        <v>48.162674000000003</v>
      </c>
      <c r="BW43" s="3">
        <v>50.591217</v>
      </c>
      <c r="BX43" s="3">
        <v>50.266365</v>
      </c>
      <c r="BY43" s="3">
        <v>44.030177999999999</v>
      </c>
      <c r="BZ43" s="3">
        <v>42.904086999999997</v>
      </c>
      <c r="CA43" s="3">
        <v>45.550517999999997</v>
      </c>
      <c r="CB43" s="3">
        <v>44.021545000000003</v>
      </c>
      <c r="CC43" s="3">
        <v>41.642055999999997</v>
      </c>
      <c r="CD43" s="3">
        <v>51.061832000000003</v>
      </c>
      <c r="CE43" s="3">
        <v>42.134624000000002</v>
      </c>
      <c r="CF43" s="3">
        <v>54.009963999999997</v>
      </c>
      <c r="CG43" s="3">
        <v>52.131782999999999</v>
      </c>
      <c r="CH43" s="3">
        <v>40.101481999999997</v>
      </c>
      <c r="CI43" s="3">
        <v>43.813769999999998</v>
      </c>
      <c r="CJ43" s="3">
        <v>48.886574000000003</v>
      </c>
      <c r="CK43" s="3">
        <v>45.882572000000003</v>
      </c>
      <c r="CL43" s="3">
        <v>51.177059</v>
      </c>
      <c r="CM43" s="3">
        <v>48.343547999999998</v>
      </c>
      <c r="CN43" s="3">
        <v>52.661385000000003</v>
      </c>
      <c r="CO43" s="3">
        <v>49.147399999999998</v>
      </c>
      <c r="CP43" s="3">
        <v>53.184154999999997</v>
      </c>
      <c r="CQ43" s="3">
        <v>45.714233</v>
      </c>
      <c r="CR43" s="3">
        <v>48.054096000000001</v>
      </c>
      <c r="CS43" s="3">
        <v>53.587466999999997</v>
      </c>
      <c r="CT43" s="3">
        <v>48.544581999999998</v>
      </c>
      <c r="CU43" s="3">
        <v>46.619380999999997</v>
      </c>
      <c r="CV43" s="3">
        <v>57.568710000000003</v>
      </c>
      <c r="CW43" s="3">
        <v>61.448925000000003</v>
      </c>
      <c r="CX43" s="3">
        <v>47.902157000000003</v>
      </c>
      <c r="CY43" s="3">
        <v>52.145350999999998</v>
      </c>
      <c r="CZ43" s="3">
        <v>50.456229999999998</v>
      </c>
      <c r="DA43" s="3">
        <v>40.282733999999998</v>
      </c>
      <c r="DB43" s="3">
        <v>47.486049999999999</v>
      </c>
      <c r="DC43" s="3">
        <v>47.604773999999999</v>
      </c>
      <c r="DD43" s="3">
        <v>48.061520000000002</v>
      </c>
      <c r="DE43" s="3">
        <v>51.347645</v>
      </c>
      <c r="DF43" s="3">
        <v>49.965553</v>
      </c>
      <c r="DG43" s="3">
        <v>48.603306000000003</v>
      </c>
      <c r="DH43" s="3">
        <v>55.423018999999996</v>
      </c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  <c r="FL43" s="3"/>
      <c r="FM43" s="3"/>
      <c r="FN43" s="3"/>
      <c r="FO43" s="3"/>
      <c r="FP43" s="3"/>
      <c r="FQ43" s="3"/>
      <c r="FR43" s="3"/>
      <c r="FS43" s="3"/>
      <c r="FT43" s="3"/>
      <c r="FU43" s="3"/>
      <c r="FV43" s="3"/>
      <c r="FW43" s="3"/>
      <c r="FX43" s="3"/>
      <c r="FY43" s="3"/>
      <c r="FZ43" s="3"/>
      <c r="GA43" s="3"/>
      <c r="GB43" s="3"/>
      <c r="GC43" s="3"/>
      <c r="GD43" s="3"/>
      <c r="GE43" s="3"/>
      <c r="GF43" s="3"/>
      <c r="GG43" s="3"/>
      <c r="GH43" s="3"/>
      <c r="GI43" s="3"/>
      <c r="GJ43" s="3"/>
      <c r="GK43" s="3"/>
      <c r="GL43" s="3"/>
      <c r="GM43" s="3"/>
      <c r="GN43" s="3"/>
      <c r="GO43" s="3"/>
      <c r="GP43" s="3"/>
      <c r="GQ43" s="3"/>
      <c r="GR43" s="3"/>
      <c r="GS43" s="3"/>
      <c r="GT43" s="3"/>
      <c r="GU43" s="3"/>
      <c r="GV43" s="3"/>
      <c r="GW43" s="3"/>
      <c r="GX43" s="3"/>
      <c r="GY43" s="3"/>
    </row>
    <row r="44" spans="2:207" x14ac:dyDescent="0.2">
      <c r="G44" s="3"/>
      <c r="H44" s="3"/>
      <c r="I44" s="3"/>
      <c r="J44" s="3"/>
      <c r="K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  <c r="FL44" s="3"/>
      <c r="FM44" s="3"/>
      <c r="FN44" s="3"/>
      <c r="FO44" s="3"/>
      <c r="FP44" s="3"/>
      <c r="FQ44" s="3"/>
      <c r="FR44" s="3"/>
      <c r="FS44" s="3"/>
      <c r="FT44" s="3"/>
      <c r="FU44" s="3"/>
      <c r="FV44" s="3"/>
      <c r="FW44" s="3"/>
      <c r="FX44" s="3"/>
      <c r="FY44" s="3"/>
      <c r="FZ44" s="3"/>
      <c r="GA44" s="3"/>
      <c r="GB44" s="3"/>
      <c r="GC44" s="3"/>
      <c r="GD44" s="3"/>
      <c r="GE44" s="3"/>
      <c r="GF44" s="3"/>
      <c r="GG44" s="3"/>
      <c r="GH44" s="3"/>
      <c r="GI44" s="3"/>
      <c r="GJ44" s="3"/>
      <c r="GK44" s="3"/>
      <c r="GL44" s="3"/>
      <c r="GM44" s="3"/>
      <c r="GN44" s="3"/>
      <c r="GO44" s="3"/>
      <c r="GP44" s="3"/>
      <c r="GQ44" s="3"/>
      <c r="GR44" s="3"/>
      <c r="GS44" s="3"/>
      <c r="GT44" s="3"/>
      <c r="GU44" s="3"/>
      <c r="GV44" s="3"/>
      <c r="GW44" s="3"/>
      <c r="GX44" s="3"/>
      <c r="GY44" s="3"/>
    </row>
    <row r="45" spans="2:207" x14ac:dyDescent="0.2">
      <c r="D45" t="s">
        <v>10</v>
      </c>
      <c r="E45" t="s">
        <v>6</v>
      </c>
      <c r="F45">
        <f>COUNT(M45:GJ45)</f>
        <v>100</v>
      </c>
      <c r="G45" s="3">
        <f>AVERAGE(M45:GJ45)</f>
        <v>69.353415670000004</v>
      </c>
      <c r="H45" s="3">
        <f>MAX(M45:GJ45)</f>
        <v>80.264411999999993</v>
      </c>
      <c r="I45" s="3">
        <f>MIN(M45:GJ45)</f>
        <v>52.194339999999997</v>
      </c>
      <c r="J45" s="3">
        <f>_xlfn.STDEV.P(M45:GJ45)</f>
        <v>5.408092219188843</v>
      </c>
      <c r="K45" s="3">
        <f>_xlfn.VAR.S(M45:GJ45)</f>
        <v>29.542890354798889</v>
      </c>
      <c r="M45" s="3">
        <v>73.984595999999996</v>
      </c>
      <c r="N45" s="3">
        <v>71.182311999999996</v>
      </c>
      <c r="O45" s="3">
        <v>69.422836000000004</v>
      </c>
      <c r="P45" s="3">
        <v>69.378631999999996</v>
      </c>
      <c r="Q45" s="3">
        <v>70.656822000000005</v>
      </c>
      <c r="R45" s="3">
        <v>72.587090000000003</v>
      </c>
      <c r="S45" s="3">
        <v>74.706901999999999</v>
      </c>
      <c r="T45" s="3">
        <v>71.132202000000007</v>
      </c>
      <c r="U45" s="3">
        <v>68.914435999999995</v>
      </c>
      <c r="V45" s="3">
        <v>73.540397999999996</v>
      </c>
      <c r="W45" s="3">
        <v>68.280533000000005</v>
      </c>
      <c r="X45" s="3">
        <v>72.735764000000003</v>
      </c>
      <c r="Y45" s="3">
        <v>67.527061000000003</v>
      </c>
      <c r="Z45" s="3">
        <v>69.190772999999993</v>
      </c>
      <c r="AA45" s="3">
        <v>63.811076999999997</v>
      </c>
      <c r="AB45" s="3">
        <v>75.833275</v>
      </c>
      <c r="AC45" s="3">
        <v>52.194339999999997</v>
      </c>
      <c r="AD45" s="3">
        <v>67.327347000000003</v>
      </c>
      <c r="AE45" s="3">
        <v>67.615707</v>
      </c>
      <c r="AF45" s="3">
        <v>77.109589</v>
      </c>
      <c r="AG45" s="3">
        <v>69.666854999999998</v>
      </c>
      <c r="AH45" s="3">
        <v>65.991135</v>
      </c>
      <c r="AI45" s="3">
        <v>66.155983000000006</v>
      </c>
      <c r="AJ45" s="3">
        <v>63.356547999999997</v>
      </c>
      <c r="AK45" s="3">
        <v>80.264411999999993</v>
      </c>
      <c r="AL45" s="3">
        <v>75.101257000000004</v>
      </c>
      <c r="AM45" s="3">
        <v>67.552124000000006</v>
      </c>
      <c r="AN45" s="3">
        <v>68.712569999999999</v>
      </c>
      <c r="AO45" s="3">
        <v>67.607285000000005</v>
      </c>
      <c r="AP45" s="3">
        <v>64.181747000000001</v>
      </c>
      <c r="AQ45" s="3">
        <v>69.090980999999999</v>
      </c>
      <c r="AR45" s="3">
        <v>71.635559000000001</v>
      </c>
      <c r="AS45" s="3">
        <v>74.588950999999994</v>
      </c>
      <c r="AT45" s="3">
        <v>70.109482</v>
      </c>
      <c r="AU45" s="3">
        <v>70.781120000000001</v>
      </c>
      <c r="AV45" s="3">
        <v>69.735138000000006</v>
      </c>
      <c r="AW45" s="3">
        <v>67.680167999999995</v>
      </c>
      <c r="AX45" s="3">
        <v>78.964645000000004</v>
      </c>
      <c r="AY45" s="3">
        <v>69.592986999999994</v>
      </c>
      <c r="AZ45" s="3">
        <v>68.997489999999999</v>
      </c>
      <c r="BA45" s="3">
        <v>70.859406000000007</v>
      </c>
      <c r="BB45" s="3">
        <v>56.805210000000002</v>
      </c>
      <c r="BC45" s="3">
        <v>63.689383999999997</v>
      </c>
      <c r="BD45" s="3">
        <v>69.272896000000003</v>
      </c>
      <c r="BE45" s="3">
        <v>68.242058</v>
      </c>
      <c r="BF45" s="3">
        <v>61.538113000000003</v>
      </c>
      <c r="BG45" s="3">
        <v>73.336478999999997</v>
      </c>
      <c r="BH45" s="3">
        <v>69.333777999999995</v>
      </c>
      <c r="BI45" s="3">
        <v>72.345687999999996</v>
      </c>
      <c r="BJ45" s="3">
        <v>74.114136000000002</v>
      </c>
      <c r="BK45" s="3">
        <v>75.808800000000005</v>
      </c>
      <c r="BL45" s="3">
        <v>63.376128999999999</v>
      </c>
      <c r="BM45" s="3">
        <v>63.818187999999999</v>
      </c>
      <c r="BN45" s="3">
        <v>70.632819999999995</v>
      </c>
      <c r="BO45" s="3">
        <v>69.033912999999998</v>
      </c>
      <c r="BP45" s="3">
        <v>68.015724000000006</v>
      </c>
      <c r="BQ45" s="3">
        <v>75.516739000000001</v>
      </c>
      <c r="BR45" s="3">
        <v>69.287436999999997</v>
      </c>
      <c r="BS45" s="3">
        <v>70.162682000000004</v>
      </c>
      <c r="BT45" s="3">
        <v>73.327324000000004</v>
      </c>
      <c r="BU45" s="3">
        <v>60.738674000000003</v>
      </c>
      <c r="BV45" s="3">
        <v>69.554237000000001</v>
      </c>
      <c r="BW45" s="3">
        <v>74.303993000000006</v>
      </c>
      <c r="BX45" s="3">
        <v>59.139885</v>
      </c>
      <c r="BY45" s="3">
        <v>77.063445999999999</v>
      </c>
      <c r="BZ45" s="3">
        <v>76.474898999999994</v>
      </c>
      <c r="CA45" s="3">
        <v>58.502636000000003</v>
      </c>
      <c r="CB45" s="3">
        <v>60.764225000000003</v>
      </c>
      <c r="CC45" s="3">
        <v>68.925331</v>
      </c>
      <c r="CD45" s="3">
        <v>66.019301999999996</v>
      </c>
      <c r="CE45" s="3">
        <v>62.234851999999997</v>
      </c>
      <c r="CF45" s="3">
        <v>63.656928999999998</v>
      </c>
      <c r="CG45" s="3">
        <v>75.189743000000007</v>
      </c>
      <c r="CH45" s="3">
        <v>69.914337000000003</v>
      </c>
      <c r="CI45" s="3">
        <v>78.454009999999997</v>
      </c>
      <c r="CJ45" s="3">
        <v>77.166068999999993</v>
      </c>
      <c r="CK45" s="3">
        <v>70.528144999999995</v>
      </c>
      <c r="CL45" s="3">
        <v>68.794205000000005</v>
      </c>
      <c r="CM45" s="3">
        <v>66.099189999999993</v>
      </c>
      <c r="CN45" s="3">
        <v>69.703025999999994</v>
      </c>
      <c r="CO45" s="3">
        <v>68.961967000000001</v>
      </c>
      <c r="CP45" s="3">
        <v>65.878158999999997</v>
      </c>
      <c r="CQ45" s="3">
        <v>74.312354999999997</v>
      </c>
      <c r="CR45" s="3">
        <v>70.879951000000005</v>
      </c>
      <c r="CS45" s="3">
        <v>79.627753999999996</v>
      </c>
      <c r="CT45" s="3">
        <v>64.449134999999998</v>
      </c>
      <c r="CU45" s="3">
        <v>63.132720999999997</v>
      </c>
      <c r="CV45" s="3">
        <v>76.481789000000006</v>
      </c>
      <c r="CW45" s="3">
        <v>73.721153000000001</v>
      </c>
      <c r="CX45" s="3">
        <v>72.016807999999997</v>
      </c>
      <c r="CY45" s="3">
        <v>72.494568000000001</v>
      </c>
      <c r="CZ45" s="3">
        <v>53.899985999999998</v>
      </c>
      <c r="DA45" s="3">
        <v>68.757651999999993</v>
      </c>
      <c r="DB45" s="3">
        <v>63.044601</v>
      </c>
      <c r="DC45" s="3">
        <v>68.480994999999993</v>
      </c>
      <c r="DD45" s="3">
        <v>65.816078000000005</v>
      </c>
      <c r="DE45" s="3">
        <v>65.913634999999999</v>
      </c>
      <c r="DF45" s="3">
        <v>75.590987999999996</v>
      </c>
      <c r="DG45" s="3">
        <v>64.239044000000007</v>
      </c>
      <c r="DH45" s="3">
        <v>79.000061000000002</v>
      </c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  <c r="FM45" s="3"/>
      <c r="FN45" s="3"/>
      <c r="FO45" s="3"/>
      <c r="FP45" s="3"/>
      <c r="FQ45" s="3"/>
      <c r="FR45" s="3"/>
      <c r="FS45" s="3"/>
      <c r="FT45" s="3"/>
      <c r="FU45" s="3"/>
      <c r="FV45" s="3"/>
      <c r="FW45" s="3"/>
      <c r="FX45" s="3"/>
      <c r="FY45" s="3"/>
      <c r="FZ45" s="3"/>
      <c r="GA45" s="3"/>
      <c r="GB45" s="3"/>
      <c r="GC45" s="3"/>
      <c r="GD45" s="3"/>
      <c r="GE45" s="3"/>
      <c r="GF45" s="3"/>
      <c r="GG45" s="3"/>
      <c r="GH45" s="3"/>
      <c r="GI45" s="3"/>
      <c r="GJ45" s="3"/>
      <c r="GK45" s="3"/>
      <c r="GL45" s="3"/>
      <c r="GM45" s="3"/>
      <c r="GN45" s="3"/>
      <c r="GO45" s="3"/>
      <c r="GP45" s="3"/>
      <c r="GQ45" s="3"/>
      <c r="GR45" s="3"/>
      <c r="GS45" s="3"/>
      <c r="GT45" s="3"/>
      <c r="GU45" s="3"/>
      <c r="GV45" s="3"/>
      <c r="GW45" s="3"/>
      <c r="GX45" s="3"/>
      <c r="GY45" s="3"/>
    </row>
    <row r="46" spans="2:207" x14ac:dyDescent="0.2">
      <c r="G46" s="3"/>
      <c r="H46" s="3"/>
      <c r="I46" s="3"/>
      <c r="J46" s="3"/>
      <c r="K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  <c r="FI46" s="3"/>
      <c r="FJ46" s="3"/>
      <c r="FK46" s="3"/>
      <c r="FL46" s="3"/>
      <c r="FM46" s="3"/>
      <c r="FN46" s="3"/>
      <c r="FO46" s="3"/>
      <c r="FP46" s="3"/>
      <c r="FQ46" s="3"/>
      <c r="FR46" s="3"/>
      <c r="FS46" s="3"/>
      <c r="FT46" s="3"/>
      <c r="FU46" s="3"/>
      <c r="FV46" s="3"/>
      <c r="FW46" s="3"/>
      <c r="FX46" s="3"/>
      <c r="FY46" s="3"/>
      <c r="FZ46" s="3"/>
      <c r="GA46" s="3"/>
      <c r="GB46" s="3"/>
      <c r="GC46" s="3"/>
      <c r="GD46" s="3"/>
      <c r="GE46" s="3"/>
      <c r="GF46" s="3"/>
      <c r="GG46" s="3"/>
      <c r="GH46" s="3"/>
      <c r="GI46" s="3"/>
      <c r="GJ46" s="3"/>
      <c r="GK46" s="3"/>
      <c r="GL46" s="3"/>
      <c r="GM46" s="3"/>
      <c r="GN46" s="3"/>
      <c r="GO46" s="3"/>
      <c r="GP46" s="3"/>
      <c r="GQ46" s="3"/>
      <c r="GR46" s="3"/>
      <c r="GS46" s="3"/>
      <c r="GT46" s="3"/>
      <c r="GU46" s="3"/>
      <c r="GV46" s="3"/>
      <c r="GW46" s="3"/>
      <c r="GX46" s="3"/>
      <c r="GY46" s="3"/>
    </row>
    <row r="47" spans="2:207" x14ac:dyDescent="0.2">
      <c r="D47" t="s">
        <v>11</v>
      </c>
      <c r="E47" t="s">
        <v>6</v>
      </c>
      <c r="F47">
        <f>COUNT(M47:GJ47)</f>
        <v>100</v>
      </c>
      <c r="G47" s="3">
        <f>AVERAGE(M47:GJ47)</f>
        <v>81.025389469999993</v>
      </c>
      <c r="H47" s="3">
        <f>MAX(M47:GJ47)</f>
        <v>90.844573999999994</v>
      </c>
      <c r="I47" s="3">
        <f>MIN(M47:GJ47)</f>
        <v>64.120514</v>
      </c>
      <c r="J47" s="3">
        <f>_xlfn.STDEV.P(M47:GJ47)</f>
        <v>4.7045709522026602</v>
      </c>
      <c r="K47" s="3">
        <f>_xlfn.VAR.S(M47:GJ47)</f>
        <v>22.356553378089945</v>
      </c>
      <c r="M47" s="3">
        <v>87.111350999999999</v>
      </c>
      <c r="N47" s="3">
        <v>85.279724000000002</v>
      </c>
      <c r="O47" s="3">
        <v>79.787925999999999</v>
      </c>
      <c r="P47" s="3">
        <v>77.117133999999993</v>
      </c>
      <c r="Q47" s="3">
        <v>79.009276999999997</v>
      </c>
      <c r="R47" s="3">
        <v>81.596664000000004</v>
      </c>
      <c r="S47" s="3">
        <v>86.176993999999993</v>
      </c>
      <c r="T47" s="3">
        <v>78.824432000000002</v>
      </c>
      <c r="U47" s="3">
        <v>79.427475000000001</v>
      </c>
      <c r="V47" s="3">
        <v>82.397132999999997</v>
      </c>
      <c r="W47" s="3">
        <v>78.611136999999999</v>
      </c>
      <c r="X47" s="3">
        <v>71.137466000000003</v>
      </c>
      <c r="Y47" s="3">
        <v>76.400642000000005</v>
      </c>
      <c r="Z47" s="3">
        <v>81.523643000000007</v>
      </c>
      <c r="AA47" s="3">
        <v>80.717483999999999</v>
      </c>
      <c r="AB47" s="3">
        <v>77.411766</v>
      </c>
      <c r="AC47" s="3">
        <v>82.089920000000006</v>
      </c>
      <c r="AD47" s="3">
        <v>78.140548999999993</v>
      </c>
      <c r="AE47" s="3">
        <v>86.199432000000002</v>
      </c>
      <c r="AF47" s="3">
        <v>82.537414999999996</v>
      </c>
      <c r="AG47" s="3">
        <v>78.246314999999996</v>
      </c>
      <c r="AH47" s="3">
        <v>83.587997000000001</v>
      </c>
      <c r="AI47" s="3">
        <v>78.883308</v>
      </c>
      <c r="AJ47" s="3">
        <v>74.971869999999996</v>
      </c>
      <c r="AK47" s="3">
        <v>78.443123</v>
      </c>
      <c r="AL47" s="3">
        <v>77.464966000000004</v>
      </c>
      <c r="AM47" s="3">
        <v>69.940178000000003</v>
      </c>
      <c r="AN47" s="3">
        <v>84.324020000000004</v>
      </c>
      <c r="AO47" s="3">
        <v>81.297248999999994</v>
      </c>
      <c r="AP47" s="3">
        <v>89.887450999999999</v>
      </c>
      <c r="AQ47" s="3">
        <v>67.428116000000003</v>
      </c>
      <c r="AR47" s="3">
        <v>80.739540000000005</v>
      </c>
      <c r="AS47" s="3">
        <v>83.525322000000003</v>
      </c>
      <c r="AT47" s="3">
        <v>76.917984000000004</v>
      </c>
      <c r="AU47" s="3">
        <v>80.254172999999994</v>
      </c>
      <c r="AV47" s="3">
        <v>79.810142999999997</v>
      </c>
      <c r="AW47" s="3">
        <v>75.533051</v>
      </c>
      <c r="AX47" s="3">
        <v>80.216721000000007</v>
      </c>
      <c r="AY47" s="3">
        <v>83.092635999999999</v>
      </c>
      <c r="AZ47" s="3">
        <v>72.427605</v>
      </c>
      <c r="BA47" s="3">
        <v>79.961060000000003</v>
      </c>
      <c r="BB47" s="3">
        <v>85.709723999999994</v>
      </c>
      <c r="BC47" s="3">
        <v>80.837676999999999</v>
      </c>
      <c r="BD47" s="3">
        <v>80.43383</v>
      </c>
      <c r="BE47" s="3">
        <v>86.714325000000002</v>
      </c>
      <c r="BF47" s="3">
        <v>84.032677000000007</v>
      </c>
      <c r="BG47" s="3">
        <v>76.081222999999994</v>
      </c>
      <c r="BH47" s="3">
        <v>85.755073999999993</v>
      </c>
      <c r="BI47" s="3">
        <v>77.770263999999997</v>
      </c>
      <c r="BJ47" s="3">
        <v>78.840759000000006</v>
      </c>
      <c r="BK47" s="3">
        <v>82.505341000000001</v>
      </c>
      <c r="BL47" s="3">
        <v>87.073188999999999</v>
      </c>
      <c r="BM47" s="3">
        <v>84.019538999999995</v>
      </c>
      <c r="BN47" s="3">
        <v>79.286911000000003</v>
      </c>
      <c r="BO47" s="3">
        <v>89.040947000000003</v>
      </c>
      <c r="BP47" s="3">
        <v>75.557654999999997</v>
      </c>
      <c r="BQ47" s="3">
        <v>90.164062000000001</v>
      </c>
      <c r="BR47" s="3">
        <v>85.646759000000003</v>
      </c>
      <c r="BS47" s="3">
        <v>81.880347999999998</v>
      </c>
      <c r="BT47" s="3">
        <v>83.310599999999994</v>
      </c>
      <c r="BU47" s="3">
        <v>83.746978999999996</v>
      </c>
      <c r="BV47" s="3">
        <v>82.183471999999995</v>
      </c>
      <c r="BW47" s="3">
        <v>77.994658999999999</v>
      </c>
      <c r="BX47" s="3">
        <v>88.817954999999998</v>
      </c>
      <c r="BY47" s="3">
        <v>80.920569999999998</v>
      </c>
      <c r="BZ47" s="3">
        <v>81.640808000000007</v>
      </c>
      <c r="CA47" s="3">
        <v>84.650184999999993</v>
      </c>
      <c r="CB47" s="3">
        <v>80.263062000000005</v>
      </c>
      <c r="CC47" s="3">
        <v>81.601219</v>
      </c>
      <c r="CD47" s="3">
        <v>86.617919999999998</v>
      </c>
      <c r="CE47" s="3">
        <v>87.122733999999994</v>
      </c>
      <c r="CF47" s="3">
        <v>75.815467999999996</v>
      </c>
      <c r="CG47" s="3">
        <v>82.023041000000006</v>
      </c>
      <c r="CH47" s="3">
        <v>79.680923000000007</v>
      </c>
      <c r="CI47" s="3">
        <v>80.873444000000006</v>
      </c>
      <c r="CJ47" s="3">
        <v>75.587233999999995</v>
      </c>
      <c r="CK47" s="3">
        <v>89.534667999999996</v>
      </c>
      <c r="CL47" s="3">
        <v>86.489020999999994</v>
      </c>
      <c r="CM47" s="3">
        <v>82.041206000000003</v>
      </c>
      <c r="CN47" s="3">
        <v>81.114272999999997</v>
      </c>
      <c r="CO47" s="3">
        <v>86.176856999999998</v>
      </c>
      <c r="CP47" s="3">
        <v>90.844573999999994</v>
      </c>
      <c r="CQ47" s="3">
        <v>80.198295999999999</v>
      </c>
      <c r="CR47" s="3">
        <v>80.801201000000006</v>
      </c>
      <c r="CS47" s="3">
        <v>79.191010000000006</v>
      </c>
      <c r="CT47" s="3">
        <v>77.639786000000001</v>
      </c>
      <c r="CU47" s="3">
        <v>64.120514</v>
      </c>
      <c r="CV47" s="3">
        <v>76.611136999999999</v>
      </c>
      <c r="CW47" s="3">
        <v>87.858063000000001</v>
      </c>
      <c r="CX47" s="3">
        <v>76.748299000000003</v>
      </c>
      <c r="CY47" s="3">
        <v>75.939094999999995</v>
      </c>
      <c r="CZ47" s="3">
        <v>78.768332999999998</v>
      </c>
      <c r="DA47" s="3">
        <v>82.307991000000001</v>
      </c>
      <c r="DB47" s="3">
        <v>87.978759999999994</v>
      </c>
      <c r="DC47" s="3">
        <v>80.715248000000003</v>
      </c>
      <c r="DD47" s="3">
        <v>79.501296999999994</v>
      </c>
      <c r="DE47" s="3">
        <v>80.185935999999998</v>
      </c>
      <c r="DF47" s="3">
        <v>84.971382000000006</v>
      </c>
      <c r="DG47" s="3">
        <v>79.604713000000004</v>
      </c>
      <c r="DH47" s="3">
        <v>80.546317999999999</v>
      </c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  <c r="FM47" s="3"/>
      <c r="FN47" s="3"/>
      <c r="FO47" s="3"/>
      <c r="FP47" s="3"/>
      <c r="FQ47" s="3"/>
      <c r="FR47" s="3"/>
      <c r="FS47" s="3"/>
      <c r="FT47" s="3"/>
      <c r="FU47" s="3"/>
      <c r="FV47" s="3"/>
      <c r="FW47" s="3"/>
      <c r="FX47" s="3"/>
      <c r="FY47" s="3"/>
      <c r="FZ47" s="3"/>
      <c r="GA47" s="3"/>
      <c r="GB47" s="3"/>
      <c r="GC47" s="3"/>
      <c r="GD47" s="3"/>
      <c r="GE47" s="3"/>
      <c r="GF47" s="3"/>
      <c r="GG47" s="3"/>
      <c r="GH47" s="3"/>
      <c r="GI47" s="3"/>
      <c r="GJ47" s="3"/>
      <c r="GK47" s="3"/>
      <c r="GL47" s="3"/>
      <c r="GM47" s="3"/>
      <c r="GN47" s="3"/>
      <c r="GO47" s="3"/>
      <c r="GP47" s="3"/>
      <c r="GQ47" s="3"/>
      <c r="GR47" s="3"/>
      <c r="GS47" s="3"/>
      <c r="GT47" s="3"/>
      <c r="GU47" s="3"/>
      <c r="GV47" s="3"/>
      <c r="GW47" s="3"/>
      <c r="GX47" s="3"/>
      <c r="GY47" s="3"/>
    </row>
    <row r="49" spans="2:207" x14ac:dyDescent="0.2">
      <c r="D49" s="1"/>
    </row>
    <row r="50" spans="2:207" x14ac:dyDescent="0.2">
      <c r="B50" s="2"/>
      <c r="G50" s="2"/>
      <c r="H50" s="3"/>
      <c r="I50" s="3"/>
      <c r="J50" s="3"/>
      <c r="K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3"/>
      <c r="EK50" s="3"/>
      <c r="EL50" s="3"/>
      <c r="EM50" s="3"/>
      <c r="EN50" s="3"/>
      <c r="EO50" s="3"/>
      <c r="EP50" s="3"/>
      <c r="EQ50" s="3"/>
      <c r="ER50" s="3"/>
      <c r="ES50" s="3"/>
      <c r="ET50" s="3"/>
      <c r="EU50" s="3"/>
      <c r="EV50" s="3"/>
      <c r="EW50" s="3"/>
      <c r="EX50" s="3"/>
      <c r="EY50" s="3"/>
      <c r="EZ50" s="3"/>
      <c r="FA50" s="3"/>
      <c r="FB50" s="3"/>
      <c r="FC50" s="3"/>
      <c r="FD50" s="3"/>
      <c r="FE50" s="3"/>
      <c r="FF50" s="3"/>
      <c r="FG50" s="3"/>
      <c r="FH50" s="3"/>
      <c r="FI50" s="3"/>
      <c r="FJ50" s="3"/>
      <c r="FK50" s="3"/>
      <c r="FL50" s="3"/>
      <c r="FM50" s="3"/>
      <c r="FN50" s="3"/>
      <c r="FO50" s="3"/>
      <c r="FP50" s="3"/>
      <c r="FQ50" s="3"/>
      <c r="FR50" s="3"/>
      <c r="FS50" s="3"/>
      <c r="FT50" s="3"/>
      <c r="FU50" s="3"/>
      <c r="FV50" s="3"/>
      <c r="FW50" s="3"/>
      <c r="FX50" s="3"/>
      <c r="FY50" s="3"/>
      <c r="FZ50" s="3"/>
      <c r="GA50" s="3"/>
      <c r="GB50" s="3"/>
      <c r="GC50" s="3"/>
      <c r="GD50" s="3"/>
      <c r="GE50" s="3"/>
      <c r="GF50" s="3"/>
      <c r="GG50" s="3"/>
      <c r="GH50" s="3"/>
      <c r="GI50" s="3"/>
      <c r="GJ50" s="3"/>
      <c r="GK50" s="3"/>
      <c r="GL50" s="3"/>
      <c r="GM50" s="3"/>
      <c r="GN50" s="3"/>
      <c r="GO50" s="3"/>
      <c r="GP50" s="3"/>
      <c r="GQ50" s="3"/>
      <c r="GR50" s="3"/>
      <c r="GS50" s="3"/>
      <c r="GT50" s="3"/>
      <c r="GU50" s="3"/>
      <c r="GV50" s="3"/>
      <c r="GW50" s="3"/>
      <c r="GX50" s="3"/>
      <c r="GY50" s="3"/>
    </row>
    <row r="51" spans="2:207" x14ac:dyDescent="0.2">
      <c r="B51" s="2"/>
      <c r="G51" s="3"/>
      <c r="H51" s="3"/>
      <c r="I51" s="3"/>
      <c r="J51" s="3"/>
      <c r="K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3"/>
      <c r="EY51" s="3"/>
      <c r="EZ51" s="3"/>
      <c r="FA51" s="3"/>
      <c r="FB51" s="3"/>
      <c r="FC51" s="3"/>
      <c r="FD51" s="3"/>
      <c r="FE51" s="3"/>
      <c r="FF51" s="3"/>
      <c r="FG51" s="3"/>
      <c r="FH51" s="3"/>
      <c r="FI51" s="3"/>
      <c r="FJ51" s="3"/>
      <c r="FK51" s="3"/>
      <c r="FL51" s="3"/>
      <c r="FM51" s="3"/>
      <c r="FN51" s="3"/>
      <c r="FO51" s="3"/>
      <c r="FP51" s="3"/>
      <c r="FQ51" s="3"/>
      <c r="FR51" s="3"/>
      <c r="FS51" s="3"/>
      <c r="FT51" s="3"/>
      <c r="FU51" s="3"/>
      <c r="FV51" s="3"/>
      <c r="FW51" s="3"/>
      <c r="FX51" s="3"/>
      <c r="FY51" s="3"/>
      <c r="FZ51" s="3"/>
      <c r="GA51" s="3"/>
      <c r="GB51" s="3"/>
      <c r="GC51" s="3"/>
      <c r="GD51" s="3"/>
      <c r="GE51" s="3"/>
      <c r="GF51" s="3"/>
      <c r="GG51" s="3"/>
      <c r="GH51" s="3"/>
      <c r="GI51" s="3"/>
      <c r="GJ51" s="3"/>
      <c r="GK51" s="3"/>
      <c r="GL51" s="3"/>
      <c r="GM51" s="3"/>
      <c r="GN51" s="3"/>
      <c r="GO51" s="3"/>
      <c r="GP51" s="3"/>
      <c r="GQ51" s="3"/>
      <c r="GR51" s="3"/>
      <c r="GS51" s="3"/>
      <c r="GT51" s="3"/>
      <c r="GU51" s="3"/>
      <c r="GV51" s="3"/>
      <c r="GW51" s="3"/>
      <c r="GX51" s="3"/>
      <c r="GY51" s="3"/>
    </row>
    <row r="52" spans="2:207" x14ac:dyDescent="0.2">
      <c r="B52" s="2"/>
      <c r="G52" s="3"/>
      <c r="H52" s="3"/>
      <c r="I52" s="3"/>
      <c r="J52" s="3"/>
      <c r="K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3"/>
      <c r="ER52" s="3"/>
      <c r="ES52" s="3"/>
      <c r="ET52" s="3"/>
      <c r="EU52" s="3"/>
      <c r="EV52" s="3"/>
      <c r="EW52" s="3"/>
      <c r="EX52" s="3"/>
      <c r="EY52" s="3"/>
      <c r="EZ52" s="3"/>
      <c r="FA52" s="3"/>
      <c r="FB52" s="3"/>
      <c r="FC52" s="3"/>
      <c r="FD52" s="3"/>
      <c r="FE52" s="3"/>
      <c r="FF52" s="3"/>
      <c r="FG52" s="3"/>
      <c r="FH52" s="3"/>
      <c r="FI52" s="3"/>
      <c r="FJ52" s="3"/>
      <c r="FK52" s="3"/>
      <c r="FL52" s="3"/>
      <c r="FM52" s="3"/>
      <c r="FN52" s="3"/>
      <c r="FO52" s="3"/>
      <c r="FP52" s="3"/>
      <c r="FQ52" s="3"/>
      <c r="FR52" s="3"/>
      <c r="FS52" s="3"/>
      <c r="FT52" s="3"/>
      <c r="FU52" s="3"/>
      <c r="FV52" s="3"/>
      <c r="FW52" s="3"/>
      <c r="FX52" s="3"/>
      <c r="FY52" s="3"/>
      <c r="FZ52" s="3"/>
      <c r="GA52" s="3"/>
      <c r="GB52" s="3"/>
      <c r="GC52" s="3"/>
      <c r="GD52" s="3"/>
      <c r="GE52" s="3"/>
      <c r="GF52" s="3"/>
      <c r="GG52" s="3"/>
      <c r="GH52" s="3"/>
      <c r="GI52" s="3"/>
      <c r="GJ52" s="3"/>
      <c r="GK52" s="3"/>
      <c r="GL52" s="3"/>
      <c r="GM52" s="3"/>
      <c r="GN52" s="3"/>
      <c r="GO52" s="3"/>
      <c r="GP52" s="3"/>
      <c r="GQ52" s="3"/>
      <c r="GR52" s="3"/>
      <c r="GS52" s="3"/>
      <c r="GT52" s="3"/>
      <c r="GU52" s="3"/>
      <c r="GV52" s="3"/>
      <c r="GW52" s="3"/>
      <c r="GX52" s="3"/>
      <c r="GY52" s="3"/>
    </row>
    <row r="53" spans="2:207" x14ac:dyDescent="0.2">
      <c r="G53" s="3"/>
      <c r="H53" s="3"/>
      <c r="I53" s="3"/>
      <c r="J53" s="3"/>
      <c r="K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  <c r="EU53" s="3"/>
      <c r="EV53" s="3"/>
      <c r="EW53" s="3"/>
      <c r="EX53" s="3"/>
      <c r="EY53" s="3"/>
      <c r="EZ53" s="3"/>
      <c r="FA53" s="3"/>
      <c r="FB53" s="3"/>
      <c r="FC53" s="3"/>
      <c r="FD53" s="3"/>
      <c r="FE53" s="3"/>
      <c r="FF53" s="3"/>
      <c r="FG53" s="3"/>
      <c r="FH53" s="3"/>
      <c r="FI53" s="3"/>
      <c r="FJ53" s="3"/>
      <c r="FK53" s="3"/>
      <c r="FL53" s="3"/>
      <c r="FM53" s="3"/>
      <c r="FN53" s="3"/>
      <c r="FO53" s="3"/>
      <c r="FP53" s="3"/>
      <c r="FQ53" s="3"/>
      <c r="FR53" s="3"/>
      <c r="FS53" s="3"/>
      <c r="FT53" s="3"/>
      <c r="FU53" s="3"/>
      <c r="FV53" s="3"/>
      <c r="FW53" s="3"/>
      <c r="FX53" s="3"/>
      <c r="FY53" s="3"/>
      <c r="FZ53" s="3"/>
      <c r="GA53" s="3"/>
      <c r="GB53" s="3"/>
      <c r="GC53" s="3"/>
      <c r="GD53" s="3"/>
      <c r="GE53" s="3"/>
      <c r="GF53" s="3"/>
      <c r="GG53" s="3"/>
      <c r="GH53" s="3"/>
      <c r="GI53" s="3"/>
      <c r="GJ53" s="3"/>
      <c r="GK53" s="3"/>
      <c r="GL53" s="3"/>
      <c r="GM53" s="3"/>
      <c r="GN53" s="3"/>
      <c r="GO53" s="3"/>
      <c r="GP53" s="3"/>
      <c r="GQ53" s="3"/>
      <c r="GR53" s="3"/>
      <c r="GS53" s="3"/>
      <c r="GT53" s="3"/>
      <c r="GU53" s="3"/>
      <c r="GV53" s="3"/>
      <c r="GW53" s="3"/>
      <c r="GX53" s="3"/>
      <c r="GY53" s="3"/>
    </row>
    <row r="54" spans="2:207" x14ac:dyDescent="0.2">
      <c r="G54" s="3"/>
      <c r="H54" s="3"/>
      <c r="I54" s="3"/>
      <c r="J54" s="3"/>
      <c r="K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  <c r="EN54" s="3"/>
      <c r="EO54" s="3"/>
      <c r="EP54" s="3"/>
      <c r="EQ54" s="3"/>
      <c r="ER54" s="3"/>
      <c r="ES54" s="3"/>
      <c r="ET54" s="3"/>
      <c r="EU54" s="3"/>
      <c r="EV54" s="3"/>
      <c r="EW54" s="3"/>
      <c r="EX54" s="3"/>
      <c r="EY54" s="3"/>
      <c r="EZ54" s="3"/>
      <c r="FA54" s="3"/>
      <c r="FB54" s="3"/>
      <c r="FC54" s="3"/>
      <c r="FD54" s="3"/>
      <c r="FE54" s="3"/>
      <c r="FF54" s="3"/>
      <c r="FG54" s="3"/>
      <c r="FH54" s="3"/>
      <c r="FI54" s="3"/>
      <c r="FJ54" s="3"/>
      <c r="FK54" s="3"/>
      <c r="FL54" s="3"/>
      <c r="FM54" s="3"/>
      <c r="FN54" s="3"/>
      <c r="FO54" s="3"/>
      <c r="FP54" s="3"/>
      <c r="FQ54" s="3"/>
      <c r="FR54" s="3"/>
      <c r="FS54" s="3"/>
      <c r="FT54" s="3"/>
      <c r="FU54" s="3"/>
      <c r="FV54" s="3"/>
      <c r="FW54" s="3"/>
      <c r="FX54" s="3"/>
      <c r="FY54" s="3"/>
      <c r="FZ54" s="3"/>
      <c r="GA54" s="3"/>
      <c r="GB54" s="3"/>
      <c r="GC54" s="3"/>
      <c r="GD54" s="3"/>
      <c r="GE54" s="3"/>
      <c r="GF54" s="3"/>
      <c r="GG54" s="3"/>
      <c r="GH54" s="3"/>
      <c r="GI54" s="3"/>
      <c r="GJ54" s="3"/>
      <c r="GK54" s="3"/>
      <c r="GL54" s="3"/>
      <c r="GM54" s="3"/>
      <c r="GN54" s="3"/>
      <c r="GO54" s="3"/>
      <c r="GP54" s="3"/>
      <c r="GQ54" s="3"/>
      <c r="GR54" s="3"/>
      <c r="GS54" s="3"/>
      <c r="GT54" s="3"/>
      <c r="GU54" s="3"/>
      <c r="GV54" s="3"/>
      <c r="GW54" s="3"/>
      <c r="GX54" s="3"/>
      <c r="GY54" s="3"/>
    </row>
    <row r="55" spans="2:207" x14ac:dyDescent="0.2">
      <c r="G55" s="3"/>
      <c r="H55" s="3"/>
      <c r="I55" s="3"/>
      <c r="J55" s="3"/>
      <c r="K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3"/>
      <c r="EQ55" s="3"/>
      <c r="ER55" s="3"/>
      <c r="ES55" s="3"/>
      <c r="ET55" s="3"/>
      <c r="EU55" s="3"/>
      <c r="EV55" s="3"/>
      <c r="EW55" s="3"/>
      <c r="EX55" s="3"/>
      <c r="EY55" s="3"/>
      <c r="EZ55" s="3"/>
      <c r="FA55" s="3"/>
      <c r="FB55" s="3"/>
      <c r="FC55" s="3"/>
      <c r="FD55" s="3"/>
      <c r="FE55" s="3"/>
      <c r="FF55" s="3"/>
      <c r="FG55" s="3"/>
      <c r="FH55" s="3"/>
      <c r="FI55" s="3"/>
      <c r="FJ55" s="3"/>
      <c r="FK55" s="3"/>
      <c r="FL55" s="3"/>
      <c r="FM55" s="3"/>
      <c r="FN55" s="3"/>
      <c r="FO55" s="3"/>
      <c r="FP55" s="3"/>
      <c r="FQ55" s="3"/>
      <c r="FR55" s="3"/>
      <c r="FS55" s="3"/>
      <c r="FT55" s="3"/>
      <c r="FU55" s="3"/>
      <c r="FV55" s="3"/>
      <c r="FW55" s="3"/>
      <c r="FX55" s="3"/>
      <c r="FY55" s="3"/>
      <c r="FZ55" s="3"/>
      <c r="GA55" s="3"/>
      <c r="GB55" s="3"/>
      <c r="GC55" s="3"/>
      <c r="GD55" s="3"/>
      <c r="GE55" s="3"/>
      <c r="GF55" s="3"/>
      <c r="GG55" s="3"/>
      <c r="GH55" s="3"/>
      <c r="GI55" s="3"/>
      <c r="GJ55" s="3"/>
      <c r="GK55" s="3"/>
      <c r="GL55" s="3"/>
      <c r="GM55" s="3"/>
      <c r="GN55" s="3"/>
      <c r="GO55" s="3"/>
      <c r="GP55" s="3"/>
      <c r="GQ55" s="3"/>
      <c r="GR55" s="3"/>
      <c r="GS55" s="3"/>
      <c r="GT55" s="3"/>
      <c r="GU55" s="3"/>
      <c r="GV55" s="3"/>
      <c r="GW55" s="3"/>
      <c r="GX55" s="3"/>
      <c r="GY55" s="3"/>
    </row>
    <row r="56" spans="2:207" x14ac:dyDescent="0.2">
      <c r="G56" s="3"/>
      <c r="H56" s="3"/>
      <c r="I56" s="3"/>
      <c r="J56" s="3"/>
      <c r="K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3"/>
      <c r="EQ56" s="3"/>
      <c r="ER56" s="3"/>
      <c r="ES56" s="3"/>
      <c r="ET56" s="3"/>
      <c r="EU56" s="3"/>
      <c r="EV56" s="3"/>
      <c r="EW56" s="3"/>
      <c r="EX56" s="3"/>
      <c r="EY56" s="3"/>
      <c r="EZ56" s="3"/>
      <c r="FA56" s="3"/>
      <c r="FB56" s="3"/>
      <c r="FC56" s="3"/>
      <c r="FD56" s="3"/>
      <c r="FE56" s="3"/>
      <c r="FF56" s="3"/>
      <c r="FG56" s="3"/>
      <c r="FH56" s="3"/>
      <c r="FI56" s="3"/>
      <c r="FJ56" s="3"/>
      <c r="FK56" s="3"/>
      <c r="FL56" s="3"/>
      <c r="FM56" s="3"/>
      <c r="FN56" s="3"/>
      <c r="FO56" s="3"/>
      <c r="FP56" s="3"/>
      <c r="FQ56" s="3"/>
      <c r="FR56" s="3"/>
      <c r="FS56" s="3"/>
      <c r="FT56" s="3"/>
      <c r="FU56" s="3"/>
      <c r="FV56" s="3"/>
      <c r="FW56" s="3"/>
      <c r="FX56" s="3"/>
      <c r="FY56" s="3"/>
      <c r="FZ56" s="3"/>
      <c r="GA56" s="3"/>
      <c r="GB56" s="3"/>
      <c r="GC56" s="3"/>
      <c r="GD56" s="3"/>
      <c r="GE56" s="3"/>
      <c r="GF56" s="3"/>
      <c r="GG56" s="3"/>
      <c r="GH56" s="3"/>
      <c r="GI56" s="3"/>
      <c r="GJ56" s="3"/>
      <c r="GK56" s="3"/>
      <c r="GL56" s="3"/>
      <c r="GM56" s="3"/>
      <c r="GN56" s="3"/>
      <c r="GO56" s="3"/>
      <c r="GP56" s="3"/>
      <c r="GQ56" s="3"/>
      <c r="GR56" s="3"/>
      <c r="GS56" s="3"/>
      <c r="GT56" s="3"/>
      <c r="GU56" s="3"/>
      <c r="GV56" s="3"/>
      <c r="GW56" s="3"/>
      <c r="GX56" s="3"/>
      <c r="GY56" s="3"/>
    </row>
    <row r="57" spans="2:207" x14ac:dyDescent="0.2">
      <c r="G57" s="3"/>
      <c r="H57" s="3"/>
      <c r="I57" s="3"/>
      <c r="J57" s="3"/>
      <c r="K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3"/>
      <c r="EQ57" s="3"/>
      <c r="ER57" s="3"/>
      <c r="ES57" s="3"/>
      <c r="ET57" s="3"/>
      <c r="EU57" s="3"/>
      <c r="EV57" s="3"/>
      <c r="EW57" s="3"/>
      <c r="EX57" s="3"/>
      <c r="EY57" s="3"/>
      <c r="EZ57" s="3"/>
      <c r="FA57" s="3"/>
      <c r="FB57" s="3"/>
      <c r="FC57" s="3"/>
      <c r="FD57" s="3"/>
      <c r="FE57" s="3"/>
      <c r="FF57" s="3"/>
      <c r="FG57" s="3"/>
      <c r="FH57" s="3"/>
      <c r="FI57" s="3"/>
      <c r="FJ57" s="3"/>
      <c r="FK57" s="3"/>
      <c r="FL57" s="3"/>
      <c r="FM57" s="3"/>
      <c r="FN57" s="3"/>
      <c r="FO57" s="3"/>
      <c r="FP57" s="3"/>
      <c r="FQ57" s="3"/>
      <c r="FR57" s="3"/>
      <c r="FS57" s="3"/>
      <c r="FT57" s="3"/>
      <c r="FU57" s="3"/>
      <c r="FV57" s="3"/>
      <c r="FW57" s="3"/>
      <c r="FX57" s="3"/>
      <c r="FY57" s="3"/>
      <c r="FZ57" s="3"/>
      <c r="GA57" s="3"/>
      <c r="GB57" s="3"/>
      <c r="GC57" s="3"/>
      <c r="GD57" s="3"/>
      <c r="GE57" s="3"/>
      <c r="GF57" s="3"/>
      <c r="GG57" s="3"/>
      <c r="GH57" s="3"/>
      <c r="GI57" s="3"/>
      <c r="GJ57" s="3"/>
      <c r="GK57" s="3"/>
      <c r="GL57" s="3"/>
      <c r="GM57" s="3"/>
      <c r="GN57" s="3"/>
      <c r="GO57" s="3"/>
      <c r="GP57" s="3"/>
      <c r="GQ57" s="3"/>
      <c r="GR57" s="3"/>
      <c r="GS57" s="3"/>
      <c r="GT57" s="3"/>
      <c r="GU57" s="3"/>
      <c r="GV57" s="3"/>
      <c r="GW57" s="3"/>
      <c r="GX57" s="3"/>
      <c r="GY57" s="3"/>
    </row>
    <row r="58" spans="2:207" x14ac:dyDescent="0.2">
      <c r="G58" s="3"/>
      <c r="H58" s="3"/>
      <c r="I58" s="3"/>
      <c r="J58" s="3"/>
      <c r="K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3"/>
      <c r="EQ58" s="3"/>
      <c r="ER58" s="3"/>
      <c r="ES58" s="3"/>
      <c r="ET58" s="3"/>
      <c r="EU58" s="3"/>
      <c r="EV58" s="3"/>
      <c r="EW58" s="3"/>
      <c r="EX58" s="3"/>
      <c r="EY58" s="3"/>
      <c r="EZ58" s="3"/>
      <c r="FA58" s="3"/>
      <c r="FB58" s="3"/>
      <c r="FC58" s="3"/>
      <c r="FD58" s="3"/>
      <c r="FE58" s="3"/>
      <c r="FF58" s="3"/>
      <c r="FG58" s="3"/>
      <c r="FH58" s="3"/>
      <c r="FI58" s="3"/>
      <c r="FJ58" s="3"/>
      <c r="FK58" s="3"/>
      <c r="FL58" s="3"/>
      <c r="FM58" s="3"/>
      <c r="FN58" s="3"/>
      <c r="FO58" s="3"/>
      <c r="FP58" s="3"/>
      <c r="FQ58" s="3"/>
      <c r="FR58" s="3"/>
      <c r="FS58" s="3"/>
      <c r="FT58" s="3"/>
      <c r="FU58" s="3"/>
      <c r="FV58" s="3"/>
      <c r="FW58" s="3"/>
      <c r="FX58" s="3"/>
      <c r="FY58" s="3"/>
      <c r="FZ58" s="3"/>
      <c r="GA58" s="3"/>
      <c r="GB58" s="3"/>
      <c r="GC58" s="3"/>
      <c r="GD58" s="3"/>
      <c r="GE58" s="3"/>
      <c r="GF58" s="3"/>
      <c r="GG58" s="3"/>
      <c r="GH58" s="3"/>
      <c r="GI58" s="3"/>
      <c r="GJ58" s="3"/>
      <c r="GK58" s="3"/>
      <c r="GL58" s="3"/>
      <c r="GM58" s="3"/>
      <c r="GN58" s="3"/>
      <c r="GO58" s="3"/>
      <c r="GP58" s="3"/>
      <c r="GQ58" s="3"/>
      <c r="GR58" s="3"/>
      <c r="GS58" s="3"/>
      <c r="GT58" s="3"/>
      <c r="GU58" s="3"/>
      <c r="GV58" s="3"/>
      <c r="GW58" s="3"/>
      <c r="GX58" s="3"/>
      <c r="GY58" s="3"/>
    </row>
    <row r="59" spans="2:207" x14ac:dyDescent="0.2">
      <c r="G59" s="3"/>
      <c r="H59" s="3"/>
      <c r="I59" s="3"/>
      <c r="J59" s="3"/>
      <c r="K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3"/>
      <c r="EQ59" s="3"/>
      <c r="ER59" s="3"/>
      <c r="ES59" s="3"/>
      <c r="ET59" s="3"/>
      <c r="EU59" s="3"/>
      <c r="EV59" s="3"/>
      <c r="EW59" s="3"/>
      <c r="EX59" s="3"/>
      <c r="EY59" s="3"/>
      <c r="EZ59" s="3"/>
      <c r="FA59" s="3"/>
      <c r="FB59" s="3"/>
      <c r="FC59" s="3"/>
      <c r="FD59" s="3"/>
      <c r="FE59" s="3"/>
      <c r="FF59" s="3"/>
      <c r="FG59" s="3"/>
      <c r="FH59" s="3"/>
      <c r="FI59" s="3"/>
      <c r="FJ59" s="3"/>
      <c r="FK59" s="3"/>
      <c r="FL59" s="3"/>
      <c r="FM59" s="3"/>
      <c r="FN59" s="3"/>
      <c r="FO59" s="3"/>
      <c r="FP59" s="3"/>
      <c r="FQ59" s="3"/>
      <c r="FR59" s="3"/>
      <c r="FS59" s="3"/>
      <c r="FT59" s="3"/>
      <c r="FU59" s="3"/>
      <c r="FV59" s="3"/>
      <c r="FW59" s="3"/>
      <c r="FX59" s="3"/>
      <c r="FY59" s="3"/>
      <c r="FZ59" s="3"/>
      <c r="GA59" s="3"/>
      <c r="GB59" s="3"/>
      <c r="GC59" s="3"/>
      <c r="GD59" s="3"/>
      <c r="GE59" s="3"/>
      <c r="GF59" s="3"/>
      <c r="GG59" s="3"/>
      <c r="GH59" s="3"/>
      <c r="GI59" s="3"/>
      <c r="GJ59" s="3"/>
      <c r="GK59" s="3"/>
      <c r="GL59" s="3"/>
      <c r="GM59" s="3"/>
      <c r="GN59" s="3"/>
      <c r="GO59" s="3"/>
      <c r="GP59" s="3"/>
      <c r="GQ59" s="3"/>
      <c r="GR59" s="3"/>
      <c r="GS59" s="3"/>
      <c r="GT59" s="3"/>
      <c r="GU59" s="3"/>
      <c r="GV59" s="3"/>
      <c r="GW59" s="3"/>
      <c r="GX59" s="3"/>
      <c r="GY59" s="3"/>
    </row>
    <row r="60" spans="2:207" x14ac:dyDescent="0.2">
      <c r="G60" s="3"/>
      <c r="H60" s="3"/>
      <c r="I60" s="3"/>
      <c r="J60" s="3"/>
      <c r="K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  <c r="EN60" s="3"/>
      <c r="EO60" s="3"/>
      <c r="EP60" s="3"/>
      <c r="EQ60" s="3"/>
      <c r="ER60" s="3"/>
      <c r="ES60" s="3"/>
      <c r="ET60" s="3"/>
      <c r="EU60" s="3"/>
      <c r="EV60" s="3"/>
      <c r="EW60" s="3"/>
      <c r="EX60" s="3"/>
      <c r="EY60" s="3"/>
      <c r="EZ60" s="3"/>
      <c r="FA60" s="3"/>
      <c r="FB60" s="3"/>
      <c r="FC60" s="3"/>
      <c r="FD60" s="3"/>
      <c r="FE60" s="3"/>
      <c r="FF60" s="3"/>
      <c r="FG60" s="3"/>
      <c r="FH60" s="3"/>
      <c r="FI60" s="3"/>
      <c r="FJ60" s="3"/>
      <c r="FK60" s="3"/>
      <c r="FL60" s="3"/>
      <c r="FM60" s="3"/>
      <c r="FN60" s="3"/>
      <c r="FO60" s="3"/>
      <c r="FP60" s="3"/>
      <c r="FQ60" s="3"/>
      <c r="FR60" s="3"/>
      <c r="FS60" s="3"/>
      <c r="FT60" s="3"/>
      <c r="FU60" s="3"/>
      <c r="FV60" s="3"/>
      <c r="FW60" s="3"/>
      <c r="FX60" s="3"/>
      <c r="FY60" s="3"/>
      <c r="FZ60" s="3"/>
      <c r="GA60" s="3"/>
      <c r="GB60" s="3"/>
      <c r="GC60" s="3"/>
      <c r="GD60" s="3"/>
      <c r="GE60" s="3"/>
      <c r="GF60" s="3"/>
      <c r="GG60" s="3"/>
      <c r="GH60" s="3"/>
      <c r="GI60" s="3"/>
      <c r="GJ60" s="3"/>
      <c r="GK60" s="3"/>
      <c r="GL60" s="3"/>
      <c r="GM60" s="3"/>
      <c r="GN60" s="3"/>
      <c r="GO60" s="3"/>
      <c r="GP60" s="3"/>
      <c r="GQ60" s="3"/>
      <c r="GR60" s="3"/>
      <c r="GS60" s="3"/>
      <c r="GT60" s="3"/>
      <c r="GU60" s="3"/>
      <c r="GV60" s="3"/>
      <c r="GW60" s="3"/>
      <c r="GX60" s="3"/>
      <c r="GY60" s="3"/>
    </row>
    <row r="61" spans="2:207" x14ac:dyDescent="0.2">
      <c r="G61" s="3"/>
      <c r="H61" s="3"/>
      <c r="I61" s="3"/>
      <c r="J61" s="3"/>
      <c r="K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  <c r="EN61" s="3"/>
      <c r="EO61" s="3"/>
      <c r="EP61" s="3"/>
      <c r="EQ61" s="3"/>
      <c r="ER61" s="3"/>
      <c r="ES61" s="3"/>
      <c r="ET61" s="3"/>
      <c r="EU61" s="3"/>
      <c r="EV61" s="3"/>
      <c r="EW61" s="3"/>
      <c r="EX61" s="3"/>
      <c r="EY61" s="3"/>
      <c r="EZ61" s="3"/>
      <c r="FA61" s="3"/>
      <c r="FB61" s="3"/>
      <c r="FC61" s="3"/>
      <c r="FD61" s="3"/>
      <c r="FE61" s="3"/>
      <c r="FF61" s="3"/>
      <c r="FG61" s="3"/>
      <c r="FH61" s="3"/>
      <c r="FI61" s="3"/>
      <c r="FJ61" s="3"/>
      <c r="FK61" s="3"/>
      <c r="FL61" s="3"/>
      <c r="FM61" s="3"/>
      <c r="FN61" s="3"/>
      <c r="FO61" s="3"/>
      <c r="FP61" s="3"/>
      <c r="FQ61" s="3"/>
      <c r="FR61" s="3"/>
      <c r="FS61" s="3"/>
      <c r="FT61" s="3"/>
      <c r="FU61" s="3"/>
      <c r="FV61" s="3"/>
      <c r="FW61" s="3"/>
      <c r="FX61" s="3"/>
      <c r="FY61" s="3"/>
      <c r="FZ61" s="3"/>
      <c r="GA61" s="3"/>
      <c r="GB61" s="3"/>
      <c r="GC61" s="3"/>
      <c r="GD61" s="3"/>
      <c r="GE61" s="3"/>
      <c r="GF61" s="3"/>
      <c r="GG61" s="3"/>
      <c r="GH61" s="3"/>
      <c r="GI61" s="3"/>
      <c r="GJ61" s="3"/>
      <c r="GK61" s="3"/>
      <c r="GL61" s="3"/>
      <c r="GM61" s="3"/>
      <c r="GN61" s="3"/>
      <c r="GO61" s="3"/>
      <c r="GP61" s="3"/>
      <c r="GQ61" s="3"/>
      <c r="GR61" s="3"/>
      <c r="GS61" s="3"/>
      <c r="GT61" s="3"/>
      <c r="GU61" s="3"/>
      <c r="GV61" s="3"/>
      <c r="GW61" s="3"/>
      <c r="GX61" s="3"/>
      <c r="GY61" s="3"/>
    </row>
    <row r="62" spans="2:207" x14ac:dyDescent="0.2">
      <c r="G62" s="3"/>
      <c r="H62" s="3"/>
      <c r="I62" s="3"/>
      <c r="J62" s="3"/>
      <c r="K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3"/>
      <c r="EQ62" s="3"/>
      <c r="ER62" s="3"/>
      <c r="ES62" s="3"/>
      <c r="ET62" s="3"/>
      <c r="EU62" s="3"/>
      <c r="EV62" s="3"/>
      <c r="EW62" s="3"/>
      <c r="EX62" s="3"/>
      <c r="EY62" s="3"/>
      <c r="EZ62" s="3"/>
      <c r="FA62" s="3"/>
      <c r="FB62" s="3"/>
      <c r="FC62" s="3"/>
      <c r="FD62" s="3"/>
      <c r="FE62" s="3"/>
      <c r="FF62" s="3"/>
      <c r="FG62" s="3"/>
      <c r="FH62" s="3"/>
      <c r="FI62" s="3"/>
      <c r="FJ62" s="3"/>
      <c r="FK62" s="3"/>
      <c r="FL62" s="3"/>
      <c r="FM62" s="3"/>
      <c r="FN62" s="3"/>
      <c r="FO62" s="3"/>
      <c r="FP62" s="3"/>
      <c r="FQ62" s="3"/>
      <c r="FR62" s="3"/>
      <c r="FS62" s="3"/>
      <c r="FT62" s="3"/>
      <c r="FU62" s="3"/>
      <c r="FV62" s="3"/>
      <c r="FW62" s="3"/>
      <c r="FX62" s="3"/>
      <c r="FY62" s="3"/>
      <c r="FZ62" s="3"/>
      <c r="GA62" s="3"/>
      <c r="GB62" s="3"/>
      <c r="GC62" s="3"/>
      <c r="GD62" s="3"/>
      <c r="GE62" s="3"/>
      <c r="GF62" s="3"/>
      <c r="GG62" s="3"/>
      <c r="GH62" s="3"/>
      <c r="GI62" s="3"/>
      <c r="GJ62" s="3"/>
      <c r="GK62" s="3"/>
      <c r="GL62" s="3"/>
      <c r="GM62" s="3"/>
      <c r="GN62" s="3"/>
      <c r="GO62" s="3"/>
      <c r="GP62" s="3"/>
      <c r="GQ62" s="3"/>
      <c r="GR62" s="3"/>
      <c r="GS62" s="3"/>
      <c r="GT62" s="3"/>
      <c r="GU62" s="3"/>
      <c r="GV62" s="3"/>
      <c r="GW62" s="3"/>
      <c r="GX62" s="3"/>
      <c r="GY62" s="3"/>
    </row>
    <row r="63" spans="2:207" x14ac:dyDescent="0.2">
      <c r="G63" s="3"/>
      <c r="H63" s="3"/>
      <c r="I63" s="3"/>
      <c r="J63" s="3"/>
      <c r="K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  <c r="EN63" s="3"/>
      <c r="EO63" s="3"/>
      <c r="EP63" s="3"/>
      <c r="EQ63" s="3"/>
      <c r="ER63" s="3"/>
      <c r="ES63" s="3"/>
      <c r="ET63" s="3"/>
      <c r="EU63" s="3"/>
      <c r="EV63" s="3"/>
      <c r="EW63" s="3"/>
      <c r="EX63" s="3"/>
      <c r="EY63" s="3"/>
      <c r="EZ63" s="3"/>
      <c r="FA63" s="3"/>
      <c r="FB63" s="3"/>
      <c r="FC63" s="3"/>
      <c r="FD63" s="3"/>
      <c r="FE63" s="3"/>
      <c r="FF63" s="3"/>
      <c r="FG63" s="3"/>
      <c r="FH63" s="3"/>
      <c r="FI63" s="3"/>
      <c r="FJ63" s="3"/>
      <c r="FK63" s="3"/>
      <c r="FL63" s="3"/>
      <c r="FM63" s="3"/>
      <c r="FN63" s="3"/>
      <c r="FO63" s="3"/>
      <c r="FP63" s="3"/>
      <c r="FQ63" s="3"/>
      <c r="FR63" s="3"/>
      <c r="FS63" s="3"/>
      <c r="FT63" s="3"/>
      <c r="FU63" s="3"/>
      <c r="FV63" s="3"/>
      <c r="FW63" s="3"/>
      <c r="FX63" s="3"/>
      <c r="FY63" s="3"/>
      <c r="FZ63" s="3"/>
      <c r="GA63" s="3"/>
      <c r="GB63" s="3"/>
      <c r="GC63" s="3"/>
      <c r="GD63" s="3"/>
      <c r="GE63" s="3"/>
      <c r="GF63" s="3"/>
      <c r="GG63" s="3"/>
      <c r="GH63" s="3"/>
      <c r="GI63" s="3"/>
      <c r="GJ63" s="3"/>
      <c r="GK63" s="3"/>
      <c r="GL63" s="3"/>
      <c r="GM63" s="3"/>
      <c r="GN63" s="3"/>
      <c r="GO63" s="3"/>
      <c r="GP63" s="3"/>
      <c r="GQ63" s="3"/>
      <c r="GR63" s="3"/>
      <c r="GS63" s="3"/>
      <c r="GT63" s="3"/>
      <c r="GU63" s="3"/>
      <c r="GV63" s="3"/>
      <c r="GW63" s="3"/>
      <c r="GX63" s="3"/>
      <c r="GY63" s="3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Meiser</dc:creator>
  <cp:lastModifiedBy>Michael Meiser</cp:lastModifiedBy>
  <dcterms:created xsi:type="dcterms:W3CDTF">2022-05-13T08:47:45Z</dcterms:created>
  <dcterms:modified xsi:type="dcterms:W3CDTF">2026-03-05T19:54:26Z</dcterms:modified>
</cp:coreProperties>
</file>