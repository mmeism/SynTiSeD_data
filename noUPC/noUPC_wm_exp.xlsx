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noUPC/"/>
    </mc:Choice>
  </mc:AlternateContent>
  <xr:revisionPtr revIDLastSave="0" documentId="13_ncr:1_{5FECD1E2-D3FF-4747-B567-306C8EF3A89D}" xr6:coauthVersionLast="47" xr6:coauthVersionMax="47" xr10:uidLastSave="{00000000-0000-0000-0000-000000000000}"/>
  <bookViews>
    <workbookView xWindow="0" yWindow="500" windowWidth="29040" windowHeight="17640" xr2:uid="{FC2E3554-D7D3-4A9E-B1F9-EEFBB52B23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94" i="1" l="1"/>
  <c r="J94" i="1"/>
  <c r="I94" i="1"/>
  <c r="H94" i="1"/>
  <c r="G94" i="1"/>
  <c r="F94" i="1"/>
  <c r="K92" i="1"/>
  <c r="J92" i="1"/>
  <c r="I92" i="1"/>
  <c r="H92" i="1"/>
  <c r="G92" i="1"/>
  <c r="F92" i="1"/>
  <c r="K90" i="1"/>
  <c r="J90" i="1"/>
  <c r="I90" i="1"/>
  <c r="H90" i="1"/>
  <c r="G90" i="1"/>
  <c r="F90" i="1"/>
  <c r="K88" i="1"/>
  <c r="J88" i="1"/>
  <c r="I88" i="1"/>
  <c r="H88" i="1"/>
  <c r="G88" i="1"/>
  <c r="F88" i="1"/>
  <c r="K86" i="1"/>
  <c r="J86" i="1"/>
  <c r="I86" i="1"/>
  <c r="H86" i="1"/>
  <c r="G86" i="1"/>
  <c r="F86" i="1"/>
  <c r="K82" i="1"/>
  <c r="J82" i="1"/>
  <c r="I82" i="1"/>
  <c r="H82" i="1"/>
  <c r="G82" i="1"/>
  <c r="F82" i="1"/>
  <c r="K80" i="1"/>
  <c r="J80" i="1"/>
  <c r="I80" i="1"/>
  <c r="H80" i="1"/>
  <c r="G80" i="1"/>
  <c r="F80" i="1"/>
  <c r="K78" i="1"/>
  <c r="J78" i="1"/>
  <c r="I78" i="1"/>
  <c r="H78" i="1"/>
  <c r="G78" i="1"/>
  <c r="F78" i="1"/>
  <c r="K76" i="1"/>
  <c r="J76" i="1"/>
  <c r="I76" i="1"/>
  <c r="H76" i="1"/>
  <c r="G76" i="1"/>
  <c r="F76" i="1"/>
  <c r="K74" i="1"/>
  <c r="J74" i="1"/>
  <c r="I74" i="1"/>
  <c r="H74" i="1"/>
  <c r="G74" i="1"/>
  <c r="F74" i="1"/>
  <c r="K70" i="1"/>
  <c r="J70" i="1"/>
  <c r="I70" i="1"/>
  <c r="H70" i="1"/>
  <c r="G70" i="1"/>
  <c r="F70" i="1"/>
  <c r="K68" i="1"/>
  <c r="J68" i="1"/>
  <c r="I68" i="1"/>
  <c r="H68" i="1"/>
  <c r="G68" i="1"/>
  <c r="F68" i="1"/>
  <c r="K66" i="1"/>
  <c r="J66" i="1"/>
  <c r="I66" i="1"/>
  <c r="H66" i="1"/>
  <c r="G66" i="1"/>
  <c r="F66" i="1"/>
  <c r="K64" i="1"/>
  <c r="J64" i="1"/>
  <c r="I64" i="1"/>
  <c r="H64" i="1"/>
  <c r="G64" i="1"/>
  <c r="F64" i="1"/>
  <c r="K62" i="1"/>
  <c r="J62" i="1"/>
  <c r="I62" i="1"/>
  <c r="H62" i="1"/>
  <c r="G62" i="1"/>
  <c r="F62" i="1"/>
  <c r="K58" i="1"/>
  <c r="J58" i="1"/>
  <c r="I58" i="1"/>
  <c r="H58" i="1"/>
  <c r="G58" i="1"/>
  <c r="F58" i="1"/>
  <c r="K56" i="1"/>
  <c r="J56" i="1"/>
  <c r="I56" i="1"/>
  <c r="H56" i="1"/>
  <c r="G56" i="1"/>
  <c r="F56" i="1"/>
  <c r="K54" i="1"/>
  <c r="J54" i="1"/>
  <c r="I54" i="1"/>
  <c r="H54" i="1"/>
  <c r="G54" i="1"/>
  <c r="F54" i="1"/>
  <c r="K52" i="1"/>
  <c r="J52" i="1"/>
  <c r="I52" i="1"/>
  <c r="H52" i="1"/>
  <c r="G52" i="1"/>
  <c r="F52" i="1"/>
  <c r="K50" i="1"/>
  <c r="J50" i="1"/>
  <c r="I50" i="1"/>
  <c r="H50" i="1"/>
  <c r="G50" i="1"/>
  <c r="F50" i="1"/>
  <c r="F14" i="1"/>
  <c r="G14" i="1"/>
  <c r="H14" i="1"/>
  <c r="I14" i="1"/>
  <c r="J14" i="1"/>
  <c r="K14" i="1"/>
  <c r="F16" i="1"/>
  <c r="G16" i="1"/>
  <c r="H16" i="1"/>
  <c r="I16" i="1"/>
  <c r="J16" i="1"/>
  <c r="K16" i="1"/>
  <c r="F18" i="1"/>
  <c r="G18" i="1"/>
  <c r="H18" i="1"/>
  <c r="I18" i="1"/>
  <c r="J18" i="1"/>
  <c r="K18" i="1"/>
  <c r="K46" i="1"/>
  <c r="J46" i="1"/>
  <c r="I46" i="1"/>
  <c r="H46" i="1"/>
  <c r="G46" i="1"/>
  <c r="F46" i="1"/>
  <c r="K44" i="1"/>
  <c r="J44" i="1"/>
  <c r="I44" i="1"/>
  <c r="H44" i="1"/>
  <c r="G44" i="1"/>
  <c r="F44" i="1"/>
  <c r="K42" i="1"/>
  <c r="J42" i="1"/>
  <c r="I42" i="1"/>
  <c r="H42" i="1"/>
  <c r="G42" i="1"/>
  <c r="F42" i="1"/>
  <c r="K40" i="1"/>
  <c r="J40" i="1"/>
  <c r="I40" i="1"/>
  <c r="H40" i="1"/>
  <c r="G40" i="1"/>
  <c r="F40" i="1"/>
  <c r="K38" i="1"/>
  <c r="J38" i="1"/>
  <c r="I38" i="1"/>
  <c r="H38" i="1"/>
  <c r="G38" i="1"/>
  <c r="F38" i="1"/>
  <c r="K34" i="1"/>
  <c r="J34" i="1"/>
  <c r="I34" i="1"/>
  <c r="H34" i="1"/>
  <c r="G34" i="1"/>
  <c r="F34" i="1"/>
  <c r="K32" i="1"/>
  <c r="J32" i="1"/>
  <c r="I32" i="1"/>
  <c r="H32" i="1"/>
  <c r="G32" i="1"/>
  <c r="F32" i="1"/>
  <c r="K30" i="1"/>
  <c r="J30" i="1"/>
  <c r="I30" i="1"/>
  <c r="H30" i="1"/>
  <c r="G30" i="1"/>
  <c r="F30" i="1"/>
  <c r="K28" i="1"/>
  <c r="J28" i="1"/>
  <c r="I28" i="1"/>
  <c r="H28" i="1"/>
  <c r="G28" i="1"/>
  <c r="F28" i="1"/>
  <c r="K26" i="1"/>
  <c r="J26" i="1"/>
  <c r="I26" i="1"/>
  <c r="H26" i="1"/>
  <c r="G26" i="1"/>
  <c r="F26" i="1"/>
  <c r="K22" i="1"/>
  <c r="J22" i="1"/>
  <c r="I22" i="1"/>
  <c r="H22" i="1"/>
  <c r="G22" i="1"/>
  <c r="F22" i="1"/>
  <c r="K20" i="1"/>
  <c r="J20" i="1"/>
  <c r="I20" i="1"/>
  <c r="H20" i="1"/>
  <c r="G20" i="1"/>
  <c r="F20" i="1"/>
  <c r="G7" i="1" l="1"/>
  <c r="G10" i="1"/>
  <c r="G6" i="1"/>
  <c r="G8" i="1"/>
  <c r="G9" i="1"/>
</calcChain>
</file>

<file path=xl/sharedStrings.xml><?xml version="1.0" encoding="utf-8"?>
<sst xmlns="http://schemas.openxmlformats.org/spreadsheetml/2006/main" count="138" uniqueCount="61">
  <si>
    <t>Konfig:</t>
  </si>
  <si>
    <t>MAE</t>
  </si>
  <si>
    <t>DAE</t>
  </si>
  <si>
    <t>RNN</t>
  </si>
  <si>
    <t>WindowGRU</t>
  </si>
  <si>
    <t>Seq2Seq</t>
  </si>
  <si>
    <t>Seq2Point</t>
  </si>
  <si>
    <t>für alle Algorithmen stardart NILM settings</t>
  </si>
  <si>
    <t>NILM Algorithms:</t>
  </si>
  <si>
    <t>Metric</t>
  </si>
  <si>
    <t>Number of exp</t>
  </si>
  <si>
    <t>Mean</t>
  </si>
  <si>
    <t>Max</t>
  </si>
  <si>
    <t>Min</t>
  </si>
  <si>
    <t>Standart deviation</t>
  </si>
  <si>
    <t>Variance</t>
  </si>
  <si>
    <t>Experiments</t>
  </si>
  <si>
    <t>start_time': '2020-01-04'</t>
  </si>
  <si>
    <t>end_time': '2020-01-17'</t>
  </si>
  <si>
    <t>device: washing machine</t>
  </si>
  <si>
    <t>buildings': 3</t>
  </si>
  <si>
    <t>start_time': '2019-12-04'</t>
  </si>
  <si>
    <t>start_time': '2019-12-17'</t>
  </si>
  <si>
    <t>reale Testdaten(hh_03):</t>
  </si>
  <si>
    <t>reale Testdaten(hh_05):</t>
  </si>
  <si>
    <t>buildings': 5</t>
  </si>
  <si>
    <t>start_time': '2019-10-01'</t>
  </si>
  <si>
    <t>end_time': '2019-10-14'</t>
  </si>
  <si>
    <t>buildings': 6</t>
  </si>
  <si>
    <t>start_time': '2019-11-10'</t>
  </si>
  <si>
    <t>end_time': '2019-11-23'</t>
  </si>
  <si>
    <t>reale Testdaten(hh_06):</t>
  </si>
  <si>
    <t>reale Testdaten(hh_09):</t>
  </si>
  <si>
    <t>buildings': 9</t>
  </si>
  <si>
    <t>start_time': '2019-09-07'</t>
  </si>
  <si>
    <t>end_time': '2019-09-20'</t>
  </si>
  <si>
    <t>buildings': 13</t>
  </si>
  <si>
    <t>reale Testdaten(hh_13):</t>
  </si>
  <si>
    <t>buildings': 19</t>
  </si>
  <si>
    <t>buildings': 20</t>
  </si>
  <si>
    <t>reale Testdaten(hh_20):</t>
  </si>
  <si>
    <t>reale Testdaten(hh_19):</t>
  </si>
  <si>
    <t>start_time': '2020-03-12'</t>
  </si>
  <si>
    <t>end_time': '2020-03-25'</t>
  </si>
  <si>
    <t>end_time': '2019-12-30'</t>
  </si>
  <si>
    <t>validierung: Validation from training data (15%)</t>
  </si>
  <si>
    <t>train_synth: (hh_01):</t>
  </si>
  <si>
    <t>train_synth: (hh_15)</t>
  </si>
  <si>
    <t>train_synth: (hh_14)</t>
  </si>
  <si>
    <t>train_synth: (hh_04)</t>
  </si>
  <si>
    <t>RNN_total</t>
  </si>
  <si>
    <t>WindowGRU_total</t>
  </si>
  <si>
    <t>DAE_total</t>
  </si>
  <si>
    <t>Seq2Seq_total</t>
  </si>
  <si>
    <t>Seq2Point_total</t>
  </si>
  <si>
    <t>start_time': '2024-01-01'</t>
  </si>
  <si>
    <t>end_time': '2024-01-14'</t>
  </si>
  <si>
    <t>train: noUPC_dataset.h5</t>
  </si>
  <si>
    <t>test_real: test_dataset.h5</t>
  </si>
  <si>
    <t>MAE_total</t>
  </si>
  <si>
    <t>test_dataset.h5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</si>
</sst>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4901-35CF-4ECF-B83A-C1F21DC89CAD}">
  <dimension ref="A1:GY94"/>
  <sheetViews>
    <sheetView tabSelected="1" workbookViewId="0">
      <selection activeCell="C11" sqref="C11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0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</cols>
  <sheetData>
    <row r="1" spans="1:207" x14ac:dyDescent="0.2">
      <c r="A1" s="1" t="s">
        <v>0</v>
      </c>
      <c r="D1" s="1"/>
    </row>
    <row r="2" spans="1:207" x14ac:dyDescent="0.2">
      <c r="A2" t="s">
        <v>19</v>
      </c>
    </row>
    <row r="3" spans="1:207" x14ac:dyDescent="0.2">
      <c r="A3" t="s">
        <v>57</v>
      </c>
      <c r="B3" s="2"/>
      <c r="C3" s="2"/>
      <c r="E3" s="2"/>
      <c r="G3" s="2"/>
      <c r="H3" s="2"/>
      <c r="I3" s="2"/>
      <c r="J3" s="3"/>
      <c r="K3" s="2"/>
      <c r="L3" s="2"/>
    </row>
    <row r="4" spans="1:207" x14ac:dyDescent="0.2">
      <c r="A4" t="s">
        <v>46</v>
      </c>
      <c r="B4" s="2" t="s">
        <v>55</v>
      </c>
      <c r="C4" s="2" t="s">
        <v>56</v>
      </c>
      <c r="E4" s="2"/>
      <c r="G4" s="2"/>
      <c r="H4" s="2"/>
      <c r="I4" s="2"/>
      <c r="J4" s="3"/>
      <c r="K4" s="2"/>
      <c r="L4" s="2"/>
    </row>
    <row r="5" spans="1:207" x14ac:dyDescent="0.2">
      <c r="A5" t="s">
        <v>49</v>
      </c>
      <c r="B5" s="2" t="s">
        <v>55</v>
      </c>
      <c r="C5" s="2" t="s">
        <v>56</v>
      </c>
      <c r="E5" s="2"/>
      <c r="G5" s="4" t="s">
        <v>59</v>
      </c>
      <c r="H5" s="2"/>
      <c r="I5" s="2"/>
      <c r="J5" s="3"/>
      <c r="K5" s="2"/>
      <c r="L5" s="2"/>
    </row>
    <row r="6" spans="1:207" x14ac:dyDescent="0.2">
      <c r="A6" t="s">
        <v>48</v>
      </c>
      <c r="B6" s="2" t="s">
        <v>55</v>
      </c>
      <c r="C6" s="2" t="s">
        <v>56</v>
      </c>
      <c r="E6" s="2"/>
      <c r="F6" t="s">
        <v>50</v>
      </c>
      <c r="G6" s="3">
        <f>SUM(G14,G26,G38,G50,G62,G74,G86)/7</f>
        <v>118.56766492428572</v>
      </c>
      <c r="H6" s="2"/>
      <c r="I6" s="2"/>
      <c r="J6" s="3"/>
      <c r="K6" s="2"/>
      <c r="L6" s="2"/>
    </row>
    <row r="7" spans="1:207" x14ac:dyDescent="0.2">
      <c r="A7" t="s">
        <v>47</v>
      </c>
      <c r="B7" s="2" t="s">
        <v>55</v>
      </c>
      <c r="C7" s="2" t="s">
        <v>56</v>
      </c>
      <c r="E7" s="2"/>
      <c r="F7" t="s">
        <v>51</v>
      </c>
      <c r="G7" s="3">
        <f>SUM(G16,G28,G40,G52,G64,G76,G88)/7</f>
        <v>48.431863781428568</v>
      </c>
      <c r="H7" s="2"/>
      <c r="I7" s="2"/>
      <c r="J7" s="2"/>
      <c r="K7" s="2"/>
      <c r="L7" s="2"/>
    </row>
    <row r="8" spans="1:207" x14ac:dyDescent="0.2">
      <c r="A8" t="s">
        <v>58</v>
      </c>
      <c r="E8" s="2"/>
      <c r="F8" t="s">
        <v>52</v>
      </c>
      <c r="G8" s="3">
        <f>SUM(G18,G30,G42,G54,G66,G78,G90)/7</f>
        <v>68.211619907142875</v>
      </c>
    </row>
    <row r="9" spans="1:207" x14ac:dyDescent="0.2">
      <c r="A9" t="s">
        <v>45</v>
      </c>
      <c r="B9" s="2"/>
      <c r="C9" s="2"/>
      <c r="D9" s="2"/>
      <c r="E9" s="2"/>
      <c r="F9" t="s">
        <v>53</v>
      </c>
      <c r="G9" s="3">
        <f>SUM(G20,G32,G44,G56,G68,G80,G92)/7</f>
        <v>38.472174467142857</v>
      </c>
    </row>
    <row r="10" spans="1:207" x14ac:dyDescent="0.2">
      <c r="A10" t="s">
        <v>7</v>
      </c>
      <c r="F10" t="s">
        <v>54</v>
      </c>
      <c r="G10" s="3">
        <f>SUM(G22,G34,G46,G58,G70,G82,G94)/7</f>
        <v>43.746335788571422</v>
      </c>
    </row>
    <row r="12" spans="1:207" x14ac:dyDescent="0.2">
      <c r="B12" t="s">
        <v>60</v>
      </c>
      <c r="D12" s="1" t="s">
        <v>23</v>
      </c>
    </row>
    <row r="13" spans="1:207" x14ac:dyDescent="0.2">
      <c r="B13" s="2" t="s">
        <v>20</v>
      </c>
      <c r="D13" s="1" t="s">
        <v>8</v>
      </c>
      <c r="E13" s="1" t="s">
        <v>9</v>
      </c>
      <c r="F13" s="1" t="s">
        <v>10</v>
      </c>
      <c r="G13" s="1" t="s">
        <v>11</v>
      </c>
      <c r="H13" s="1" t="s">
        <v>12</v>
      </c>
      <c r="I13" s="1" t="s">
        <v>13</v>
      </c>
      <c r="J13" s="1" t="s">
        <v>14</v>
      </c>
      <c r="K13" s="1" t="s">
        <v>15</v>
      </c>
      <c r="L13" s="1"/>
      <c r="M13" s="1" t="s">
        <v>16</v>
      </c>
    </row>
    <row r="14" spans="1:207" x14ac:dyDescent="0.2">
      <c r="B14" s="2" t="s">
        <v>21</v>
      </c>
      <c r="D14" t="s">
        <v>3</v>
      </c>
      <c r="E14" t="s">
        <v>1</v>
      </c>
      <c r="F14">
        <f>COUNT(M14:GJ14)</f>
        <v>100</v>
      </c>
      <c r="G14" s="3">
        <f>AVERAGE(M14:GJ14)</f>
        <v>21.165975720000002</v>
      </c>
      <c r="H14" s="3">
        <f>MAX(M14:GJ14)</f>
        <v>31.383799</v>
      </c>
      <c r="I14" s="3">
        <f>MIN(M14:GJ14)</f>
        <v>13.714826</v>
      </c>
      <c r="J14" s="3">
        <f>_xlfn.STDEV.P(M14:GJ14)</f>
        <v>4.1112837490641718</v>
      </c>
      <c r="K14" s="3">
        <f>_xlfn.VAR.S(M14:GJ14)</f>
        <v>17.073387944766743</v>
      </c>
      <c r="M14" s="3">
        <v>22.304731</v>
      </c>
      <c r="N14" s="3">
        <v>19.423428999999999</v>
      </c>
      <c r="O14" s="3">
        <v>19.851337000000001</v>
      </c>
      <c r="P14" s="3">
        <v>22.990732000000001</v>
      </c>
      <c r="Q14" s="3">
        <v>26.589848</v>
      </c>
      <c r="R14" s="3">
        <v>23.146837000000001</v>
      </c>
      <c r="S14" s="3">
        <v>18.759969999999999</v>
      </c>
      <c r="T14" s="3">
        <v>23.305323000000001</v>
      </c>
      <c r="U14" s="3">
        <v>20.733498000000001</v>
      </c>
      <c r="V14" s="3">
        <v>29.527048000000001</v>
      </c>
      <c r="W14" s="3">
        <v>19.551894999999998</v>
      </c>
      <c r="X14" s="3">
        <v>27.210149999999999</v>
      </c>
      <c r="Y14" s="3">
        <v>26.394434</v>
      </c>
      <c r="Z14" s="3">
        <v>19.764391</v>
      </c>
      <c r="AA14" s="3">
        <v>25.119522</v>
      </c>
      <c r="AB14" s="3">
        <v>17.317655999999999</v>
      </c>
      <c r="AC14" s="3">
        <v>25.894649999999999</v>
      </c>
      <c r="AD14" s="3">
        <v>19.515706999999999</v>
      </c>
      <c r="AE14" s="3">
        <v>13.96584</v>
      </c>
      <c r="AF14" s="3">
        <v>20.702725999999998</v>
      </c>
      <c r="AG14" s="3">
        <v>19.349530999999999</v>
      </c>
      <c r="AH14" s="3">
        <v>13.934774000000001</v>
      </c>
      <c r="AI14" s="3">
        <v>26.162393999999999</v>
      </c>
      <c r="AJ14" s="3">
        <v>17.174751000000001</v>
      </c>
      <c r="AK14" s="3">
        <v>22.596418</v>
      </c>
      <c r="AL14" s="3">
        <v>21.907077999999998</v>
      </c>
      <c r="AM14" s="3">
        <v>21.490981999999999</v>
      </c>
      <c r="AN14" s="3">
        <v>31.204718</v>
      </c>
      <c r="AO14" s="3">
        <v>22.755168999999999</v>
      </c>
      <c r="AP14" s="3">
        <v>19.011913</v>
      </c>
      <c r="AQ14" s="3">
        <v>18.047508000000001</v>
      </c>
      <c r="AR14" s="3">
        <v>17.052668000000001</v>
      </c>
      <c r="AS14" s="3">
        <v>22.627157</v>
      </c>
      <c r="AT14" s="3">
        <v>18.089447</v>
      </c>
      <c r="AU14" s="3">
        <v>21.972646999999998</v>
      </c>
      <c r="AV14" s="3">
        <v>17.532709000000001</v>
      </c>
      <c r="AW14" s="3">
        <v>19.653444</v>
      </c>
      <c r="AX14" s="3">
        <v>19.846043000000002</v>
      </c>
      <c r="AY14" s="3">
        <v>22.249480999999999</v>
      </c>
      <c r="AZ14" s="3">
        <v>20.625435</v>
      </c>
      <c r="BA14" s="3">
        <v>18.858091000000002</v>
      </c>
      <c r="BB14" s="3">
        <v>22.807043</v>
      </c>
      <c r="BC14" s="3">
        <v>22.982524999999999</v>
      </c>
      <c r="BD14" s="3">
        <v>17.032972000000001</v>
      </c>
      <c r="BE14" s="3">
        <v>18.334340999999998</v>
      </c>
      <c r="BF14" s="3">
        <v>20.319780000000002</v>
      </c>
      <c r="BG14" s="3">
        <v>16.398705</v>
      </c>
      <c r="BH14" s="3">
        <v>19.973602</v>
      </c>
      <c r="BI14" s="3">
        <v>19.378166</v>
      </c>
      <c r="BJ14" s="3">
        <v>15.020806</v>
      </c>
      <c r="BK14" s="3">
        <v>19.594801</v>
      </c>
      <c r="BL14" s="3">
        <v>17.867397</v>
      </c>
      <c r="BM14" s="3">
        <v>23.603612999999999</v>
      </c>
      <c r="BN14" s="3">
        <v>25.353323</v>
      </c>
      <c r="BO14" s="3">
        <v>25.168832999999999</v>
      </c>
      <c r="BP14" s="3">
        <v>17.434149000000001</v>
      </c>
      <c r="BQ14" s="3">
        <v>18.465069</v>
      </c>
      <c r="BR14" s="3">
        <v>27.260044000000001</v>
      </c>
      <c r="BS14" s="3">
        <v>15.14541</v>
      </c>
      <c r="BT14" s="3">
        <v>13.714826</v>
      </c>
      <c r="BU14" s="3">
        <v>29.037638000000001</v>
      </c>
      <c r="BV14" s="3">
        <v>29.674461000000001</v>
      </c>
      <c r="BW14" s="3">
        <v>31.383799</v>
      </c>
      <c r="BX14" s="3">
        <v>18.80987</v>
      </c>
      <c r="BY14" s="3">
        <v>20.578747</v>
      </c>
      <c r="BZ14" s="3">
        <v>16.323442</v>
      </c>
      <c r="CA14" s="3">
        <v>28.700068000000002</v>
      </c>
      <c r="CB14" s="3">
        <v>23.707246999999999</v>
      </c>
      <c r="CC14" s="3">
        <v>24.977962000000002</v>
      </c>
      <c r="CD14" s="3">
        <v>16.407775999999998</v>
      </c>
      <c r="CE14" s="3">
        <v>26.174381</v>
      </c>
      <c r="CF14" s="3">
        <v>18.010853000000001</v>
      </c>
      <c r="CG14" s="3">
        <v>24.767272999999999</v>
      </c>
      <c r="CH14" s="3">
        <v>21.679158999999999</v>
      </c>
      <c r="CI14" s="3">
        <v>25.442405999999998</v>
      </c>
      <c r="CJ14" s="3">
        <v>18.178308000000001</v>
      </c>
      <c r="CK14" s="3">
        <v>20.250230999999999</v>
      </c>
      <c r="CL14" s="3">
        <v>27.17625</v>
      </c>
      <c r="CM14" s="3">
        <v>25.546776000000001</v>
      </c>
      <c r="CN14" s="3">
        <v>26.076263000000001</v>
      </c>
      <c r="CO14" s="3">
        <v>18.104331999999999</v>
      </c>
      <c r="CP14" s="3">
        <v>15.042483000000001</v>
      </c>
      <c r="CQ14" s="3">
        <v>22.423162000000001</v>
      </c>
      <c r="CR14" s="3">
        <v>18.960664999999999</v>
      </c>
      <c r="CS14" s="3">
        <v>22.047432000000001</v>
      </c>
      <c r="CT14" s="3">
        <v>19.295764999999999</v>
      </c>
      <c r="CU14" s="3">
        <v>27.512475999999999</v>
      </c>
      <c r="CV14" s="3">
        <v>15.483399</v>
      </c>
      <c r="CW14" s="3">
        <v>21.907885</v>
      </c>
      <c r="CX14" s="3">
        <v>27.282436000000001</v>
      </c>
      <c r="CY14" s="3">
        <v>18.602768000000001</v>
      </c>
      <c r="CZ14" s="3">
        <v>19.374271</v>
      </c>
      <c r="DA14" s="3">
        <v>21.844097000000001</v>
      </c>
      <c r="DB14" s="3">
        <v>14.738606000000001</v>
      </c>
      <c r="DC14" s="3">
        <v>22.317207</v>
      </c>
      <c r="DD14" s="3">
        <v>15.448491000000001</v>
      </c>
      <c r="DE14" s="3">
        <v>19.877134000000002</v>
      </c>
      <c r="DF14" s="3">
        <v>15.94547</v>
      </c>
      <c r="DG14" s="3">
        <v>19.757829999999998</v>
      </c>
      <c r="DH14" s="3">
        <v>17.661266000000001</v>
      </c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</row>
    <row r="15" spans="1:207" x14ac:dyDescent="0.2">
      <c r="B15" s="2" t="s">
        <v>22</v>
      </c>
      <c r="G15" s="3"/>
      <c r="H15" s="3"/>
      <c r="I15" s="3"/>
      <c r="J15" s="3"/>
      <c r="K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 x14ac:dyDescent="0.2">
      <c r="D16" t="s">
        <v>4</v>
      </c>
      <c r="E16" t="s">
        <v>1</v>
      </c>
      <c r="F16">
        <f>COUNT(M16:GJ16)</f>
        <v>100</v>
      </c>
      <c r="G16" s="3">
        <f>AVERAGE(M16:GJ16)</f>
        <v>38.312817460000005</v>
      </c>
      <c r="H16" s="3">
        <f>MAX(M16:GJ16)</f>
        <v>52.970184000000003</v>
      </c>
      <c r="I16" s="3">
        <f>MIN(M16:GJ16)</f>
        <v>15.715904</v>
      </c>
      <c r="J16" s="3">
        <f>_xlfn.STDEV.P(M16:GJ16)</f>
        <v>6.4662761227519425</v>
      </c>
      <c r="K16" s="3">
        <f>_xlfn.VAR.S(M16:GJ16)</f>
        <v>42.235077672395761</v>
      </c>
      <c r="M16" s="3">
        <v>39.809325999999999</v>
      </c>
      <c r="N16" s="3">
        <v>36.584876999999999</v>
      </c>
      <c r="O16" s="3">
        <v>37.450699</v>
      </c>
      <c r="P16" s="3">
        <v>39.506016000000002</v>
      </c>
      <c r="Q16" s="3">
        <v>42.009639999999997</v>
      </c>
      <c r="R16" s="3">
        <v>43.085915</v>
      </c>
      <c r="S16" s="3">
        <v>44.928108000000002</v>
      </c>
      <c r="T16" s="3">
        <v>36.777168000000003</v>
      </c>
      <c r="U16" s="3">
        <v>50.349589999999999</v>
      </c>
      <c r="V16" s="3">
        <v>39.621608999999999</v>
      </c>
      <c r="W16" s="3">
        <v>40.191761</v>
      </c>
      <c r="X16" s="3">
        <v>40.097690999999998</v>
      </c>
      <c r="Y16" s="3">
        <v>44.034095999999998</v>
      </c>
      <c r="Z16" s="3">
        <v>38.235343999999998</v>
      </c>
      <c r="AA16" s="3">
        <v>42.737704999999998</v>
      </c>
      <c r="AB16" s="3">
        <v>42.294342</v>
      </c>
      <c r="AC16" s="3">
        <v>31.545052999999999</v>
      </c>
      <c r="AD16" s="3">
        <v>25.251480000000001</v>
      </c>
      <c r="AE16" s="3">
        <v>37.936042999999998</v>
      </c>
      <c r="AF16" s="3">
        <v>44.468975</v>
      </c>
      <c r="AG16" s="3">
        <v>42.091647999999999</v>
      </c>
      <c r="AH16" s="3">
        <v>47.084491999999997</v>
      </c>
      <c r="AI16" s="3">
        <v>39.585915</v>
      </c>
      <c r="AJ16" s="3">
        <v>41.384791999999997</v>
      </c>
      <c r="AK16" s="3">
        <v>36.100757999999999</v>
      </c>
      <c r="AL16" s="3">
        <v>42.969512999999999</v>
      </c>
      <c r="AM16" s="3">
        <v>31.449064</v>
      </c>
      <c r="AN16" s="3">
        <v>45.014412</v>
      </c>
      <c r="AO16" s="3">
        <v>24.422642</v>
      </c>
      <c r="AP16" s="3">
        <v>42.440120999999998</v>
      </c>
      <c r="AQ16" s="3">
        <v>36.064919000000003</v>
      </c>
      <c r="AR16" s="3">
        <v>47.39875</v>
      </c>
      <c r="AS16" s="3">
        <v>38.218445000000003</v>
      </c>
      <c r="AT16" s="3">
        <v>36.489960000000004</v>
      </c>
      <c r="AU16" s="3">
        <v>34.229958000000003</v>
      </c>
      <c r="AV16" s="3">
        <v>32.808433999999998</v>
      </c>
      <c r="AW16" s="3">
        <v>40.962059000000004</v>
      </c>
      <c r="AX16" s="3">
        <v>43.719734000000003</v>
      </c>
      <c r="AY16" s="3">
        <v>36.041519000000001</v>
      </c>
      <c r="AZ16" s="3">
        <v>33.080967000000001</v>
      </c>
      <c r="BA16" s="3">
        <v>25.941486000000001</v>
      </c>
      <c r="BB16" s="3">
        <v>32.862761999999996</v>
      </c>
      <c r="BC16" s="3">
        <v>25.021920999999999</v>
      </c>
      <c r="BD16" s="3">
        <v>38.421028</v>
      </c>
      <c r="BE16" s="3">
        <v>40.969943999999998</v>
      </c>
      <c r="BF16" s="3">
        <v>44.482135999999997</v>
      </c>
      <c r="BG16" s="3">
        <v>31.838552</v>
      </c>
      <c r="BH16" s="3">
        <v>15.715904</v>
      </c>
      <c r="BI16" s="3">
        <v>32.684578000000002</v>
      </c>
      <c r="BJ16" s="3">
        <v>31.494274000000001</v>
      </c>
      <c r="BK16" s="3">
        <v>40.329712000000001</v>
      </c>
      <c r="BL16" s="3">
        <v>37.851433</v>
      </c>
      <c r="BM16" s="3">
        <v>42.99004</v>
      </c>
      <c r="BN16" s="3">
        <v>44.902636999999999</v>
      </c>
      <c r="BO16" s="3">
        <v>44.887928000000002</v>
      </c>
      <c r="BP16" s="3">
        <v>47.526535000000003</v>
      </c>
      <c r="BQ16" s="3">
        <v>52.389870000000002</v>
      </c>
      <c r="BR16" s="3">
        <v>45.304290999999999</v>
      </c>
      <c r="BS16" s="3">
        <v>30.203251000000002</v>
      </c>
      <c r="BT16" s="3">
        <v>39.294742999999997</v>
      </c>
      <c r="BU16" s="3">
        <v>38.446308000000002</v>
      </c>
      <c r="BV16" s="3">
        <v>44.476086000000002</v>
      </c>
      <c r="BW16" s="3">
        <v>44.326934999999999</v>
      </c>
      <c r="BX16" s="3">
        <v>33.877094</v>
      </c>
      <c r="BY16" s="3">
        <v>50.789817999999997</v>
      </c>
      <c r="BZ16" s="3">
        <v>42.347808999999998</v>
      </c>
      <c r="CA16" s="3">
        <v>34.741523999999998</v>
      </c>
      <c r="CB16" s="3">
        <v>37.253982999999998</v>
      </c>
      <c r="CC16" s="3">
        <v>37.995739</v>
      </c>
      <c r="CD16" s="3">
        <v>36.059074000000003</v>
      </c>
      <c r="CE16" s="3">
        <v>40.771541999999997</v>
      </c>
      <c r="CF16" s="3">
        <v>43.640625</v>
      </c>
      <c r="CG16" s="3">
        <v>43.125819999999997</v>
      </c>
      <c r="CH16" s="3">
        <v>39.382446000000002</v>
      </c>
      <c r="CI16" s="3">
        <v>38.280991</v>
      </c>
      <c r="CJ16" s="3">
        <v>30.596150999999999</v>
      </c>
      <c r="CK16" s="3">
        <v>30.642289999999999</v>
      </c>
      <c r="CL16" s="3">
        <v>36.178508999999998</v>
      </c>
      <c r="CM16" s="3">
        <v>30.420535999999998</v>
      </c>
      <c r="CN16" s="3">
        <v>38.895747999999998</v>
      </c>
      <c r="CO16" s="3">
        <v>35.493648999999998</v>
      </c>
      <c r="CP16" s="3">
        <v>34.921131000000003</v>
      </c>
      <c r="CQ16" s="3">
        <v>32.925685999999999</v>
      </c>
      <c r="CR16" s="3">
        <v>35.106048999999999</v>
      </c>
      <c r="CS16" s="3">
        <v>34.640816000000001</v>
      </c>
      <c r="CT16" s="3">
        <v>34.242432000000001</v>
      </c>
      <c r="CU16" s="3">
        <v>41.862361999999997</v>
      </c>
      <c r="CV16" s="3">
        <v>42.3703</v>
      </c>
      <c r="CW16" s="3">
        <v>52.970184000000003</v>
      </c>
      <c r="CX16" s="3">
        <v>43.163639000000003</v>
      </c>
      <c r="CY16" s="3">
        <v>38.433067000000001</v>
      </c>
      <c r="CZ16" s="3">
        <v>32.511142999999997</v>
      </c>
      <c r="DA16" s="3">
        <v>44.825901000000002</v>
      </c>
      <c r="DB16" s="3">
        <v>33.521523000000002</v>
      </c>
      <c r="DC16" s="3">
        <v>34.777531000000003</v>
      </c>
      <c r="DD16" s="3">
        <v>49.231079000000001</v>
      </c>
      <c r="DE16" s="3">
        <v>37.630977999999999</v>
      </c>
      <c r="DF16" s="3">
        <v>34.618792999999997</v>
      </c>
      <c r="DG16" s="3">
        <v>24.973476000000002</v>
      </c>
      <c r="DH16" s="3">
        <v>27.226413999999998</v>
      </c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2:207" x14ac:dyDescent="0.2">
      <c r="G17" s="3"/>
      <c r="H17" s="3"/>
      <c r="I17" s="3"/>
      <c r="J17" s="3"/>
      <c r="K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2:207" x14ac:dyDescent="0.2">
      <c r="D18" t="s">
        <v>2</v>
      </c>
      <c r="E18" t="s">
        <v>1</v>
      </c>
      <c r="F18">
        <f>COUNT(M18:GJ18)</f>
        <v>100</v>
      </c>
      <c r="G18" s="3">
        <f>AVERAGE(M18:GJ18)</f>
        <v>38.859105330000006</v>
      </c>
      <c r="H18" s="3">
        <f>MAX(M18:GJ18)</f>
        <v>53.198737999999999</v>
      </c>
      <c r="I18" s="3">
        <f>MIN(M18:GJ18)</f>
        <v>27.406614000000001</v>
      </c>
      <c r="J18" s="3">
        <f>_xlfn.STDEV.P(M18:GJ18)</f>
        <v>5.8701482551085755</v>
      </c>
      <c r="K18" s="3">
        <f>_xlfn.VAR.S(M18:GJ18)</f>
        <v>34.806707613085187</v>
      </c>
      <c r="M18" s="3">
        <v>37.877625000000002</v>
      </c>
      <c r="N18" s="3">
        <v>41.018287999999998</v>
      </c>
      <c r="O18" s="3">
        <v>41.496906000000003</v>
      </c>
      <c r="P18" s="3">
        <v>49.420546999999999</v>
      </c>
      <c r="Q18" s="3">
        <v>43.995609000000002</v>
      </c>
      <c r="R18" s="3">
        <v>40.946078999999997</v>
      </c>
      <c r="S18" s="3">
        <v>38.952464999999997</v>
      </c>
      <c r="T18" s="3">
        <v>44.437283000000001</v>
      </c>
      <c r="U18" s="3">
        <v>44.259501999999998</v>
      </c>
      <c r="V18" s="3">
        <v>44.567962999999999</v>
      </c>
      <c r="W18" s="3">
        <v>41.678944000000001</v>
      </c>
      <c r="X18" s="3">
        <v>47.307816000000003</v>
      </c>
      <c r="Y18" s="3">
        <v>44.414394000000001</v>
      </c>
      <c r="Z18" s="3">
        <v>51.780079000000001</v>
      </c>
      <c r="AA18" s="3">
        <v>43.975955999999996</v>
      </c>
      <c r="AB18" s="3">
        <v>41.372714999999999</v>
      </c>
      <c r="AC18" s="3">
        <v>40.686993000000001</v>
      </c>
      <c r="AD18" s="3">
        <v>43.191032</v>
      </c>
      <c r="AE18" s="3">
        <v>37.022072000000001</v>
      </c>
      <c r="AF18" s="3">
        <v>43.323742000000003</v>
      </c>
      <c r="AG18" s="3">
        <v>41.210605999999999</v>
      </c>
      <c r="AH18" s="3">
        <v>41.307301000000002</v>
      </c>
      <c r="AI18" s="3">
        <v>38.518763999999997</v>
      </c>
      <c r="AJ18" s="3">
        <v>41.763263999999999</v>
      </c>
      <c r="AK18" s="3">
        <v>37.710498999999999</v>
      </c>
      <c r="AL18" s="3">
        <v>34.203418999999997</v>
      </c>
      <c r="AM18" s="3">
        <v>52.163708</v>
      </c>
      <c r="AN18" s="3">
        <v>39.941509000000003</v>
      </c>
      <c r="AO18" s="3">
        <v>36.995598000000001</v>
      </c>
      <c r="AP18" s="3">
        <v>44.044463999999998</v>
      </c>
      <c r="AQ18" s="3">
        <v>38.501984</v>
      </c>
      <c r="AR18" s="3">
        <v>41.151603999999999</v>
      </c>
      <c r="AS18" s="3">
        <v>31.611145</v>
      </c>
      <c r="AT18" s="3">
        <v>43.396210000000004</v>
      </c>
      <c r="AU18" s="3">
        <v>43.320678999999998</v>
      </c>
      <c r="AV18" s="3">
        <v>49.563991999999999</v>
      </c>
      <c r="AW18" s="3">
        <v>41.276542999999997</v>
      </c>
      <c r="AX18" s="3">
        <v>45.325736999999997</v>
      </c>
      <c r="AY18" s="3">
        <v>44.553382999999997</v>
      </c>
      <c r="AZ18" s="3">
        <v>39.843978999999997</v>
      </c>
      <c r="BA18" s="3">
        <v>45.183566999999996</v>
      </c>
      <c r="BB18" s="3">
        <v>31.577611999999998</v>
      </c>
      <c r="BC18" s="3">
        <v>41.307468</v>
      </c>
      <c r="BD18" s="3">
        <v>31.002417000000001</v>
      </c>
      <c r="BE18" s="3">
        <v>41.633502999999997</v>
      </c>
      <c r="BF18" s="3">
        <v>41.286312000000002</v>
      </c>
      <c r="BG18" s="3">
        <v>44.450153</v>
      </c>
      <c r="BH18" s="3">
        <v>34.493301000000002</v>
      </c>
      <c r="BI18" s="3">
        <v>45.030045000000001</v>
      </c>
      <c r="BJ18" s="3">
        <v>38.106490999999998</v>
      </c>
      <c r="BK18" s="3">
        <v>27.862753000000001</v>
      </c>
      <c r="BL18" s="3">
        <v>38.010421999999998</v>
      </c>
      <c r="BM18" s="3">
        <v>39.914265</v>
      </c>
      <c r="BN18" s="3">
        <v>33.288189000000003</v>
      </c>
      <c r="BO18" s="3">
        <v>34.281616</v>
      </c>
      <c r="BP18" s="3">
        <v>39.229446000000003</v>
      </c>
      <c r="BQ18" s="3">
        <v>37.976776000000001</v>
      </c>
      <c r="BR18" s="3">
        <v>34.719704</v>
      </c>
      <c r="BS18" s="3">
        <v>43.921515999999997</v>
      </c>
      <c r="BT18" s="3">
        <v>53.198737999999999</v>
      </c>
      <c r="BU18" s="3">
        <v>39.567852000000002</v>
      </c>
      <c r="BV18" s="3">
        <v>42.482838000000001</v>
      </c>
      <c r="BW18" s="3">
        <v>41.763759999999998</v>
      </c>
      <c r="BX18" s="3">
        <v>47.152287000000001</v>
      </c>
      <c r="BY18" s="3">
        <v>30.867301999999999</v>
      </c>
      <c r="BZ18" s="3">
        <v>27.802990000000001</v>
      </c>
      <c r="CA18" s="3">
        <v>31.867245</v>
      </c>
      <c r="CB18" s="3">
        <v>38.652771000000001</v>
      </c>
      <c r="CC18" s="3">
        <v>31.530992999999999</v>
      </c>
      <c r="CD18" s="3">
        <v>36.407806000000001</v>
      </c>
      <c r="CE18" s="3">
        <v>41.275795000000002</v>
      </c>
      <c r="CF18" s="3">
        <v>37.712260999999998</v>
      </c>
      <c r="CG18" s="3">
        <v>32.497855999999999</v>
      </c>
      <c r="CH18" s="3">
        <v>40.190207999999998</v>
      </c>
      <c r="CI18" s="3">
        <v>35.396832000000003</v>
      </c>
      <c r="CJ18" s="3">
        <v>29.016693</v>
      </c>
      <c r="CK18" s="3">
        <v>43.407116000000002</v>
      </c>
      <c r="CL18" s="3">
        <v>33.767192999999999</v>
      </c>
      <c r="CM18" s="3">
        <v>35.838112000000002</v>
      </c>
      <c r="CN18" s="3">
        <v>30.711884999999999</v>
      </c>
      <c r="CO18" s="3">
        <v>34.925167000000002</v>
      </c>
      <c r="CP18" s="3">
        <v>29.687687</v>
      </c>
      <c r="CQ18" s="3">
        <v>33.183864999999997</v>
      </c>
      <c r="CR18" s="3">
        <v>39.622337000000002</v>
      </c>
      <c r="CS18" s="3">
        <v>42.126449999999998</v>
      </c>
      <c r="CT18" s="3">
        <v>36.457904999999997</v>
      </c>
      <c r="CU18" s="3">
        <v>30.587738000000002</v>
      </c>
      <c r="CV18" s="3">
        <v>36.305016000000002</v>
      </c>
      <c r="CW18" s="3">
        <v>47.580765</v>
      </c>
      <c r="CX18" s="3">
        <v>27.406614000000001</v>
      </c>
      <c r="CY18" s="3">
        <v>30.949598000000002</v>
      </c>
      <c r="CZ18" s="3">
        <v>28.000527999999999</v>
      </c>
      <c r="DA18" s="3">
        <v>32.259441000000002</v>
      </c>
      <c r="DB18" s="3">
        <v>28.207764000000001</v>
      </c>
      <c r="DC18" s="3">
        <v>42.072589999999998</v>
      </c>
      <c r="DD18" s="3">
        <v>41.788272999999997</v>
      </c>
      <c r="DE18" s="3">
        <v>34.816177000000003</v>
      </c>
      <c r="DF18" s="3">
        <v>29.605536000000001</v>
      </c>
      <c r="DG18" s="3">
        <v>35.591251</v>
      </c>
      <c r="DH18" s="3">
        <v>32.221344000000002</v>
      </c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2:207" x14ac:dyDescent="0.2">
      <c r="G19" s="3"/>
      <c r="H19" s="3"/>
      <c r="I19" s="3"/>
      <c r="J19" s="3"/>
      <c r="K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2:207" x14ac:dyDescent="0.2">
      <c r="D20" t="s">
        <v>5</v>
      </c>
      <c r="E20" t="s">
        <v>1</v>
      </c>
      <c r="F20">
        <f>COUNT(M20:GJ20)</f>
        <v>100</v>
      </c>
      <c r="G20" s="3">
        <f>AVERAGE(M20:GJ20)</f>
        <v>13.913945039999996</v>
      </c>
      <c r="H20" s="3">
        <f>MAX(M20:GJ20)</f>
        <v>23.403936000000002</v>
      </c>
      <c r="I20" s="3">
        <f>MIN(M20:GJ20)</f>
        <v>9.4609220000000001</v>
      </c>
      <c r="J20" s="3">
        <f>_xlfn.STDEV.P(M20:GJ20)</f>
        <v>2.7664928328644551</v>
      </c>
      <c r="K20" s="3">
        <f>_xlfn.VAR.S(M20:GJ20)</f>
        <v>7.7307904992832315</v>
      </c>
      <c r="M20" s="3">
        <v>13.50888</v>
      </c>
      <c r="N20" s="3">
        <v>11.824903000000001</v>
      </c>
      <c r="O20" s="3">
        <v>13.376754999999999</v>
      </c>
      <c r="P20" s="3">
        <v>12.935858</v>
      </c>
      <c r="Q20" s="3">
        <v>13.238661</v>
      </c>
      <c r="R20" s="3">
        <v>18.002651</v>
      </c>
      <c r="S20" s="3">
        <v>14.067812</v>
      </c>
      <c r="T20" s="3">
        <v>11.286595</v>
      </c>
      <c r="U20" s="3">
        <v>17.07263</v>
      </c>
      <c r="V20" s="3">
        <v>13.633763999999999</v>
      </c>
      <c r="W20" s="3">
        <v>9.6632280000000002</v>
      </c>
      <c r="X20" s="3">
        <v>10.447585</v>
      </c>
      <c r="Y20" s="3">
        <v>18.592099999999999</v>
      </c>
      <c r="Z20" s="3">
        <v>15.44153</v>
      </c>
      <c r="AA20" s="3">
        <v>15.526</v>
      </c>
      <c r="AB20" s="3">
        <v>12.74295</v>
      </c>
      <c r="AC20" s="3">
        <v>13.563314999999999</v>
      </c>
      <c r="AD20" s="3">
        <v>12.728491</v>
      </c>
      <c r="AE20" s="3">
        <v>18.545601000000001</v>
      </c>
      <c r="AF20" s="3">
        <v>14.144444</v>
      </c>
      <c r="AG20" s="3">
        <v>13.074431000000001</v>
      </c>
      <c r="AH20" s="3">
        <v>12.848333999999999</v>
      </c>
      <c r="AI20" s="3">
        <v>13.849318999999999</v>
      </c>
      <c r="AJ20" s="3">
        <v>13.486639</v>
      </c>
      <c r="AK20" s="3">
        <v>13.090942999999999</v>
      </c>
      <c r="AL20" s="3">
        <v>12.292274000000001</v>
      </c>
      <c r="AM20" s="3">
        <v>11.715199</v>
      </c>
      <c r="AN20" s="3">
        <v>12.639016</v>
      </c>
      <c r="AO20" s="3">
        <v>21.409707999999998</v>
      </c>
      <c r="AP20" s="3">
        <v>11.563813</v>
      </c>
      <c r="AQ20" s="3">
        <v>17.83436</v>
      </c>
      <c r="AR20" s="3">
        <v>11.407610999999999</v>
      </c>
      <c r="AS20" s="3">
        <v>12.931172999999999</v>
      </c>
      <c r="AT20" s="3">
        <v>13.751068</v>
      </c>
      <c r="AU20" s="3">
        <v>14.860234999999999</v>
      </c>
      <c r="AV20" s="3">
        <v>10.860255</v>
      </c>
      <c r="AW20" s="3">
        <v>11.659656</v>
      </c>
      <c r="AX20" s="3">
        <v>13.437333000000001</v>
      </c>
      <c r="AY20" s="3">
        <v>12.657624</v>
      </c>
      <c r="AZ20" s="3">
        <v>13.66075</v>
      </c>
      <c r="BA20" s="3">
        <v>16.419943</v>
      </c>
      <c r="BB20" s="3">
        <v>11.67193</v>
      </c>
      <c r="BC20" s="3">
        <v>22.753350999999999</v>
      </c>
      <c r="BD20" s="3">
        <v>12.588395999999999</v>
      </c>
      <c r="BE20" s="3">
        <v>14.038235</v>
      </c>
      <c r="BF20" s="3">
        <v>14.926703</v>
      </c>
      <c r="BG20" s="3">
        <v>12.350782000000001</v>
      </c>
      <c r="BH20" s="3">
        <v>14.43877</v>
      </c>
      <c r="BI20" s="3">
        <v>12.941312999999999</v>
      </c>
      <c r="BJ20" s="3">
        <v>12.007720000000001</v>
      </c>
      <c r="BK20" s="3">
        <v>13.041821000000001</v>
      </c>
      <c r="BL20" s="3">
        <v>10.866358</v>
      </c>
      <c r="BM20" s="3">
        <v>10.923223</v>
      </c>
      <c r="BN20" s="3">
        <v>19.676926000000002</v>
      </c>
      <c r="BO20" s="3">
        <v>11.609812</v>
      </c>
      <c r="BP20" s="3">
        <v>19.762253000000001</v>
      </c>
      <c r="BQ20" s="3">
        <v>11.049575000000001</v>
      </c>
      <c r="BR20" s="3">
        <v>16.579853</v>
      </c>
      <c r="BS20" s="3">
        <v>14.587529</v>
      </c>
      <c r="BT20" s="3">
        <v>13.630255</v>
      </c>
      <c r="BU20" s="3">
        <v>10.227865</v>
      </c>
      <c r="BV20" s="3">
        <v>21.739619999999999</v>
      </c>
      <c r="BW20" s="3">
        <v>11.882237</v>
      </c>
      <c r="BX20" s="3">
        <v>12.924715000000001</v>
      </c>
      <c r="BY20" s="3">
        <v>14.461967</v>
      </c>
      <c r="BZ20" s="3">
        <v>12.448648</v>
      </c>
      <c r="CA20" s="3">
        <v>14.884071</v>
      </c>
      <c r="CB20" s="3">
        <v>14.038099000000001</v>
      </c>
      <c r="CC20" s="3">
        <v>12.396784999999999</v>
      </c>
      <c r="CD20" s="3">
        <v>13.654253000000001</v>
      </c>
      <c r="CE20" s="3">
        <v>13.697290000000001</v>
      </c>
      <c r="CF20" s="3">
        <v>14.481479</v>
      </c>
      <c r="CG20" s="3">
        <v>11.355297999999999</v>
      </c>
      <c r="CH20" s="3">
        <v>13.154941000000001</v>
      </c>
      <c r="CI20" s="3">
        <v>12.497601</v>
      </c>
      <c r="CJ20" s="3">
        <v>13.515401000000001</v>
      </c>
      <c r="CK20" s="3">
        <v>10.596109999999999</v>
      </c>
      <c r="CL20" s="3">
        <v>10.421276000000001</v>
      </c>
      <c r="CM20" s="3">
        <v>17.993369999999999</v>
      </c>
      <c r="CN20" s="3">
        <v>11.383127</v>
      </c>
      <c r="CO20" s="3">
        <v>15.857614999999999</v>
      </c>
      <c r="CP20" s="3">
        <v>11.004277999999999</v>
      </c>
      <c r="CQ20" s="3">
        <v>16.298300000000001</v>
      </c>
      <c r="CR20" s="3">
        <v>13.388089000000001</v>
      </c>
      <c r="CS20" s="3">
        <v>15.059854</v>
      </c>
      <c r="CT20" s="3">
        <v>9.4609220000000001</v>
      </c>
      <c r="CU20" s="3">
        <v>23.403936000000002</v>
      </c>
      <c r="CV20" s="3">
        <v>11.876693</v>
      </c>
      <c r="CW20" s="3">
        <v>12.756129</v>
      </c>
      <c r="CX20" s="3">
        <v>14.874143999999999</v>
      </c>
      <c r="CY20" s="3">
        <v>16.165068000000002</v>
      </c>
      <c r="CZ20" s="3">
        <v>16.367083000000001</v>
      </c>
      <c r="DA20" s="3">
        <v>18.258776000000001</v>
      </c>
      <c r="DB20" s="3">
        <v>11.117596000000001</v>
      </c>
      <c r="DC20" s="3">
        <v>12.681334</v>
      </c>
      <c r="DD20" s="3">
        <v>15.669248</v>
      </c>
      <c r="DE20" s="3">
        <v>13.933462</v>
      </c>
      <c r="DF20" s="3">
        <v>14.251756</v>
      </c>
      <c r="DG20" s="3">
        <v>11.977964999999999</v>
      </c>
      <c r="DH20" s="3">
        <v>13.999860999999999</v>
      </c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2:207" x14ac:dyDescent="0.2">
      <c r="G21" s="3"/>
      <c r="H21" s="3"/>
      <c r="I21" s="3"/>
      <c r="J21" s="3"/>
      <c r="K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 spans="2:207" x14ac:dyDescent="0.2">
      <c r="D22" t="s">
        <v>6</v>
      </c>
      <c r="E22" t="s">
        <v>1</v>
      </c>
      <c r="F22">
        <f>COUNT(M22:GJ22)</f>
        <v>100</v>
      </c>
      <c r="G22" s="3">
        <f>AVERAGE(M22:GJ22)</f>
        <v>13.817631340000002</v>
      </c>
      <c r="H22" s="3">
        <f>MAX(M22:GJ22)</f>
        <v>28.406949999999998</v>
      </c>
      <c r="I22" s="3">
        <f>MIN(M22:GJ22)</f>
        <v>8.2436670000000003</v>
      </c>
      <c r="J22" s="3">
        <f>_xlfn.STDEV.P(M22:GJ22)</f>
        <v>3.5538683650722751</v>
      </c>
      <c r="K22" s="3">
        <f>_xlfn.VAR.S(M22:GJ22)</f>
        <v>12.757555915415633</v>
      </c>
      <c r="M22" s="3">
        <v>9.1155600000000003</v>
      </c>
      <c r="N22" s="3">
        <v>18.787914000000001</v>
      </c>
      <c r="O22" s="3">
        <v>13.361343</v>
      </c>
      <c r="P22" s="3">
        <v>10.793056</v>
      </c>
      <c r="Q22" s="3">
        <v>11.533237</v>
      </c>
      <c r="R22" s="3">
        <v>11.963848</v>
      </c>
      <c r="S22" s="3">
        <v>15.474251000000001</v>
      </c>
      <c r="T22" s="3">
        <v>11.953761999999999</v>
      </c>
      <c r="U22" s="3">
        <v>13.346173</v>
      </c>
      <c r="V22" s="3">
        <v>13.116825</v>
      </c>
      <c r="W22" s="3">
        <v>12.521435</v>
      </c>
      <c r="X22" s="3">
        <v>14.757463</v>
      </c>
      <c r="Y22" s="3">
        <v>16.891912000000001</v>
      </c>
      <c r="Z22" s="3">
        <v>19.461147</v>
      </c>
      <c r="AA22" s="3">
        <v>12.044466999999999</v>
      </c>
      <c r="AB22" s="3">
        <v>18.295103000000001</v>
      </c>
      <c r="AC22" s="3">
        <v>13.709415999999999</v>
      </c>
      <c r="AD22" s="3">
        <v>12.404544</v>
      </c>
      <c r="AE22" s="3">
        <v>12.02871</v>
      </c>
      <c r="AF22" s="3">
        <v>10.715878</v>
      </c>
      <c r="AG22" s="3">
        <v>12.054202</v>
      </c>
      <c r="AH22" s="3">
        <v>17.840993999999998</v>
      </c>
      <c r="AI22" s="3">
        <v>11.860922</v>
      </c>
      <c r="AJ22" s="3">
        <v>11.507571</v>
      </c>
      <c r="AK22" s="3">
        <v>15.866782000000001</v>
      </c>
      <c r="AL22" s="3">
        <v>11.641083999999999</v>
      </c>
      <c r="AM22" s="3">
        <v>19.787179999999999</v>
      </c>
      <c r="AN22" s="3">
        <v>10.923052</v>
      </c>
      <c r="AO22" s="3">
        <v>19.532501</v>
      </c>
      <c r="AP22" s="3">
        <v>13.610937</v>
      </c>
      <c r="AQ22" s="3">
        <v>11.519556</v>
      </c>
      <c r="AR22" s="3">
        <v>11.080227000000001</v>
      </c>
      <c r="AS22" s="3">
        <v>10.388612</v>
      </c>
      <c r="AT22" s="3">
        <v>11.980032</v>
      </c>
      <c r="AU22" s="3">
        <v>10.040165</v>
      </c>
      <c r="AV22" s="3">
        <v>11.057290999999999</v>
      </c>
      <c r="AW22" s="3">
        <v>13.146067</v>
      </c>
      <c r="AX22" s="3">
        <v>15.601046999999999</v>
      </c>
      <c r="AY22" s="3">
        <v>19.445889999999999</v>
      </c>
      <c r="AZ22" s="3">
        <v>9.3806340000000006</v>
      </c>
      <c r="BA22" s="3">
        <v>11.203155000000001</v>
      </c>
      <c r="BB22" s="3">
        <v>11.697684000000001</v>
      </c>
      <c r="BC22" s="3">
        <v>13.918139</v>
      </c>
      <c r="BD22" s="3">
        <v>14.356052999999999</v>
      </c>
      <c r="BE22" s="3">
        <v>15.062283000000001</v>
      </c>
      <c r="BF22" s="3">
        <v>12.880706</v>
      </c>
      <c r="BG22" s="3">
        <v>12.547091</v>
      </c>
      <c r="BH22" s="3">
        <v>18.798200999999999</v>
      </c>
      <c r="BI22" s="3">
        <v>14.295938</v>
      </c>
      <c r="BJ22" s="3">
        <v>17.598217000000002</v>
      </c>
      <c r="BK22" s="3">
        <v>11.941133000000001</v>
      </c>
      <c r="BL22" s="3">
        <v>10.549191</v>
      </c>
      <c r="BM22" s="3">
        <v>12.595573999999999</v>
      </c>
      <c r="BN22" s="3">
        <v>18.637529000000001</v>
      </c>
      <c r="BO22" s="3">
        <v>13.922091999999999</v>
      </c>
      <c r="BP22" s="3">
        <v>10.326608999999999</v>
      </c>
      <c r="BQ22" s="3">
        <v>9.7284210000000009</v>
      </c>
      <c r="BR22" s="3">
        <v>10.836273</v>
      </c>
      <c r="BS22" s="3">
        <v>10.684953</v>
      </c>
      <c r="BT22" s="3">
        <v>9.9499790000000008</v>
      </c>
      <c r="BU22" s="3">
        <v>11.606982</v>
      </c>
      <c r="BV22" s="3">
        <v>12.329706</v>
      </c>
      <c r="BW22" s="3">
        <v>19.969593</v>
      </c>
      <c r="BX22" s="3">
        <v>20.302949999999999</v>
      </c>
      <c r="BY22" s="3">
        <v>8.2436670000000003</v>
      </c>
      <c r="BZ22" s="3">
        <v>11.800373</v>
      </c>
      <c r="CA22" s="3">
        <v>13.466415</v>
      </c>
      <c r="CB22" s="3">
        <v>13.280215999999999</v>
      </c>
      <c r="CC22" s="3">
        <v>13.642550999999999</v>
      </c>
      <c r="CD22" s="3">
        <v>17.376346999999999</v>
      </c>
      <c r="CE22" s="3">
        <v>10.914816</v>
      </c>
      <c r="CF22" s="3">
        <v>15.374978</v>
      </c>
      <c r="CG22" s="3">
        <v>21.510607</v>
      </c>
      <c r="CH22" s="3">
        <v>12.129011</v>
      </c>
      <c r="CI22" s="3">
        <v>17.320726000000001</v>
      </c>
      <c r="CJ22" s="3">
        <v>10.43155</v>
      </c>
      <c r="CK22" s="3">
        <v>17.049842999999999</v>
      </c>
      <c r="CL22" s="3">
        <v>12.803326</v>
      </c>
      <c r="CM22" s="3">
        <v>28.406949999999998</v>
      </c>
      <c r="CN22" s="3">
        <v>14.447191</v>
      </c>
      <c r="CO22" s="3">
        <v>11.345019000000001</v>
      </c>
      <c r="CP22" s="3">
        <v>9.8714340000000007</v>
      </c>
      <c r="CQ22" s="3">
        <v>10.849792000000001</v>
      </c>
      <c r="CR22" s="3">
        <v>10.698667</v>
      </c>
      <c r="CS22" s="3">
        <v>10.465674999999999</v>
      </c>
      <c r="CT22" s="3">
        <v>11.235194</v>
      </c>
      <c r="CU22" s="3">
        <v>13.897539</v>
      </c>
      <c r="CV22" s="3">
        <v>16.312346000000002</v>
      </c>
      <c r="CW22" s="3">
        <v>19.676939000000001</v>
      </c>
      <c r="CX22" s="3">
        <v>9.8502740000000006</v>
      </c>
      <c r="CY22" s="3">
        <v>12.232017000000001</v>
      </c>
      <c r="CZ22" s="3">
        <v>20.084337000000001</v>
      </c>
      <c r="DA22" s="3">
        <v>12.543850000000001</v>
      </c>
      <c r="DB22" s="3">
        <v>10.748773</v>
      </c>
      <c r="DC22" s="3">
        <v>16.589276999999999</v>
      </c>
      <c r="DD22" s="3">
        <v>11.647705999999999</v>
      </c>
      <c r="DE22" s="3">
        <v>16.671759000000002</v>
      </c>
      <c r="DF22" s="3">
        <v>21.756938999999999</v>
      </c>
      <c r="DG22" s="3">
        <v>12.126115</v>
      </c>
      <c r="DH22" s="3">
        <v>18.681673</v>
      </c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4" spans="2:207" x14ac:dyDescent="0.2">
      <c r="D24" s="1"/>
    </row>
    <row r="25" spans="2:207" x14ac:dyDescent="0.2">
      <c r="B25" t="s">
        <v>60</v>
      </c>
      <c r="D25" s="1" t="s">
        <v>24</v>
      </c>
    </row>
    <row r="26" spans="2:207" x14ac:dyDescent="0.2">
      <c r="B26" s="2" t="s">
        <v>25</v>
      </c>
      <c r="D26" t="s">
        <v>3</v>
      </c>
      <c r="E26" t="s">
        <v>1</v>
      </c>
      <c r="F26">
        <f>COUNT(M26:GJ26)</f>
        <v>100</v>
      </c>
      <c r="G26" s="3">
        <f>AVERAGE(M26:GJ26)</f>
        <v>207.90392088000004</v>
      </c>
      <c r="H26" s="3">
        <f>MAX(M26:GJ26)</f>
        <v>277.94131499999997</v>
      </c>
      <c r="I26" s="3">
        <f>MIN(M26:GJ26)</f>
        <v>132.85607899999999</v>
      </c>
      <c r="J26" s="3">
        <f>_xlfn.STDEV.P(M26:GJ26)</f>
        <v>29.412724123060638</v>
      </c>
      <c r="K26" s="3">
        <f>_xlfn.VAR.S(M26:GJ26)</f>
        <v>873.84680842350451</v>
      </c>
      <c r="M26" s="3">
        <v>220.22680700000001</v>
      </c>
      <c r="N26" s="3">
        <v>206.85481300000001</v>
      </c>
      <c r="O26" s="3">
        <v>182.67039500000001</v>
      </c>
      <c r="P26" s="3">
        <v>167.71839900000001</v>
      </c>
      <c r="Q26" s="3">
        <v>234.08107000000001</v>
      </c>
      <c r="R26" s="3">
        <v>229.46725499999999</v>
      </c>
      <c r="S26" s="3">
        <v>208.24624600000001</v>
      </c>
      <c r="T26" s="3">
        <v>231.279449</v>
      </c>
      <c r="U26" s="3">
        <v>162.481964</v>
      </c>
      <c r="V26" s="3">
        <v>222.125122</v>
      </c>
      <c r="W26" s="3">
        <v>163.28706399999999</v>
      </c>
      <c r="X26" s="3">
        <v>229.97006200000001</v>
      </c>
      <c r="Y26" s="3">
        <v>179.129684</v>
      </c>
      <c r="Z26" s="3">
        <v>225.435745</v>
      </c>
      <c r="AA26" s="3">
        <v>221.36227400000001</v>
      </c>
      <c r="AB26" s="3">
        <v>175.390366</v>
      </c>
      <c r="AC26" s="3">
        <v>208.648438</v>
      </c>
      <c r="AD26" s="3">
        <v>196.964493</v>
      </c>
      <c r="AE26" s="3">
        <v>170.685059</v>
      </c>
      <c r="AF26" s="3">
        <v>230.066788</v>
      </c>
      <c r="AG26" s="3">
        <v>184.77941899999999</v>
      </c>
      <c r="AH26" s="3">
        <v>158.87908899999999</v>
      </c>
      <c r="AI26" s="3">
        <v>224.23353599999999</v>
      </c>
      <c r="AJ26" s="3">
        <v>223.63945000000001</v>
      </c>
      <c r="AK26" s="3">
        <v>206.25233499999999</v>
      </c>
      <c r="AL26" s="3">
        <v>204.31449900000001</v>
      </c>
      <c r="AM26" s="3">
        <v>233.694794</v>
      </c>
      <c r="AN26" s="3">
        <v>277.94131499999997</v>
      </c>
      <c r="AO26" s="3">
        <v>222.48693800000001</v>
      </c>
      <c r="AP26" s="3">
        <v>193.81210300000001</v>
      </c>
      <c r="AQ26" s="3">
        <v>208.16686999999999</v>
      </c>
      <c r="AR26" s="3">
        <v>214.90725699999999</v>
      </c>
      <c r="AS26" s="3">
        <v>225.870499</v>
      </c>
      <c r="AT26" s="3">
        <v>224.31420900000001</v>
      </c>
      <c r="AU26" s="3">
        <v>225.53504899999999</v>
      </c>
      <c r="AV26" s="3">
        <v>204.983002</v>
      </c>
      <c r="AW26" s="3">
        <v>199.324783</v>
      </c>
      <c r="AX26" s="3">
        <v>221.88012699999999</v>
      </c>
      <c r="AY26" s="3">
        <v>257.343658</v>
      </c>
      <c r="AZ26" s="3">
        <v>224.57060200000001</v>
      </c>
      <c r="BA26" s="3">
        <v>211.661148</v>
      </c>
      <c r="BB26" s="3">
        <v>245.339935</v>
      </c>
      <c r="BC26" s="3">
        <v>226.132339</v>
      </c>
      <c r="BD26" s="3">
        <v>195.874664</v>
      </c>
      <c r="BE26" s="3">
        <v>216.148056</v>
      </c>
      <c r="BF26" s="3">
        <v>237.16395600000001</v>
      </c>
      <c r="BG26" s="3">
        <v>168.239105</v>
      </c>
      <c r="BH26" s="3">
        <v>190.946594</v>
      </c>
      <c r="BI26" s="3">
        <v>219.453079</v>
      </c>
      <c r="BJ26" s="3">
        <v>153.51739499999999</v>
      </c>
      <c r="BK26" s="3">
        <v>161.907578</v>
      </c>
      <c r="BL26" s="3">
        <v>181.90429700000001</v>
      </c>
      <c r="BM26" s="3">
        <v>221.46167</v>
      </c>
      <c r="BN26" s="3">
        <v>236.540344</v>
      </c>
      <c r="BO26" s="3">
        <v>226.84371899999999</v>
      </c>
      <c r="BP26" s="3">
        <v>189.44700599999999</v>
      </c>
      <c r="BQ26" s="3">
        <v>182.442398</v>
      </c>
      <c r="BR26" s="3">
        <v>248.75096099999999</v>
      </c>
      <c r="BS26" s="3">
        <v>178.634872</v>
      </c>
      <c r="BT26" s="3">
        <v>132.85607899999999</v>
      </c>
      <c r="BU26" s="3">
        <v>213.08427399999999</v>
      </c>
      <c r="BV26" s="3">
        <v>258.398956</v>
      </c>
      <c r="BW26" s="3">
        <v>260.62228399999998</v>
      </c>
      <c r="BX26" s="3">
        <v>211.678696</v>
      </c>
      <c r="BY26" s="3">
        <v>195.737549</v>
      </c>
      <c r="BZ26" s="3">
        <v>139.50874300000001</v>
      </c>
      <c r="CA26" s="3">
        <v>257.00238000000002</v>
      </c>
      <c r="CB26" s="3">
        <v>261.36318999999997</v>
      </c>
      <c r="CC26" s="3">
        <v>210.91990699999999</v>
      </c>
      <c r="CD26" s="3">
        <v>151.118607</v>
      </c>
      <c r="CE26" s="3">
        <v>207.119247</v>
      </c>
      <c r="CF26" s="3">
        <v>174.99792500000001</v>
      </c>
      <c r="CG26" s="3">
        <v>222.04042100000001</v>
      </c>
      <c r="CH26" s="3">
        <v>185.29943800000001</v>
      </c>
      <c r="CI26" s="3">
        <v>220.64656099999999</v>
      </c>
      <c r="CJ26" s="3">
        <v>199.99200400000001</v>
      </c>
      <c r="CK26" s="3">
        <v>198.93446399999999</v>
      </c>
      <c r="CL26" s="3">
        <v>236.39430200000001</v>
      </c>
      <c r="CM26" s="3">
        <v>214.65933200000001</v>
      </c>
      <c r="CN26" s="3">
        <v>256.71386699999999</v>
      </c>
      <c r="CO26" s="3">
        <v>200.30659499999999</v>
      </c>
      <c r="CP26" s="3">
        <v>162.583618</v>
      </c>
      <c r="CQ26" s="3">
        <v>207.14527899999999</v>
      </c>
      <c r="CR26" s="3">
        <v>220.16902200000001</v>
      </c>
      <c r="CS26" s="3">
        <v>234.68956</v>
      </c>
      <c r="CT26" s="3">
        <v>200.94593800000001</v>
      </c>
      <c r="CU26" s="3">
        <v>249.63432299999999</v>
      </c>
      <c r="CV26" s="3">
        <v>155.73709099999999</v>
      </c>
      <c r="CW26" s="3">
        <v>221.092636</v>
      </c>
      <c r="CX26" s="3">
        <v>238.88696300000001</v>
      </c>
      <c r="CY26" s="3">
        <v>223.714066</v>
      </c>
      <c r="CZ26" s="3">
        <v>210.58637999999999</v>
      </c>
      <c r="DA26" s="3">
        <v>233.331299</v>
      </c>
      <c r="DB26" s="3">
        <v>171.943771</v>
      </c>
      <c r="DC26" s="3">
        <v>223.89212000000001</v>
      </c>
      <c r="DD26" s="3">
        <v>165.579849</v>
      </c>
      <c r="DE26" s="3">
        <v>174.891006</v>
      </c>
      <c r="DF26" s="3">
        <v>192.683167</v>
      </c>
      <c r="DG26" s="3">
        <v>213.86436499999999</v>
      </c>
      <c r="DH26" s="3">
        <v>184.19667100000001</v>
      </c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</row>
    <row r="27" spans="2:207" x14ac:dyDescent="0.2">
      <c r="B27" s="2" t="s">
        <v>26</v>
      </c>
      <c r="G27" s="3"/>
      <c r="H27" s="3"/>
      <c r="I27" s="3"/>
      <c r="J27" s="3"/>
      <c r="K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 spans="2:207" x14ac:dyDescent="0.2">
      <c r="B28" s="2" t="s">
        <v>27</v>
      </c>
      <c r="D28" t="s">
        <v>4</v>
      </c>
      <c r="E28" t="s">
        <v>1</v>
      </c>
      <c r="F28">
        <f>COUNT(M28:GJ28)</f>
        <v>100</v>
      </c>
      <c r="G28" s="3">
        <f>AVERAGE(M28:GJ28)</f>
        <v>55.171517970000011</v>
      </c>
      <c r="H28" s="3">
        <f>MAX(M28:GJ28)</f>
        <v>78.168471999999994</v>
      </c>
      <c r="I28" s="3">
        <f>MIN(M28:GJ28)</f>
        <v>32.690162999999998</v>
      </c>
      <c r="J28" s="3">
        <f>_xlfn.STDEV.P(M28:GJ28)</f>
        <v>8.0692540551119052</v>
      </c>
      <c r="K28" s="3">
        <f>_xlfn.VAR.S(M28:GJ28)</f>
        <v>65.770566672666448</v>
      </c>
      <c r="M28" s="3">
        <v>61.182006999999999</v>
      </c>
      <c r="N28" s="3">
        <v>51.653388999999997</v>
      </c>
      <c r="O28" s="3">
        <v>57.349113000000003</v>
      </c>
      <c r="P28" s="3">
        <v>59.252609</v>
      </c>
      <c r="Q28" s="3">
        <v>56.175716000000001</v>
      </c>
      <c r="R28" s="3">
        <v>62.889721000000002</v>
      </c>
      <c r="S28" s="3">
        <v>72.597115000000002</v>
      </c>
      <c r="T28" s="3">
        <v>48.300274000000002</v>
      </c>
      <c r="U28" s="3">
        <v>66.118369999999999</v>
      </c>
      <c r="V28" s="3">
        <v>46.774028999999999</v>
      </c>
      <c r="W28" s="3">
        <v>52.726505000000003</v>
      </c>
      <c r="X28" s="3">
        <v>55.253197</v>
      </c>
      <c r="Y28" s="3">
        <v>56.340739999999997</v>
      </c>
      <c r="Z28" s="3">
        <v>47.904732000000003</v>
      </c>
      <c r="AA28" s="3">
        <v>50.550159000000001</v>
      </c>
      <c r="AB28" s="3">
        <v>56.575057999999999</v>
      </c>
      <c r="AC28" s="3">
        <v>46.947535999999999</v>
      </c>
      <c r="AD28" s="3">
        <v>44.238007000000003</v>
      </c>
      <c r="AE28" s="3">
        <v>51.243309000000004</v>
      </c>
      <c r="AF28" s="3">
        <v>59.658256999999999</v>
      </c>
      <c r="AG28" s="3">
        <v>57.027031000000001</v>
      </c>
      <c r="AH28" s="3">
        <v>65.040756000000002</v>
      </c>
      <c r="AI28" s="3">
        <v>51.048931000000003</v>
      </c>
      <c r="AJ28" s="3">
        <v>48.207431999999997</v>
      </c>
      <c r="AK28" s="3">
        <v>58.297550000000001</v>
      </c>
      <c r="AL28" s="3">
        <v>58.113098000000001</v>
      </c>
      <c r="AM28" s="3">
        <v>39.405537000000002</v>
      </c>
      <c r="AN28" s="3">
        <v>69.450530999999998</v>
      </c>
      <c r="AO28" s="3">
        <v>40.585330999999996</v>
      </c>
      <c r="AP28" s="3">
        <v>57.227428000000003</v>
      </c>
      <c r="AQ28" s="3">
        <v>61.687556999999998</v>
      </c>
      <c r="AR28" s="3">
        <v>63.909827999999997</v>
      </c>
      <c r="AS28" s="3">
        <v>63.904105999999999</v>
      </c>
      <c r="AT28" s="3">
        <v>56.311534999999999</v>
      </c>
      <c r="AU28" s="3">
        <v>47.554977000000001</v>
      </c>
      <c r="AV28" s="3">
        <v>39.815403000000003</v>
      </c>
      <c r="AW28" s="3">
        <v>54.576790000000003</v>
      </c>
      <c r="AX28" s="3">
        <v>53.422665000000002</v>
      </c>
      <c r="AY28" s="3">
        <v>56.023636000000003</v>
      </c>
      <c r="AZ28" s="3">
        <v>43.774048000000001</v>
      </c>
      <c r="BA28" s="3">
        <v>54.423878000000002</v>
      </c>
      <c r="BB28" s="3">
        <v>32.690162999999998</v>
      </c>
      <c r="BC28" s="3">
        <v>56.197628000000002</v>
      </c>
      <c r="BD28" s="3">
        <v>63.010590000000001</v>
      </c>
      <c r="BE28" s="3">
        <v>56.677948000000001</v>
      </c>
      <c r="BF28" s="3">
        <v>60.043629000000003</v>
      </c>
      <c r="BG28" s="3">
        <v>50.247005000000001</v>
      </c>
      <c r="BH28" s="3">
        <v>40.559299000000003</v>
      </c>
      <c r="BI28" s="3">
        <v>45.824696000000003</v>
      </c>
      <c r="BJ28" s="3">
        <v>59.647221000000002</v>
      </c>
      <c r="BK28" s="3">
        <v>58.990181</v>
      </c>
      <c r="BL28" s="3">
        <v>61.421439999999997</v>
      </c>
      <c r="BM28" s="3">
        <v>61.693069000000001</v>
      </c>
      <c r="BN28" s="3">
        <v>66.521736000000004</v>
      </c>
      <c r="BO28" s="3">
        <v>60.263339999999999</v>
      </c>
      <c r="BP28" s="3">
        <v>64.383232000000007</v>
      </c>
      <c r="BQ28" s="3">
        <v>68.505722000000006</v>
      </c>
      <c r="BR28" s="3">
        <v>57.381568999999999</v>
      </c>
      <c r="BS28" s="3">
        <v>53.051063999999997</v>
      </c>
      <c r="BT28" s="3">
        <v>42.005549999999999</v>
      </c>
      <c r="BU28" s="3">
        <v>53.558636</v>
      </c>
      <c r="BV28" s="3">
        <v>46.322884000000002</v>
      </c>
      <c r="BW28" s="3">
        <v>58.199050999999997</v>
      </c>
      <c r="BX28" s="3">
        <v>56.146979999999999</v>
      </c>
      <c r="BY28" s="3">
        <v>66.340569000000002</v>
      </c>
      <c r="BZ28" s="3">
        <v>66.017899</v>
      </c>
      <c r="CA28" s="3">
        <v>59.569144999999999</v>
      </c>
      <c r="CB28" s="3">
        <v>60.716121999999999</v>
      </c>
      <c r="CC28" s="3">
        <v>48.427985999999997</v>
      </c>
      <c r="CD28" s="3">
        <v>42.259621000000003</v>
      </c>
      <c r="CE28" s="3">
        <v>56.844619999999999</v>
      </c>
      <c r="CF28" s="3">
        <v>54.111393</v>
      </c>
      <c r="CG28" s="3">
        <v>62.708106999999998</v>
      </c>
      <c r="CH28" s="3">
        <v>60.682414999999999</v>
      </c>
      <c r="CI28" s="3">
        <v>51.326461999999999</v>
      </c>
      <c r="CJ28" s="3">
        <v>51.144900999999997</v>
      </c>
      <c r="CK28" s="3">
        <v>65.518226999999996</v>
      </c>
      <c r="CL28" s="3">
        <v>52.561661000000001</v>
      </c>
      <c r="CM28" s="3">
        <v>54.131554000000001</v>
      </c>
      <c r="CN28" s="3">
        <v>56.812683</v>
      </c>
      <c r="CO28" s="3">
        <v>55.880870999999999</v>
      </c>
      <c r="CP28" s="3">
        <v>58.390281999999999</v>
      </c>
      <c r="CQ28" s="3">
        <v>59.370429999999999</v>
      </c>
      <c r="CR28" s="3">
        <v>47.742153000000002</v>
      </c>
      <c r="CS28" s="3">
        <v>39.225448999999998</v>
      </c>
      <c r="CT28" s="3">
        <v>58.171982</v>
      </c>
      <c r="CU28" s="3">
        <v>46.513427999999998</v>
      </c>
      <c r="CV28" s="3">
        <v>53.543598000000003</v>
      </c>
      <c r="CW28" s="3">
        <v>78.168471999999994</v>
      </c>
      <c r="CX28" s="3">
        <v>67.794167000000002</v>
      </c>
      <c r="CY28" s="3">
        <v>52.816764999999997</v>
      </c>
      <c r="CZ28" s="3">
        <v>53.269095999999998</v>
      </c>
      <c r="DA28" s="3">
        <v>43.913775999999999</v>
      </c>
      <c r="DB28" s="3">
        <v>56.938248000000002</v>
      </c>
      <c r="DC28" s="3">
        <v>49.203704999999999</v>
      </c>
      <c r="DD28" s="3">
        <v>65.363570999999993</v>
      </c>
      <c r="DE28" s="3">
        <v>57.189571000000001</v>
      </c>
      <c r="DF28" s="3">
        <v>43.274737999999999</v>
      </c>
      <c r="DG28" s="3">
        <v>48.384112999999999</v>
      </c>
      <c r="DH28" s="3">
        <v>55.943492999999997</v>
      </c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</row>
    <row r="29" spans="2:207" x14ac:dyDescent="0.2">
      <c r="G29" s="3"/>
      <c r="H29" s="3"/>
      <c r="I29" s="3"/>
      <c r="J29" s="3"/>
      <c r="K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 spans="2:207" x14ac:dyDescent="0.2">
      <c r="D30" t="s">
        <v>2</v>
      </c>
      <c r="E30" t="s">
        <v>1</v>
      </c>
      <c r="F30">
        <f>COUNT(M30:GJ30)</f>
        <v>100</v>
      </c>
      <c r="G30" s="3">
        <f>AVERAGE(M30:GJ30)</f>
        <v>91.184556200000031</v>
      </c>
      <c r="H30" s="3">
        <f>MAX(M30:GJ30)</f>
        <v>182.413498</v>
      </c>
      <c r="I30" s="3">
        <f>MIN(M30:GJ30)</f>
        <v>59.787663000000002</v>
      </c>
      <c r="J30" s="3">
        <f>_xlfn.STDEV.P(M30:GJ30)</f>
        <v>29.825264997124744</v>
      </c>
      <c r="K30" s="3">
        <f>_xlfn.VAR.S(M30:GJ30)</f>
        <v>898.53174964516688</v>
      </c>
      <c r="M30" s="3">
        <v>70.649765000000002</v>
      </c>
      <c r="N30" s="3">
        <v>93.287200999999996</v>
      </c>
      <c r="O30" s="3">
        <v>76.240043999999997</v>
      </c>
      <c r="P30" s="3">
        <v>81.766379999999998</v>
      </c>
      <c r="Q30" s="3">
        <v>77.328093999999993</v>
      </c>
      <c r="R30" s="3">
        <v>76.717856999999995</v>
      </c>
      <c r="S30" s="3">
        <v>76.38382</v>
      </c>
      <c r="T30" s="3">
        <v>64.128342000000004</v>
      </c>
      <c r="U30" s="3">
        <v>82.943375000000003</v>
      </c>
      <c r="V30" s="3">
        <v>83.650490000000005</v>
      </c>
      <c r="W30" s="3">
        <v>84.108147000000002</v>
      </c>
      <c r="X30" s="3">
        <v>85.699286999999998</v>
      </c>
      <c r="Y30" s="3">
        <v>78.982498000000007</v>
      </c>
      <c r="Z30" s="3">
        <v>101.90004</v>
      </c>
      <c r="AA30" s="3">
        <v>75.975371999999993</v>
      </c>
      <c r="AB30" s="3">
        <v>82.069359000000006</v>
      </c>
      <c r="AC30" s="3">
        <v>70.458884999999995</v>
      </c>
      <c r="AD30" s="3">
        <v>80.610031000000006</v>
      </c>
      <c r="AE30" s="3">
        <v>69.886955</v>
      </c>
      <c r="AF30" s="3">
        <v>83.553459000000004</v>
      </c>
      <c r="AG30" s="3">
        <v>83.113274000000004</v>
      </c>
      <c r="AH30" s="3">
        <v>73.713226000000006</v>
      </c>
      <c r="AI30" s="3">
        <v>68.610923999999997</v>
      </c>
      <c r="AJ30" s="3">
        <v>86.621834000000007</v>
      </c>
      <c r="AK30" s="3">
        <v>66.165306000000001</v>
      </c>
      <c r="AL30" s="3">
        <v>66.136436000000003</v>
      </c>
      <c r="AM30" s="3">
        <v>142.01203899999999</v>
      </c>
      <c r="AN30" s="3">
        <v>80.113326999999998</v>
      </c>
      <c r="AO30" s="3">
        <v>72.788337999999996</v>
      </c>
      <c r="AP30" s="3">
        <v>85.636841000000004</v>
      </c>
      <c r="AQ30" s="3">
        <v>82.545035999999996</v>
      </c>
      <c r="AR30" s="3">
        <v>78.355354000000005</v>
      </c>
      <c r="AS30" s="3">
        <v>63.995327000000003</v>
      </c>
      <c r="AT30" s="3">
        <v>110.30156700000001</v>
      </c>
      <c r="AU30" s="3">
        <v>94.859702999999996</v>
      </c>
      <c r="AV30" s="3">
        <v>120.318169</v>
      </c>
      <c r="AW30" s="3">
        <v>83.160065000000003</v>
      </c>
      <c r="AX30" s="3">
        <v>85.708374000000006</v>
      </c>
      <c r="AY30" s="3">
        <v>118.46127300000001</v>
      </c>
      <c r="AZ30" s="3">
        <v>79.275085000000004</v>
      </c>
      <c r="BA30" s="3">
        <v>81.564933999999994</v>
      </c>
      <c r="BB30" s="3">
        <v>69.243752000000001</v>
      </c>
      <c r="BC30" s="3">
        <v>85.374420000000001</v>
      </c>
      <c r="BD30" s="3">
        <v>61.764465000000001</v>
      </c>
      <c r="BE30" s="3">
        <v>91.238669999999999</v>
      </c>
      <c r="BF30" s="3">
        <v>85.854881000000006</v>
      </c>
      <c r="BG30" s="3">
        <v>88.400711000000001</v>
      </c>
      <c r="BH30" s="3">
        <v>64.217506</v>
      </c>
      <c r="BI30" s="3">
        <v>118.96453099999999</v>
      </c>
      <c r="BJ30" s="3">
        <v>61.923378</v>
      </c>
      <c r="BK30" s="3">
        <v>62.565956</v>
      </c>
      <c r="BL30" s="3">
        <v>126.35047900000001</v>
      </c>
      <c r="BM30" s="3">
        <v>79.689774</v>
      </c>
      <c r="BN30" s="3">
        <v>82.674415999999994</v>
      </c>
      <c r="BO30" s="3">
        <v>76.864540000000005</v>
      </c>
      <c r="BP30" s="3">
        <v>83.878555000000006</v>
      </c>
      <c r="BQ30" s="3">
        <v>83.733329999999995</v>
      </c>
      <c r="BR30" s="3">
        <v>60.026015999999998</v>
      </c>
      <c r="BS30" s="3">
        <v>169.89828499999999</v>
      </c>
      <c r="BT30" s="3">
        <v>150.735748</v>
      </c>
      <c r="BU30" s="3">
        <v>126.476944</v>
      </c>
      <c r="BV30" s="3">
        <v>92.424469000000002</v>
      </c>
      <c r="BW30" s="3">
        <v>118.70425400000001</v>
      </c>
      <c r="BX30" s="3">
        <v>167.61120600000001</v>
      </c>
      <c r="BY30" s="3">
        <v>68.215537999999995</v>
      </c>
      <c r="BZ30" s="3">
        <v>60.988208999999998</v>
      </c>
      <c r="CA30" s="3">
        <v>65.574332999999996</v>
      </c>
      <c r="CB30" s="3">
        <v>75.456123000000005</v>
      </c>
      <c r="CC30" s="3">
        <v>59.787663000000002</v>
      </c>
      <c r="CD30" s="3">
        <v>97.634688999999995</v>
      </c>
      <c r="CE30" s="3">
        <v>89.997009000000006</v>
      </c>
      <c r="CF30" s="3">
        <v>108.685287</v>
      </c>
      <c r="CG30" s="3">
        <v>60.862983999999997</v>
      </c>
      <c r="CH30" s="3">
        <v>158.35346999999999</v>
      </c>
      <c r="CI30" s="3">
        <v>68.078659000000002</v>
      </c>
      <c r="CJ30" s="3">
        <v>62.921878999999997</v>
      </c>
      <c r="CK30" s="3">
        <v>182.413498</v>
      </c>
      <c r="CL30" s="3">
        <v>100.33669999999999</v>
      </c>
      <c r="CM30" s="3">
        <v>114.058395</v>
      </c>
      <c r="CN30" s="3">
        <v>63.803139000000002</v>
      </c>
      <c r="CO30" s="3">
        <v>85.156531999999999</v>
      </c>
      <c r="CP30" s="3">
        <v>84.330344999999994</v>
      </c>
      <c r="CQ30" s="3">
        <v>60.662982999999997</v>
      </c>
      <c r="CR30" s="3">
        <v>163.050003</v>
      </c>
      <c r="CS30" s="3">
        <v>144.12690699999999</v>
      </c>
      <c r="CT30" s="3">
        <v>135.89132699999999</v>
      </c>
      <c r="CU30" s="3">
        <v>90.351471000000004</v>
      </c>
      <c r="CV30" s="3">
        <v>134.71965</v>
      </c>
      <c r="CW30" s="3">
        <v>172.42160000000001</v>
      </c>
      <c r="CX30" s="3">
        <v>73.355652000000006</v>
      </c>
      <c r="CY30" s="3">
        <v>64.112037999999998</v>
      </c>
      <c r="CZ30" s="3">
        <v>63.030537000000002</v>
      </c>
      <c r="DA30" s="3">
        <v>79.445389000000006</v>
      </c>
      <c r="DB30" s="3">
        <v>64.450622999999993</v>
      </c>
      <c r="DC30" s="3">
        <v>167.06622300000001</v>
      </c>
      <c r="DD30" s="3">
        <v>96.271133000000006</v>
      </c>
      <c r="DE30" s="3">
        <v>121.226738</v>
      </c>
      <c r="DF30" s="3">
        <v>63.446635999999998</v>
      </c>
      <c r="DG30" s="3">
        <v>125.19813499999999</v>
      </c>
      <c r="DH30" s="3">
        <v>64.562004000000002</v>
      </c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</row>
    <row r="31" spans="2:207" x14ac:dyDescent="0.2">
      <c r="G31" s="3"/>
      <c r="H31" s="3"/>
      <c r="I31" s="3"/>
      <c r="J31" s="3"/>
      <c r="K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 spans="2:207" x14ac:dyDescent="0.2">
      <c r="D32" t="s">
        <v>5</v>
      </c>
      <c r="E32" t="s">
        <v>1</v>
      </c>
      <c r="F32">
        <f>COUNT(M32:GJ32)</f>
        <v>100</v>
      </c>
      <c r="G32" s="3">
        <f>AVERAGE(M32:GJ32)</f>
        <v>50.301415459999987</v>
      </c>
      <c r="H32" s="3">
        <f>MAX(M32:GJ32)</f>
        <v>153.28125</v>
      </c>
      <c r="I32" s="3">
        <f>MIN(M32:GJ32)</f>
        <v>22.896099</v>
      </c>
      <c r="J32" s="3">
        <f>_xlfn.STDEV.P(M32:GJ32)</f>
        <v>35.257079945841852</v>
      </c>
      <c r="K32" s="3">
        <f>_xlfn.VAR.S(M32:GJ32)</f>
        <v>1255.6178649570543</v>
      </c>
      <c r="M32" s="3">
        <v>44.455337999999998</v>
      </c>
      <c r="N32" s="3">
        <v>27.683793999999999</v>
      </c>
      <c r="O32" s="3">
        <v>30.924040000000002</v>
      </c>
      <c r="P32" s="3">
        <v>37.062289999999997</v>
      </c>
      <c r="Q32" s="3">
        <v>39.292155999999999</v>
      </c>
      <c r="R32" s="3">
        <v>129.99014299999999</v>
      </c>
      <c r="S32" s="3">
        <v>32.306038000000001</v>
      </c>
      <c r="T32" s="3">
        <v>26.91489</v>
      </c>
      <c r="U32" s="3">
        <v>42.708984000000001</v>
      </c>
      <c r="V32" s="3">
        <v>31.818953</v>
      </c>
      <c r="W32" s="3">
        <v>28.715149</v>
      </c>
      <c r="X32" s="3">
        <v>28.434771000000001</v>
      </c>
      <c r="Y32" s="3">
        <v>44.654583000000002</v>
      </c>
      <c r="Z32" s="3">
        <v>31.434049999999999</v>
      </c>
      <c r="AA32" s="3">
        <v>43.358902</v>
      </c>
      <c r="AB32" s="3">
        <v>40.01614</v>
      </c>
      <c r="AC32" s="3">
        <v>33.106583000000001</v>
      </c>
      <c r="AD32" s="3">
        <v>82.514945999999995</v>
      </c>
      <c r="AE32" s="3">
        <v>39.106440999999997</v>
      </c>
      <c r="AF32" s="3">
        <v>35.122630999999998</v>
      </c>
      <c r="AG32" s="3">
        <v>32.844261000000003</v>
      </c>
      <c r="AH32" s="3">
        <v>35.763874000000001</v>
      </c>
      <c r="AI32" s="3">
        <v>39.255608000000002</v>
      </c>
      <c r="AJ32" s="3">
        <v>34.297896999999999</v>
      </c>
      <c r="AK32" s="3">
        <v>29.107272999999999</v>
      </c>
      <c r="AL32" s="3">
        <v>38.988723999999998</v>
      </c>
      <c r="AM32" s="3">
        <v>25.438863999999999</v>
      </c>
      <c r="AN32" s="3">
        <v>28.870663</v>
      </c>
      <c r="AO32" s="3">
        <v>137.518021</v>
      </c>
      <c r="AP32" s="3">
        <v>27.919623999999999</v>
      </c>
      <c r="AQ32" s="3">
        <v>118.300926</v>
      </c>
      <c r="AR32" s="3">
        <v>26.544284999999999</v>
      </c>
      <c r="AS32" s="3">
        <v>29.253328</v>
      </c>
      <c r="AT32" s="3">
        <v>37.348267</v>
      </c>
      <c r="AU32" s="3">
        <v>29.925827000000002</v>
      </c>
      <c r="AV32" s="3">
        <v>29.941414000000002</v>
      </c>
      <c r="AW32" s="3">
        <v>28.161028000000002</v>
      </c>
      <c r="AX32" s="3">
        <v>32.000965000000001</v>
      </c>
      <c r="AY32" s="3">
        <v>27.142527000000001</v>
      </c>
      <c r="AZ32" s="3">
        <v>34.391452999999998</v>
      </c>
      <c r="BA32" s="3">
        <v>47.409573000000002</v>
      </c>
      <c r="BB32" s="3">
        <v>27.93712</v>
      </c>
      <c r="BC32" s="3">
        <v>122.68742399999999</v>
      </c>
      <c r="BD32" s="3">
        <v>30.135518999999999</v>
      </c>
      <c r="BE32" s="3">
        <v>40.849666999999997</v>
      </c>
      <c r="BF32" s="3">
        <v>41.134689000000002</v>
      </c>
      <c r="BG32" s="3">
        <v>36.124229</v>
      </c>
      <c r="BH32" s="3">
        <v>35.768394000000001</v>
      </c>
      <c r="BI32" s="3">
        <v>37.814101999999998</v>
      </c>
      <c r="BJ32" s="3">
        <v>26.439117</v>
      </c>
      <c r="BK32" s="3">
        <v>42.429104000000002</v>
      </c>
      <c r="BL32" s="3">
        <v>22.896099</v>
      </c>
      <c r="BM32" s="3">
        <v>26.713072</v>
      </c>
      <c r="BN32" s="3">
        <v>148.55200199999999</v>
      </c>
      <c r="BO32" s="3">
        <v>27.657349</v>
      </c>
      <c r="BP32" s="3">
        <v>116.394699</v>
      </c>
      <c r="BQ32" s="3">
        <v>28.071953000000001</v>
      </c>
      <c r="BR32" s="3">
        <v>100.65121499999999</v>
      </c>
      <c r="BS32" s="3">
        <v>48.132899999999999</v>
      </c>
      <c r="BT32" s="3">
        <v>65.073066999999995</v>
      </c>
      <c r="BU32" s="3">
        <v>30.130548000000001</v>
      </c>
      <c r="BV32" s="3">
        <v>146.73556500000001</v>
      </c>
      <c r="BW32" s="3">
        <v>31.37537</v>
      </c>
      <c r="BX32" s="3">
        <v>27.529947</v>
      </c>
      <c r="BY32" s="3">
        <v>45.908386</v>
      </c>
      <c r="BZ32" s="3">
        <v>33.693134000000001</v>
      </c>
      <c r="CA32" s="3">
        <v>98.845923999999997</v>
      </c>
      <c r="CB32" s="3">
        <v>96.632255999999998</v>
      </c>
      <c r="CC32" s="3">
        <v>30.438317999999999</v>
      </c>
      <c r="CD32" s="3">
        <v>36.925593999999997</v>
      </c>
      <c r="CE32" s="3">
        <v>35.125385000000001</v>
      </c>
      <c r="CF32" s="3">
        <v>40.885165999999998</v>
      </c>
      <c r="CG32" s="3">
        <v>27.885614</v>
      </c>
      <c r="CH32" s="3">
        <v>39.077278</v>
      </c>
      <c r="CI32" s="3">
        <v>29.254248</v>
      </c>
      <c r="CJ32" s="3">
        <v>43.693905000000001</v>
      </c>
      <c r="CK32" s="3">
        <v>25.110866999999999</v>
      </c>
      <c r="CL32" s="3">
        <v>23.702252999999999</v>
      </c>
      <c r="CM32" s="3">
        <v>153.28125</v>
      </c>
      <c r="CN32" s="3">
        <v>27.332262</v>
      </c>
      <c r="CO32" s="3">
        <v>112.738632</v>
      </c>
      <c r="CP32" s="3">
        <v>26.333718999999999</v>
      </c>
      <c r="CQ32" s="3">
        <v>98.866776000000002</v>
      </c>
      <c r="CR32" s="3">
        <v>37.189590000000003</v>
      </c>
      <c r="CS32" s="3">
        <v>114.189438</v>
      </c>
      <c r="CT32" s="3">
        <v>26.685638000000001</v>
      </c>
      <c r="CU32" s="3">
        <v>138.33315999999999</v>
      </c>
      <c r="CV32" s="3">
        <v>29.677872000000001</v>
      </c>
      <c r="CW32" s="3">
        <v>27.012436000000001</v>
      </c>
      <c r="CX32" s="3">
        <v>39.048313</v>
      </c>
      <c r="CY32" s="3">
        <v>128.38531499999999</v>
      </c>
      <c r="CZ32" s="3">
        <v>97.972472999999994</v>
      </c>
      <c r="DA32" s="3">
        <v>130.98919699999999</v>
      </c>
      <c r="DB32" s="3">
        <v>28.636230000000001</v>
      </c>
      <c r="DC32" s="3">
        <v>39.870421999999998</v>
      </c>
      <c r="DD32" s="3">
        <v>40.085425999999998</v>
      </c>
      <c r="DE32" s="3">
        <v>41.197558999999998</v>
      </c>
      <c r="DF32" s="3">
        <v>39.577351</v>
      </c>
      <c r="DG32" s="3">
        <v>32.930759000000002</v>
      </c>
      <c r="DH32" s="3">
        <v>31.351025</v>
      </c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</row>
    <row r="33" spans="2:207" x14ac:dyDescent="0.2">
      <c r="G33" s="3"/>
      <c r="H33" s="3"/>
      <c r="I33" s="3"/>
      <c r="J33" s="3"/>
      <c r="K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 spans="2:207" x14ac:dyDescent="0.2">
      <c r="D34" t="s">
        <v>6</v>
      </c>
      <c r="E34" t="s">
        <v>1</v>
      </c>
      <c r="F34">
        <f>COUNT(M34:GJ34)</f>
        <v>100</v>
      </c>
      <c r="G34" s="3">
        <f>AVERAGE(M34:GJ34)</f>
        <v>62.967579839999978</v>
      </c>
      <c r="H34" s="3">
        <f>MAX(M34:GJ34)</f>
        <v>214.669983</v>
      </c>
      <c r="I34" s="3">
        <f>MIN(M34:GJ34)</f>
        <v>22.403887000000001</v>
      </c>
      <c r="J34" s="3">
        <f>_xlfn.STDEV.P(M34:GJ34)</f>
        <v>62.005511161277781</v>
      </c>
      <c r="K34" s="3">
        <f>_xlfn.VAR.S(M34:GJ34)</f>
        <v>3883.5186003750941</v>
      </c>
      <c r="M34" s="3">
        <v>25.429192</v>
      </c>
      <c r="N34" s="3">
        <v>41.709651999999998</v>
      </c>
      <c r="O34" s="3">
        <v>28.46979</v>
      </c>
      <c r="P34" s="3">
        <v>28.363409000000001</v>
      </c>
      <c r="Q34" s="3">
        <v>26.209871</v>
      </c>
      <c r="R34" s="3">
        <v>26.920121999999999</v>
      </c>
      <c r="S34" s="3">
        <v>45.055584000000003</v>
      </c>
      <c r="T34" s="3">
        <v>25.300757999999998</v>
      </c>
      <c r="U34" s="3">
        <v>22.403887000000001</v>
      </c>
      <c r="V34" s="3">
        <v>26.900798999999999</v>
      </c>
      <c r="W34" s="3">
        <v>30.530764000000001</v>
      </c>
      <c r="X34" s="3">
        <v>28.516687000000001</v>
      </c>
      <c r="Y34" s="3">
        <v>32.392017000000003</v>
      </c>
      <c r="Z34" s="3">
        <v>45.201400999999997</v>
      </c>
      <c r="AA34" s="3">
        <v>27.427748000000001</v>
      </c>
      <c r="AB34" s="3">
        <v>26.804120999999999</v>
      </c>
      <c r="AC34" s="3">
        <v>24.072168000000001</v>
      </c>
      <c r="AD34" s="3">
        <v>25.697987000000001</v>
      </c>
      <c r="AE34" s="3">
        <v>25.630192000000001</v>
      </c>
      <c r="AF34" s="3">
        <v>24.413328</v>
      </c>
      <c r="AG34" s="3">
        <v>32.905819000000001</v>
      </c>
      <c r="AH34" s="3">
        <v>138.14338699999999</v>
      </c>
      <c r="AI34" s="3">
        <v>26.255790999999999</v>
      </c>
      <c r="AJ34" s="3">
        <v>28.015604</v>
      </c>
      <c r="AK34" s="3">
        <v>153.60467499999999</v>
      </c>
      <c r="AL34" s="3">
        <v>31.369382999999999</v>
      </c>
      <c r="AM34" s="3">
        <v>214.669983</v>
      </c>
      <c r="AN34" s="3">
        <v>26.049029999999998</v>
      </c>
      <c r="AO34" s="3">
        <v>129.87548799999999</v>
      </c>
      <c r="AP34" s="3">
        <v>35.965145</v>
      </c>
      <c r="AQ34" s="3">
        <v>27.900385</v>
      </c>
      <c r="AR34" s="3">
        <v>25.127893</v>
      </c>
      <c r="AS34" s="3">
        <v>26.219453999999999</v>
      </c>
      <c r="AT34" s="3">
        <v>23.491205000000001</v>
      </c>
      <c r="AU34" s="3">
        <v>25.16601</v>
      </c>
      <c r="AV34" s="3">
        <v>26.350021000000002</v>
      </c>
      <c r="AW34" s="3">
        <v>23.728279000000001</v>
      </c>
      <c r="AX34" s="3">
        <v>35.658844000000002</v>
      </c>
      <c r="AY34" s="3">
        <v>178.76760899999999</v>
      </c>
      <c r="AZ34" s="3">
        <v>23.781783999999998</v>
      </c>
      <c r="BA34" s="3">
        <v>28.371634</v>
      </c>
      <c r="BB34" s="3">
        <v>28.656734</v>
      </c>
      <c r="BC34" s="3">
        <v>28.657851999999998</v>
      </c>
      <c r="BD34" s="3">
        <v>27.331928000000001</v>
      </c>
      <c r="BE34" s="3">
        <v>178.30329900000001</v>
      </c>
      <c r="BF34" s="3">
        <v>28.200089999999999</v>
      </c>
      <c r="BG34" s="3">
        <v>79.458870000000005</v>
      </c>
      <c r="BH34" s="3">
        <v>114.31613900000001</v>
      </c>
      <c r="BI34" s="3">
        <v>28.346074999999999</v>
      </c>
      <c r="BJ34" s="3">
        <v>210.62290999999999</v>
      </c>
      <c r="BK34" s="3">
        <v>37.955863999999998</v>
      </c>
      <c r="BL34" s="3">
        <v>28.705023000000001</v>
      </c>
      <c r="BM34" s="3">
        <v>26.791499999999999</v>
      </c>
      <c r="BN34" s="3">
        <v>64.308234999999996</v>
      </c>
      <c r="BO34" s="3">
        <v>115.637512</v>
      </c>
      <c r="BP34" s="3">
        <v>25.274930999999999</v>
      </c>
      <c r="BQ34" s="3">
        <v>23.45458</v>
      </c>
      <c r="BR34" s="3">
        <v>26.327835</v>
      </c>
      <c r="BS34" s="3">
        <v>22.742754000000001</v>
      </c>
      <c r="BT34" s="3">
        <v>25.970140000000001</v>
      </c>
      <c r="BU34" s="3">
        <v>28.658504000000001</v>
      </c>
      <c r="BV34" s="3">
        <v>24.214144000000001</v>
      </c>
      <c r="BW34" s="3">
        <v>176.893021</v>
      </c>
      <c r="BX34" s="3">
        <v>199.394836</v>
      </c>
      <c r="BY34" s="3">
        <v>24.560541000000001</v>
      </c>
      <c r="BZ34" s="3">
        <v>29.367027</v>
      </c>
      <c r="CA34" s="3">
        <v>28.178961000000001</v>
      </c>
      <c r="CB34" s="3">
        <v>27.847166000000001</v>
      </c>
      <c r="CC34" s="3">
        <v>24.263680999999998</v>
      </c>
      <c r="CD34" s="3">
        <v>188.72628800000001</v>
      </c>
      <c r="CE34" s="3">
        <v>25.280616999999999</v>
      </c>
      <c r="CF34" s="3">
        <v>147.71661399999999</v>
      </c>
      <c r="CG34" s="3">
        <v>184.741455</v>
      </c>
      <c r="CH34" s="3">
        <v>25.595645999999999</v>
      </c>
      <c r="CI34" s="3">
        <v>201.65370200000001</v>
      </c>
      <c r="CJ34" s="3">
        <v>27.619842999999999</v>
      </c>
      <c r="CK34" s="3">
        <v>163.41064499999999</v>
      </c>
      <c r="CL34" s="3">
        <v>26.414455</v>
      </c>
      <c r="CM34" s="3">
        <v>185.960373</v>
      </c>
      <c r="CN34" s="3">
        <v>151.23732000000001</v>
      </c>
      <c r="CO34" s="3">
        <v>26.427085999999999</v>
      </c>
      <c r="CP34" s="3">
        <v>26.638511999999999</v>
      </c>
      <c r="CQ34" s="3">
        <v>25.389599</v>
      </c>
      <c r="CR34" s="3">
        <v>24.843831999999999</v>
      </c>
      <c r="CS34" s="3">
        <v>25.036460999999999</v>
      </c>
      <c r="CT34" s="3">
        <v>26.333981999999999</v>
      </c>
      <c r="CU34" s="3">
        <v>28.078309999999998</v>
      </c>
      <c r="CV34" s="3">
        <v>177.23286400000001</v>
      </c>
      <c r="CW34" s="3">
        <v>178.32287600000001</v>
      </c>
      <c r="CX34" s="3">
        <v>29.593281000000001</v>
      </c>
      <c r="CY34" s="3">
        <v>28.616831000000001</v>
      </c>
      <c r="CZ34" s="3">
        <v>27.166388999999999</v>
      </c>
      <c r="DA34" s="3">
        <v>28.014009000000001</v>
      </c>
      <c r="DB34" s="3">
        <v>24.459676999999999</v>
      </c>
      <c r="DC34" s="3">
        <v>111.581474</v>
      </c>
      <c r="DD34" s="3">
        <v>25.533466000000001</v>
      </c>
      <c r="DE34" s="3">
        <v>138.886368</v>
      </c>
      <c r="DF34" s="3">
        <v>214.58763099999999</v>
      </c>
      <c r="DG34" s="3">
        <v>70.909110999999996</v>
      </c>
      <c r="DH34" s="3">
        <v>197.442215</v>
      </c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</row>
    <row r="35" spans="2:207" x14ac:dyDescent="0.2">
      <c r="G35" s="3"/>
      <c r="H35" s="3"/>
      <c r="I35" s="3"/>
      <c r="J35" s="3"/>
      <c r="K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7" spans="2:207" x14ac:dyDescent="0.2">
      <c r="B37" t="s">
        <v>60</v>
      </c>
      <c r="D37" s="1" t="s">
        <v>31</v>
      </c>
    </row>
    <row r="38" spans="2:207" x14ac:dyDescent="0.2">
      <c r="B38" s="2" t="s">
        <v>28</v>
      </c>
      <c r="D38" t="s">
        <v>3</v>
      </c>
      <c r="E38" t="s">
        <v>1</v>
      </c>
      <c r="F38">
        <f>COUNT(M38:GJ38)</f>
        <v>100</v>
      </c>
      <c r="G38" s="3">
        <f>AVERAGE(M38:GJ38)</f>
        <v>51.254362940000007</v>
      </c>
      <c r="H38" s="3">
        <f>MAX(M38:GJ38)</f>
        <v>75.319503999999995</v>
      </c>
      <c r="I38" s="3">
        <f>MIN(M38:GJ38)</f>
        <v>29.287103999999999</v>
      </c>
      <c r="J38" s="3">
        <f>_xlfn.STDEV.P(M38:GJ38)</f>
        <v>10.761511238197157</v>
      </c>
      <c r="K38" s="3">
        <f>_xlfn.VAR.S(M38:GJ38)</f>
        <v>116.97992336347869</v>
      </c>
      <c r="M38" s="3">
        <v>56.009579000000002</v>
      </c>
      <c r="N38" s="3">
        <v>47.858589000000002</v>
      </c>
      <c r="O38" s="3">
        <v>46.191161999999998</v>
      </c>
      <c r="P38" s="3">
        <v>36.419578999999999</v>
      </c>
      <c r="Q38" s="3">
        <v>56.319653000000002</v>
      </c>
      <c r="R38" s="3">
        <v>69.509651000000005</v>
      </c>
      <c r="S38" s="3">
        <v>47.442379000000003</v>
      </c>
      <c r="T38" s="3">
        <v>56.093204</v>
      </c>
      <c r="U38" s="3">
        <v>54.790694999999999</v>
      </c>
      <c r="V38" s="3">
        <v>61.048225000000002</v>
      </c>
      <c r="W38" s="3">
        <v>33.432755</v>
      </c>
      <c r="X38" s="3">
        <v>68.795471000000006</v>
      </c>
      <c r="Y38" s="3">
        <v>56.533859</v>
      </c>
      <c r="Z38" s="3">
        <v>50.938094999999997</v>
      </c>
      <c r="AA38" s="3">
        <v>58.158149999999999</v>
      </c>
      <c r="AB38" s="3">
        <v>35.456660999999997</v>
      </c>
      <c r="AC38" s="3">
        <v>65.444511000000006</v>
      </c>
      <c r="AD38" s="3">
        <v>44.397357999999997</v>
      </c>
      <c r="AE38" s="3">
        <v>33.013573000000001</v>
      </c>
      <c r="AF38" s="3">
        <v>55.934882999999999</v>
      </c>
      <c r="AG38" s="3">
        <v>44.570461000000002</v>
      </c>
      <c r="AH38" s="3">
        <v>31.344055000000001</v>
      </c>
      <c r="AI38" s="3">
        <v>52.448433000000001</v>
      </c>
      <c r="AJ38" s="3">
        <v>45.619579000000002</v>
      </c>
      <c r="AK38" s="3">
        <v>51.740116</v>
      </c>
      <c r="AL38" s="3">
        <v>60.951675000000002</v>
      </c>
      <c r="AM38" s="3">
        <v>53.762714000000003</v>
      </c>
      <c r="AN38" s="3">
        <v>70.037941000000004</v>
      </c>
      <c r="AO38" s="3">
        <v>53.935867000000002</v>
      </c>
      <c r="AP38" s="3">
        <v>44.582047000000003</v>
      </c>
      <c r="AQ38" s="3">
        <v>53.755603999999998</v>
      </c>
      <c r="AR38" s="3">
        <v>47.800392000000002</v>
      </c>
      <c r="AS38" s="3">
        <v>53.844509000000002</v>
      </c>
      <c r="AT38" s="3">
        <v>51.399760999999998</v>
      </c>
      <c r="AU38" s="3">
        <v>57.992657000000001</v>
      </c>
      <c r="AV38" s="3">
        <v>48.634124999999997</v>
      </c>
      <c r="AW38" s="3">
        <v>44.197963999999999</v>
      </c>
      <c r="AX38" s="3">
        <v>48.335994999999997</v>
      </c>
      <c r="AY38" s="3">
        <v>65.297432000000001</v>
      </c>
      <c r="AZ38" s="3">
        <v>57.984698999999999</v>
      </c>
      <c r="BA38" s="3">
        <v>50.904736</v>
      </c>
      <c r="BB38" s="3">
        <v>60.581059000000003</v>
      </c>
      <c r="BC38" s="3">
        <v>62.076282999999997</v>
      </c>
      <c r="BD38" s="3">
        <v>44.926338000000001</v>
      </c>
      <c r="BE38" s="3">
        <v>54.027076999999998</v>
      </c>
      <c r="BF38" s="3">
        <v>58.030479</v>
      </c>
      <c r="BG38" s="3">
        <v>37.320937999999998</v>
      </c>
      <c r="BH38" s="3">
        <v>42.367035000000001</v>
      </c>
      <c r="BI38" s="3">
        <v>51.217117000000002</v>
      </c>
      <c r="BJ38" s="3">
        <v>33.37088</v>
      </c>
      <c r="BK38" s="3">
        <v>30.761096999999999</v>
      </c>
      <c r="BL38" s="3">
        <v>40.580742000000001</v>
      </c>
      <c r="BM38" s="3">
        <v>53.844479</v>
      </c>
      <c r="BN38" s="3">
        <v>59.503357000000001</v>
      </c>
      <c r="BO38" s="3">
        <v>56.711544000000004</v>
      </c>
      <c r="BP38" s="3">
        <v>45.090674999999997</v>
      </c>
      <c r="BQ38" s="3">
        <v>41.702694000000001</v>
      </c>
      <c r="BR38" s="3">
        <v>70.208686999999998</v>
      </c>
      <c r="BS38" s="3">
        <v>43.674320000000002</v>
      </c>
      <c r="BT38" s="3">
        <v>29.287103999999999</v>
      </c>
      <c r="BU38" s="3">
        <v>56.970630999999997</v>
      </c>
      <c r="BV38" s="3">
        <v>74.539963</v>
      </c>
      <c r="BW38" s="3">
        <v>71.222556999999995</v>
      </c>
      <c r="BX38" s="3">
        <v>53.472931000000003</v>
      </c>
      <c r="BY38" s="3">
        <v>43.523719999999997</v>
      </c>
      <c r="BZ38" s="3">
        <v>30.629584999999999</v>
      </c>
      <c r="CA38" s="3">
        <v>75.319503999999995</v>
      </c>
      <c r="CB38" s="3">
        <v>65.787734999999998</v>
      </c>
      <c r="CC38" s="3">
        <v>48.211407000000001</v>
      </c>
      <c r="CD38" s="3">
        <v>37.008311999999997</v>
      </c>
      <c r="CE38" s="3">
        <v>54.226447999999998</v>
      </c>
      <c r="CF38" s="3">
        <v>41.803061999999997</v>
      </c>
      <c r="CG38" s="3">
        <v>59.798279000000001</v>
      </c>
      <c r="CH38" s="3">
        <v>42.964066000000003</v>
      </c>
      <c r="CI38" s="3">
        <v>50.203259000000003</v>
      </c>
      <c r="CJ38" s="3">
        <v>49.643870999999997</v>
      </c>
      <c r="CK38" s="3">
        <v>54.963206999999997</v>
      </c>
      <c r="CL38" s="3">
        <v>58.326141</v>
      </c>
      <c r="CM38" s="3">
        <v>54.127972</v>
      </c>
      <c r="CN38" s="3">
        <v>70.846030999999996</v>
      </c>
      <c r="CO38" s="3">
        <v>50.289726000000002</v>
      </c>
      <c r="CP38" s="3">
        <v>38.57555</v>
      </c>
      <c r="CQ38" s="3">
        <v>48.293739000000002</v>
      </c>
      <c r="CR38" s="3">
        <v>54.698624000000002</v>
      </c>
      <c r="CS38" s="3">
        <v>61.750404000000003</v>
      </c>
      <c r="CT38" s="3">
        <v>44.029221</v>
      </c>
      <c r="CU38" s="3">
        <v>67.926536999999996</v>
      </c>
      <c r="CV38" s="3">
        <v>29.757802999999999</v>
      </c>
      <c r="CW38" s="3">
        <v>57.942497000000003</v>
      </c>
      <c r="CX38" s="3">
        <v>73.662514000000002</v>
      </c>
      <c r="CY38" s="3">
        <v>47.488613000000001</v>
      </c>
      <c r="CZ38" s="3">
        <v>51.619197999999997</v>
      </c>
      <c r="DA38" s="3">
        <v>54.873753000000001</v>
      </c>
      <c r="DB38" s="3">
        <v>37.695678999999998</v>
      </c>
      <c r="DC38" s="3">
        <v>56.448585999999999</v>
      </c>
      <c r="DD38" s="3">
        <v>41.793754999999997</v>
      </c>
      <c r="DE38" s="3">
        <v>43.067337000000002</v>
      </c>
      <c r="DF38" s="3">
        <v>43.776482000000001</v>
      </c>
      <c r="DG38" s="3">
        <v>45.395718000000002</v>
      </c>
      <c r="DH38" s="3">
        <v>44.551178</v>
      </c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</row>
    <row r="39" spans="2:207" x14ac:dyDescent="0.2">
      <c r="B39" s="2" t="s">
        <v>29</v>
      </c>
      <c r="G39" s="3"/>
      <c r="H39" s="3"/>
      <c r="I39" s="3"/>
      <c r="J39" s="3"/>
      <c r="K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 spans="2:207" x14ac:dyDescent="0.2">
      <c r="B40" s="2" t="s">
        <v>30</v>
      </c>
      <c r="D40" t="s">
        <v>4</v>
      </c>
      <c r="E40" t="s">
        <v>1</v>
      </c>
      <c r="F40">
        <f>COUNT(M40:GJ40)</f>
        <v>100</v>
      </c>
      <c r="G40" s="3">
        <f>AVERAGE(M40:GJ40)</f>
        <v>44.144883539999995</v>
      </c>
      <c r="H40" s="3">
        <f>MAX(M40:GJ40)</f>
        <v>71.942017000000007</v>
      </c>
      <c r="I40" s="3">
        <f>MIN(M40:GJ40)</f>
        <v>23.677990000000001</v>
      </c>
      <c r="J40" s="3">
        <f>_xlfn.STDEV.P(M40:GJ40)</f>
        <v>9.1298453457055917</v>
      </c>
      <c r="K40" s="3">
        <f>_xlfn.VAR.S(M40:GJ40)</f>
        <v>84.196036400507154</v>
      </c>
      <c r="M40" s="3">
        <v>49.742317</v>
      </c>
      <c r="N40" s="3">
        <v>32.295876</v>
      </c>
      <c r="O40" s="3">
        <v>44.428458999999997</v>
      </c>
      <c r="P40" s="3">
        <v>47.864803000000002</v>
      </c>
      <c r="Q40" s="3">
        <v>58.584564</v>
      </c>
      <c r="R40" s="3">
        <v>59.535530000000001</v>
      </c>
      <c r="S40" s="3">
        <v>50.276679999999999</v>
      </c>
      <c r="T40" s="3">
        <v>38.071506999999997</v>
      </c>
      <c r="U40" s="3">
        <v>53.013294000000002</v>
      </c>
      <c r="V40" s="3">
        <v>55.196747000000002</v>
      </c>
      <c r="W40" s="3">
        <v>40.681358000000003</v>
      </c>
      <c r="X40" s="3">
        <v>46.349068000000003</v>
      </c>
      <c r="Y40" s="3">
        <v>58.845230000000001</v>
      </c>
      <c r="Z40" s="3">
        <v>36.542740000000002</v>
      </c>
      <c r="AA40" s="3">
        <v>46.367004000000001</v>
      </c>
      <c r="AB40" s="3">
        <v>46.453178000000001</v>
      </c>
      <c r="AC40" s="3">
        <v>31.888195</v>
      </c>
      <c r="AD40" s="3">
        <v>30.529228</v>
      </c>
      <c r="AE40" s="3">
        <v>47.741954999999997</v>
      </c>
      <c r="AF40" s="3">
        <v>58.574463000000002</v>
      </c>
      <c r="AG40" s="3">
        <v>53.221080999999998</v>
      </c>
      <c r="AH40" s="3">
        <v>58.689442</v>
      </c>
      <c r="AI40" s="3">
        <v>34.607315</v>
      </c>
      <c r="AJ40" s="3">
        <v>39.385421999999998</v>
      </c>
      <c r="AK40" s="3">
        <v>40.306697999999997</v>
      </c>
      <c r="AL40" s="3">
        <v>52.115519999999997</v>
      </c>
      <c r="AM40" s="3">
        <v>33.699257000000003</v>
      </c>
      <c r="AN40" s="3">
        <v>44.917088</v>
      </c>
      <c r="AO40" s="3">
        <v>28.088740999999999</v>
      </c>
      <c r="AP40" s="3">
        <v>46.987160000000003</v>
      </c>
      <c r="AQ40" s="3">
        <v>47.802959000000001</v>
      </c>
      <c r="AR40" s="3">
        <v>57.431023000000003</v>
      </c>
      <c r="AS40" s="3">
        <v>52.559795000000001</v>
      </c>
      <c r="AT40" s="3">
        <v>28.896391000000001</v>
      </c>
      <c r="AU40" s="3">
        <v>34.741402000000001</v>
      </c>
      <c r="AV40" s="3">
        <v>41.396824000000002</v>
      </c>
      <c r="AW40" s="3">
        <v>52.495635999999998</v>
      </c>
      <c r="AX40" s="3">
        <v>52.264462000000002</v>
      </c>
      <c r="AY40" s="3">
        <v>42.369331000000003</v>
      </c>
      <c r="AZ40" s="3">
        <v>44.110301999999997</v>
      </c>
      <c r="BA40" s="3">
        <v>32.432563999999999</v>
      </c>
      <c r="BB40" s="3">
        <v>33.195042000000001</v>
      </c>
      <c r="BC40" s="3">
        <v>30.554165000000001</v>
      </c>
      <c r="BD40" s="3">
        <v>40.798423999999997</v>
      </c>
      <c r="BE40" s="3">
        <v>46.569046</v>
      </c>
      <c r="BF40" s="3">
        <v>48.247002000000002</v>
      </c>
      <c r="BG40" s="3">
        <v>35.537247000000001</v>
      </c>
      <c r="BH40" s="3">
        <v>23.677990000000001</v>
      </c>
      <c r="BI40" s="3">
        <v>34.345489999999998</v>
      </c>
      <c r="BJ40" s="3">
        <v>37.475028999999999</v>
      </c>
      <c r="BK40" s="3">
        <v>50.023707999999999</v>
      </c>
      <c r="BL40" s="3">
        <v>41.042133</v>
      </c>
      <c r="BM40" s="3">
        <v>51.972346999999999</v>
      </c>
      <c r="BN40" s="3">
        <v>54.415050999999998</v>
      </c>
      <c r="BO40" s="3">
        <v>48.377341999999999</v>
      </c>
      <c r="BP40" s="3">
        <v>48.809418000000001</v>
      </c>
      <c r="BQ40" s="3">
        <v>71.942017000000007</v>
      </c>
      <c r="BR40" s="3">
        <v>65.060646000000006</v>
      </c>
      <c r="BS40" s="3">
        <v>27.943621</v>
      </c>
      <c r="BT40" s="3">
        <v>48.971885999999998</v>
      </c>
      <c r="BU40" s="3">
        <v>34.941963000000001</v>
      </c>
      <c r="BV40" s="3">
        <v>41.385078</v>
      </c>
      <c r="BW40" s="3">
        <v>50.373286999999998</v>
      </c>
      <c r="BX40" s="3">
        <v>36.639679000000001</v>
      </c>
      <c r="BY40" s="3">
        <v>53.633147999999998</v>
      </c>
      <c r="BZ40" s="3">
        <v>49.813350999999997</v>
      </c>
      <c r="CA40" s="3">
        <v>44.610751999999998</v>
      </c>
      <c r="CB40" s="3">
        <v>39.369331000000003</v>
      </c>
      <c r="CC40" s="3">
        <v>44.789154000000003</v>
      </c>
      <c r="CD40" s="3">
        <v>40.190539999999999</v>
      </c>
      <c r="CE40" s="3">
        <v>38.885181000000003</v>
      </c>
      <c r="CF40" s="3">
        <v>57.430900999999999</v>
      </c>
      <c r="CG40" s="3">
        <v>52.559291999999999</v>
      </c>
      <c r="CH40" s="3">
        <v>45.523102000000002</v>
      </c>
      <c r="CI40" s="3">
        <v>45.833632999999999</v>
      </c>
      <c r="CJ40" s="3">
        <v>30.486046000000002</v>
      </c>
      <c r="CK40" s="3">
        <v>39.263603000000003</v>
      </c>
      <c r="CL40" s="3">
        <v>39.639980000000001</v>
      </c>
      <c r="CM40" s="3">
        <v>43.370144000000003</v>
      </c>
      <c r="CN40" s="3">
        <v>41.981330999999997</v>
      </c>
      <c r="CO40" s="3">
        <v>35.762115000000001</v>
      </c>
      <c r="CP40" s="3">
        <v>42.338154000000003</v>
      </c>
      <c r="CQ40" s="3">
        <v>41.488773000000002</v>
      </c>
      <c r="CR40" s="3">
        <v>40.798881999999999</v>
      </c>
      <c r="CS40" s="3">
        <v>45.965645000000002</v>
      </c>
      <c r="CT40" s="3">
        <v>40.613804000000002</v>
      </c>
      <c r="CU40" s="3">
        <v>36.329700000000003</v>
      </c>
      <c r="CV40" s="3">
        <v>54.87706</v>
      </c>
      <c r="CW40" s="3">
        <v>62.899807000000003</v>
      </c>
      <c r="CX40" s="3">
        <v>50.433128000000004</v>
      </c>
      <c r="CY40" s="3">
        <v>46.859580999999999</v>
      </c>
      <c r="CZ40" s="3">
        <v>34.664532000000001</v>
      </c>
      <c r="DA40" s="3">
        <v>44.957127</v>
      </c>
      <c r="DB40" s="3">
        <v>37.106074999999997</v>
      </c>
      <c r="DC40" s="3">
        <v>46.076346999999998</v>
      </c>
      <c r="DD40" s="3">
        <v>51.959910999999998</v>
      </c>
      <c r="DE40" s="3">
        <v>40.140895999999998</v>
      </c>
      <c r="DF40" s="3">
        <v>32.089737</v>
      </c>
      <c r="DG40" s="3">
        <v>32.209784999999997</v>
      </c>
      <c r="DH40" s="3">
        <v>35.739586000000003</v>
      </c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 spans="2:207" x14ac:dyDescent="0.2">
      <c r="G41" s="3"/>
      <c r="H41" s="3"/>
      <c r="I41" s="3"/>
      <c r="J41" s="3"/>
      <c r="K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 spans="2:207" x14ac:dyDescent="0.2">
      <c r="D42" t="s">
        <v>2</v>
      </c>
      <c r="E42" t="s">
        <v>1</v>
      </c>
      <c r="F42">
        <f>COUNT(M42:GJ42)</f>
        <v>100</v>
      </c>
      <c r="G42" s="3">
        <f>AVERAGE(M42:GJ42)</f>
        <v>54.889398920000005</v>
      </c>
      <c r="H42" s="3">
        <f>MAX(M42:GJ42)</f>
        <v>85.106612999999996</v>
      </c>
      <c r="I42" s="3">
        <f>MIN(M42:GJ42)</f>
        <v>37.278717</v>
      </c>
      <c r="J42" s="3">
        <f>_xlfn.STDEV.P(M42:GJ42)</f>
        <v>9.8030741954435854</v>
      </c>
      <c r="K42" s="3">
        <f>_xlfn.VAR.S(M42:GJ42)</f>
        <v>97.070973415527433</v>
      </c>
      <c r="M42" s="3">
        <v>45.297741000000002</v>
      </c>
      <c r="N42" s="3">
        <v>56.183650999999998</v>
      </c>
      <c r="O42" s="3">
        <v>48.247669000000002</v>
      </c>
      <c r="P42" s="3">
        <v>61.183070999999998</v>
      </c>
      <c r="Q42" s="3">
        <v>49.774856999999997</v>
      </c>
      <c r="R42" s="3">
        <v>51.367828000000003</v>
      </c>
      <c r="S42" s="3">
        <v>52.684260999999999</v>
      </c>
      <c r="T42" s="3">
        <v>50.849533000000001</v>
      </c>
      <c r="U42" s="3">
        <v>57.838920999999999</v>
      </c>
      <c r="V42" s="3">
        <v>55.181525999999998</v>
      </c>
      <c r="W42" s="3">
        <v>53.454436999999999</v>
      </c>
      <c r="X42" s="3">
        <v>54.480896000000001</v>
      </c>
      <c r="Y42" s="3">
        <v>55.108631000000003</v>
      </c>
      <c r="Z42" s="3">
        <v>68.552429000000004</v>
      </c>
      <c r="AA42" s="3">
        <v>55.508308</v>
      </c>
      <c r="AB42" s="3">
        <v>54.553654000000002</v>
      </c>
      <c r="AC42" s="3">
        <v>50.911315999999999</v>
      </c>
      <c r="AD42" s="3">
        <v>56.299670999999996</v>
      </c>
      <c r="AE42" s="3">
        <v>43.595806000000003</v>
      </c>
      <c r="AF42" s="3">
        <v>53.703139999999998</v>
      </c>
      <c r="AG42" s="3">
        <v>51.433197</v>
      </c>
      <c r="AH42" s="3">
        <v>49.917628999999998</v>
      </c>
      <c r="AI42" s="3">
        <v>45.209705</v>
      </c>
      <c r="AJ42" s="3">
        <v>55.293171000000001</v>
      </c>
      <c r="AK42" s="3">
        <v>43.811278999999999</v>
      </c>
      <c r="AL42" s="3">
        <v>44.212200000000003</v>
      </c>
      <c r="AM42" s="3">
        <v>82.892707999999999</v>
      </c>
      <c r="AN42" s="3">
        <v>50.706927999999998</v>
      </c>
      <c r="AO42" s="3">
        <v>50.851711000000002</v>
      </c>
      <c r="AP42" s="3">
        <v>56.821044999999998</v>
      </c>
      <c r="AQ42" s="3">
        <v>52.865513</v>
      </c>
      <c r="AR42" s="3">
        <v>55.594856</v>
      </c>
      <c r="AS42" s="3">
        <v>41.659348000000001</v>
      </c>
      <c r="AT42" s="3">
        <v>58.890259</v>
      </c>
      <c r="AU42" s="3">
        <v>58.747742000000002</v>
      </c>
      <c r="AV42" s="3">
        <v>77.086662000000004</v>
      </c>
      <c r="AW42" s="3">
        <v>56.873924000000002</v>
      </c>
      <c r="AX42" s="3">
        <v>59.832988999999998</v>
      </c>
      <c r="AY42" s="3">
        <v>61.213496999999997</v>
      </c>
      <c r="AZ42" s="3">
        <v>52.876235999999999</v>
      </c>
      <c r="BA42" s="3">
        <v>55.886375000000001</v>
      </c>
      <c r="BB42" s="3">
        <v>47.630768000000003</v>
      </c>
      <c r="BC42" s="3">
        <v>55.382496000000003</v>
      </c>
      <c r="BD42" s="3">
        <v>37.278717</v>
      </c>
      <c r="BE42" s="3">
        <v>52.017338000000002</v>
      </c>
      <c r="BF42" s="3">
        <v>57.318114999999999</v>
      </c>
      <c r="BG42" s="3">
        <v>61.554282999999998</v>
      </c>
      <c r="BH42" s="3">
        <v>42.835712000000001</v>
      </c>
      <c r="BI42" s="3">
        <v>64.714889999999997</v>
      </c>
      <c r="BJ42" s="3">
        <v>44.333869999999997</v>
      </c>
      <c r="BK42" s="3">
        <v>42.198791999999997</v>
      </c>
      <c r="BL42" s="3">
        <v>53.024723000000002</v>
      </c>
      <c r="BM42" s="3">
        <v>53.750591</v>
      </c>
      <c r="BN42" s="3">
        <v>51.472701999999998</v>
      </c>
      <c r="BO42" s="3">
        <v>47.041083999999998</v>
      </c>
      <c r="BP42" s="3">
        <v>62.067146000000001</v>
      </c>
      <c r="BQ42" s="3">
        <v>59.613342000000003</v>
      </c>
      <c r="BR42" s="3">
        <v>43.168712999999997</v>
      </c>
      <c r="BS42" s="3">
        <v>70.274651000000006</v>
      </c>
      <c r="BT42" s="3">
        <v>74.910285999999999</v>
      </c>
      <c r="BU42" s="3">
        <v>63.740093000000002</v>
      </c>
      <c r="BV42" s="3">
        <v>63.950496999999999</v>
      </c>
      <c r="BW42" s="3">
        <v>64.629135000000005</v>
      </c>
      <c r="BX42" s="3">
        <v>76.25309</v>
      </c>
      <c r="BY42" s="3">
        <v>46.882525999999999</v>
      </c>
      <c r="BZ42" s="3">
        <v>39.156619999999997</v>
      </c>
      <c r="CA42" s="3">
        <v>47.210129000000002</v>
      </c>
      <c r="CB42" s="3">
        <v>55.979317000000002</v>
      </c>
      <c r="CC42" s="3">
        <v>42.772658999999997</v>
      </c>
      <c r="CD42" s="3">
        <v>50.478316999999997</v>
      </c>
      <c r="CE42" s="3">
        <v>58.861992000000001</v>
      </c>
      <c r="CF42" s="3">
        <v>62.203823</v>
      </c>
      <c r="CG42" s="3">
        <v>46.761177000000004</v>
      </c>
      <c r="CH42" s="3">
        <v>75.022071999999994</v>
      </c>
      <c r="CI42" s="3">
        <v>48.343842000000002</v>
      </c>
      <c r="CJ42" s="3">
        <v>45.981845999999997</v>
      </c>
      <c r="CK42" s="3">
        <v>73.546843999999993</v>
      </c>
      <c r="CL42" s="3">
        <v>53.767612</v>
      </c>
      <c r="CM42" s="3">
        <v>58.789211000000002</v>
      </c>
      <c r="CN42" s="3">
        <v>44.246223000000001</v>
      </c>
      <c r="CO42" s="3">
        <v>54.800502999999999</v>
      </c>
      <c r="CP42" s="3">
        <v>49.095984999999999</v>
      </c>
      <c r="CQ42" s="3">
        <v>49.670383000000001</v>
      </c>
      <c r="CR42" s="3">
        <v>68.946242999999996</v>
      </c>
      <c r="CS42" s="3">
        <v>58.786411000000001</v>
      </c>
      <c r="CT42" s="3">
        <v>62.942878999999998</v>
      </c>
      <c r="CU42" s="3">
        <v>46.169345999999997</v>
      </c>
      <c r="CV42" s="3">
        <v>56.076965000000001</v>
      </c>
      <c r="CW42" s="3">
        <v>85.106612999999996</v>
      </c>
      <c r="CX42" s="3">
        <v>42.648963999999999</v>
      </c>
      <c r="CY42" s="3">
        <v>47.484088999999997</v>
      </c>
      <c r="CZ42" s="3">
        <v>42.074055000000001</v>
      </c>
      <c r="DA42" s="3">
        <v>54.113323000000001</v>
      </c>
      <c r="DB42" s="3">
        <v>43.107940999999997</v>
      </c>
      <c r="DC42" s="3">
        <v>80.189483999999993</v>
      </c>
      <c r="DD42" s="3">
        <v>60.693085000000004</v>
      </c>
      <c r="DE42" s="3">
        <v>59.167946000000001</v>
      </c>
      <c r="DF42" s="3">
        <v>43.71875</v>
      </c>
      <c r="DG42" s="3">
        <v>62.491988999999997</v>
      </c>
      <c r="DH42" s="3">
        <v>45.035373999999997</v>
      </c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 spans="2:207" x14ac:dyDescent="0.2">
      <c r="G43" s="3"/>
      <c r="H43" s="3"/>
      <c r="I43" s="3"/>
      <c r="J43" s="3"/>
      <c r="K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 spans="2:207" x14ac:dyDescent="0.2">
      <c r="D44" t="s">
        <v>5</v>
      </c>
      <c r="E44" t="s">
        <v>1</v>
      </c>
      <c r="F44">
        <f>COUNT(M44:GJ44)</f>
        <v>100</v>
      </c>
      <c r="G44" s="3">
        <f>AVERAGE(M44:GJ44)</f>
        <v>25.868012700000005</v>
      </c>
      <c r="H44" s="3">
        <f>MAX(M44:GJ44)</f>
        <v>55.074069999999999</v>
      </c>
      <c r="I44" s="3">
        <f>MIN(M44:GJ44)</f>
        <v>16.899794</v>
      </c>
      <c r="J44" s="3">
        <f>_xlfn.STDEV.P(M44:GJ44)</f>
        <v>8.4020583918831164</v>
      </c>
      <c r="K44" s="3">
        <f>_xlfn.VAR.S(M44:GJ44)</f>
        <v>71.307661839003558</v>
      </c>
      <c r="M44" s="3">
        <v>24.865932000000001</v>
      </c>
      <c r="N44" s="3">
        <v>22.428121999999998</v>
      </c>
      <c r="O44" s="3">
        <v>21.181249999999999</v>
      </c>
      <c r="P44" s="3">
        <v>24.423366999999999</v>
      </c>
      <c r="Q44" s="3">
        <v>21.471733</v>
      </c>
      <c r="R44" s="3">
        <v>40.718581999999998</v>
      </c>
      <c r="S44" s="3">
        <v>20.885752</v>
      </c>
      <c r="T44" s="3">
        <v>19.010563000000001</v>
      </c>
      <c r="U44" s="3">
        <v>26.576758999999999</v>
      </c>
      <c r="V44" s="3">
        <v>20.189014</v>
      </c>
      <c r="W44" s="3">
        <v>20.840855000000001</v>
      </c>
      <c r="X44" s="3">
        <v>17.586055999999999</v>
      </c>
      <c r="Y44" s="3">
        <v>25.592278</v>
      </c>
      <c r="Z44" s="3">
        <v>22.928225000000001</v>
      </c>
      <c r="AA44" s="3">
        <v>25.586126</v>
      </c>
      <c r="AB44" s="3">
        <v>20.491772000000001</v>
      </c>
      <c r="AC44" s="3">
        <v>22.457972000000002</v>
      </c>
      <c r="AD44" s="3">
        <v>27.732605</v>
      </c>
      <c r="AE44" s="3">
        <v>27.024654000000002</v>
      </c>
      <c r="AF44" s="3">
        <v>22.462478999999998</v>
      </c>
      <c r="AG44" s="3">
        <v>23.339511999999999</v>
      </c>
      <c r="AH44" s="3">
        <v>23.81456</v>
      </c>
      <c r="AI44" s="3">
        <v>18.966103</v>
      </c>
      <c r="AJ44" s="3">
        <v>21.377120999999999</v>
      </c>
      <c r="AK44" s="3">
        <v>21.489170000000001</v>
      </c>
      <c r="AL44" s="3">
        <v>23.522396000000001</v>
      </c>
      <c r="AM44" s="3">
        <v>20.612010999999999</v>
      </c>
      <c r="AN44" s="3">
        <v>22.765623000000001</v>
      </c>
      <c r="AO44" s="3">
        <v>52.607295999999998</v>
      </c>
      <c r="AP44" s="3">
        <v>19.205690000000001</v>
      </c>
      <c r="AQ44" s="3">
        <v>40.052509000000001</v>
      </c>
      <c r="AR44" s="3">
        <v>19.764084</v>
      </c>
      <c r="AS44" s="3">
        <v>22.583008</v>
      </c>
      <c r="AT44" s="3">
        <v>24.677723</v>
      </c>
      <c r="AU44" s="3">
        <v>19.043603999999998</v>
      </c>
      <c r="AV44" s="3">
        <v>23.675339000000001</v>
      </c>
      <c r="AW44" s="3">
        <v>20.259644999999999</v>
      </c>
      <c r="AX44" s="3">
        <v>19.900700000000001</v>
      </c>
      <c r="AY44" s="3">
        <v>22.289770000000001</v>
      </c>
      <c r="AZ44" s="3">
        <v>21.373051</v>
      </c>
      <c r="BA44" s="3">
        <v>25.054995999999999</v>
      </c>
      <c r="BB44" s="3">
        <v>16.899794</v>
      </c>
      <c r="BC44" s="3">
        <v>55.074069999999999</v>
      </c>
      <c r="BD44" s="3">
        <v>20.958659999999998</v>
      </c>
      <c r="BE44" s="3">
        <v>23.736115999999999</v>
      </c>
      <c r="BF44" s="3">
        <v>25.316092999999999</v>
      </c>
      <c r="BG44" s="3">
        <v>24.201744000000001</v>
      </c>
      <c r="BH44" s="3">
        <v>23.798458</v>
      </c>
      <c r="BI44" s="3">
        <v>21.972508999999999</v>
      </c>
      <c r="BJ44" s="3">
        <v>19.433886000000001</v>
      </c>
      <c r="BK44" s="3">
        <v>25.149448</v>
      </c>
      <c r="BL44" s="3">
        <v>20.229317000000002</v>
      </c>
      <c r="BM44" s="3">
        <v>20.080309</v>
      </c>
      <c r="BN44" s="3">
        <v>50.115417000000001</v>
      </c>
      <c r="BO44" s="3">
        <v>20.80761</v>
      </c>
      <c r="BP44" s="3">
        <v>46.119801000000002</v>
      </c>
      <c r="BQ44" s="3">
        <v>20.841737999999999</v>
      </c>
      <c r="BR44" s="3">
        <v>36.952979999999997</v>
      </c>
      <c r="BS44" s="3">
        <v>28.615213000000001</v>
      </c>
      <c r="BT44" s="3">
        <v>23.725985999999999</v>
      </c>
      <c r="BU44" s="3">
        <v>22.152636000000001</v>
      </c>
      <c r="BV44" s="3">
        <v>47.067397999999997</v>
      </c>
      <c r="BW44" s="3">
        <v>20.011686000000001</v>
      </c>
      <c r="BX44" s="3">
        <v>22.770828000000002</v>
      </c>
      <c r="BY44" s="3">
        <v>29.039459000000001</v>
      </c>
      <c r="BZ44" s="3">
        <v>19.837883000000001</v>
      </c>
      <c r="CA44" s="3">
        <v>31.511710999999998</v>
      </c>
      <c r="CB44" s="3">
        <v>39.241432000000003</v>
      </c>
      <c r="CC44" s="3">
        <v>22.709748999999999</v>
      </c>
      <c r="CD44" s="3">
        <v>20.568666</v>
      </c>
      <c r="CE44" s="3">
        <v>23.23695</v>
      </c>
      <c r="CF44" s="3">
        <v>24.578384</v>
      </c>
      <c r="CG44" s="3">
        <v>19.900642000000001</v>
      </c>
      <c r="CH44" s="3">
        <v>26.188632999999999</v>
      </c>
      <c r="CI44" s="3">
        <v>24.165281</v>
      </c>
      <c r="CJ44" s="3">
        <v>25.042995000000001</v>
      </c>
      <c r="CK44" s="3">
        <v>18.531202</v>
      </c>
      <c r="CL44" s="3">
        <v>17.043247000000001</v>
      </c>
      <c r="CM44" s="3">
        <v>38.052956000000002</v>
      </c>
      <c r="CN44" s="3">
        <v>21.836859</v>
      </c>
      <c r="CO44" s="3">
        <v>37.551898999999999</v>
      </c>
      <c r="CP44" s="3">
        <v>20.248327</v>
      </c>
      <c r="CQ44" s="3">
        <v>36.076790000000003</v>
      </c>
      <c r="CR44" s="3">
        <v>22.676659000000001</v>
      </c>
      <c r="CS44" s="3">
        <v>32.922165</v>
      </c>
      <c r="CT44" s="3">
        <v>20.277538</v>
      </c>
      <c r="CU44" s="3">
        <v>48.437592000000002</v>
      </c>
      <c r="CV44" s="3">
        <v>20.055026999999999</v>
      </c>
      <c r="CW44" s="3">
        <v>21.28603</v>
      </c>
      <c r="CX44" s="3">
        <v>25.325959999999998</v>
      </c>
      <c r="CY44" s="3">
        <v>41.811152999999997</v>
      </c>
      <c r="CZ44" s="3">
        <v>34.180847</v>
      </c>
      <c r="DA44" s="3">
        <v>47.053440000000002</v>
      </c>
      <c r="DB44" s="3">
        <v>24.006712</v>
      </c>
      <c r="DC44" s="3">
        <v>19.358415999999998</v>
      </c>
      <c r="DD44" s="3">
        <v>22.196691999999999</v>
      </c>
      <c r="DE44" s="3">
        <v>24.570581000000001</v>
      </c>
      <c r="DF44" s="3">
        <v>26.654945000000001</v>
      </c>
      <c r="DG44" s="3">
        <v>21.59816</v>
      </c>
      <c r="DH44" s="3">
        <v>22.166584</v>
      </c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 spans="2:207" x14ac:dyDescent="0.2">
      <c r="G45" s="3"/>
      <c r="H45" s="3"/>
      <c r="I45" s="3"/>
      <c r="J45" s="3"/>
      <c r="K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 spans="2:207" x14ac:dyDescent="0.2">
      <c r="D46" t="s">
        <v>6</v>
      </c>
      <c r="E46" t="s">
        <v>1</v>
      </c>
      <c r="F46">
        <f>COUNT(M46:GJ46)</f>
        <v>100</v>
      </c>
      <c r="G46" s="3">
        <f>AVERAGE(M46:GJ46)</f>
        <v>22.667579690000004</v>
      </c>
      <c r="H46" s="3">
        <f>MAX(M46:GJ46)</f>
        <v>65.179901000000001</v>
      </c>
      <c r="I46" s="3">
        <f>MIN(M46:GJ46)</f>
        <v>12.623049999999999</v>
      </c>
      <c r="J46" s="3">
        <f>_xlfn.STDEV.P(M46:GJ46)</f>
        <v>12.617539202577346</v>
      </c>
      <c r="K46" s="3">
        <f>_xlfn.VAR.S(M46:GJ46)</f>
        <v>160.81039952381428</v>
      </c>
      <c r="M46" s="3">
        <v>14.850994</v>
      </c>
      <c r="N46" s="3">
        <v>22.569047999999999</v>
      </c>
      <c r="O46" s="3">
        <v>15.58813</v>
      </c>
      <c r="P46" s="3">
        <v>17.103579</v>
      </c>
      <c r="Q46" s="3">
        <v>16.031835999999998</v>
      </c>
      <c r="R46" s="3">
        <v>15.453894999999999</v>
      </c>
      <c r="S46" s="3">
        <v>28.988962000000001</v>
      </c>
      <c r="T46" s="3">
        <v>16.743514999999999</v>
      </c>
      <c r="U46" s="3">
        <v>16.027258</v>
      </c>
      <c r="V46" s="3">
        <v>15.247944</v>
      </c>
      <c r="W46" s="3">
        <v>16.619973999999999</v>
      </c>
      <c r="X46" s="3">
        <v>18.312511000000001</v>
      </c>
      <c r="Y46" s="3">
        <v>21.310846000000002</v>
      </c>
      <c r="Z46" s="3">
        <v>29.226412</v>
      </c>
      <c r="AA46" s="3">
        <v>16.832138</v>
      </c>
      <c r="AB46" s="3">
        <v>15.968052999999999</v>
      </c>
      <c r="AC46" s="3">
        <v>14.547300999999999</v>
      </c>
      <c r="AD46" s="3">
        <v>13.788861000000001</v>
      </c>
      <c r="AE46" s="3">
        <v>14.169015</v>
      </c>
      <c r="AF46" s="3">
        <v>19.610164999999999</v>
      </c>
      <c r="AG46" s="3">
        <v>15.581306</v>
      </c>
      <c r="AH46" s="3">
        <v>49.590297999999997</v>
      </c>
      <c r="AI46" s="3">
        <v>14.408087</v>
      </c>
      <c r="AJ46" s="3">
        <v>16.779985</v>
      </c>
      <c r="AK46" s="3">
        <v>42.091202000000003</v>
      </c>
      <c r="AL46" s="3">
        <v>15.569319999999999</v>
      </c>
      <c r="AM46" s="3">
        <v>44.871304000000002</v>
      </c>
      <c r="AN46" s="3">
        <v>13.774623999999999</v>
      </c>
      <c r="AO46" s="3">
        <v>25.108540999999999</v>
      </c>
      <c r="AP46" s="3">
        <v>21.178861999999999</v>
      </c>
      <c r="AQ46" s="3">
        <v>13.267118999999999</v>
      </c>
      <c r="AR46" s="3">
        <v>16.801344</v>
      </c>
      <c r="AS46" s="3">
        <v>16.383673000000002</v>
      </c>
      <c r="AT46" s="3">
        <v>14.590745</v>
      </c>
      <c r="AU46" s="3">
        <v>14.696826</v>
      </c>
      <c r="AV46" s="3">
        <v>15.115186</v>
      </c>
      <c r="AW46" s="3">
        <v>16.594894</v>
      </c>
      <c r="AX46" s="3">
        <v>20.344179</v>
      </c>
      <c r="AY46" s="3">
        <v>42.216751000000002</v>
      </c>
      <c r="AZ46" s="3">
        <v>15.726742</v>
      </c>
      <c r="BA46" s="3">
        <v>14.548254</v>
      </c>
      <c r="BB46" s="3">
        <v>13.838289</v>
      </c>
      <c r="BC46" s="3">
        <v>15.241116999999999</v>
      </c>
      <c r="BD46" s="3">
        <v>13.829026000000001</v>
      </c>
      <c r="BE46" s="3">
        <v>47.631045999999998</v>
      </c>
      <c r="BF46" s="3">
        <v>17.825108</v>
      </c>
      <c r="BG46" s="3">
        <v>23.419219999999999</v>
      </c>
      <c r="BH46" s="3">
        <v>30.500298999999998</v>
      </c>
      <c r="BI46" s="3">
        <v>17.320582999999999</v>
      </c>
      <c r="BJ46" s="3">
        <v>49.290092000000001</v>
      </c>
      <c r="BK46" s="3">
        <v>17.197541999999999</v>
      </c>
      <c r="BL46" s="3">
        <v>14.491370999999999</v>
      </c>
      <c r="BM46" s="3">
        <v>15.410525</v>
      </c>
      <c r="BN46" s="3">
        <v>27.00131</v>
      </c>
      <c r="BO46" s="3">
        <v>29.909545999999999</v>
      </c>
      <c r="BP46" s="3">
        <v>13.109864999999999</v>
      </c>
      <c r="BQ46" s="3">
        <v>15.807983</v>
      </c>
      <c r="BR46" s="3">
        <v>16.403603</v>
      </c>
      <c r="BS46" s="3">
        <v>13.737235999999999</v>
      </c>
      <c r="BT46" s="3">
        <v>14.325236</v>
      </c>
      <c r="BU46" s="3">
        <v>14.161308999999999</v>
      </c>
      <c r="BV46" s="3">
        <v>16.885462</v>
      </c>
      <c r="BW46" s="3">
        <v>50.793208999999997</v>
      </c>
      <c r="BX46" s="3">
        <v>50.008189999999999</v>
      </c>
      <c r="BY46" s="3">
        <v>13.992224999999999</v>
      </c>
      <c r="BZ46" s="3">
        <v>13.793827</v>
      </c>
      <c r="CA46" s="3">
        <v>14.691788000000001</v>
      </c>
      <c r="CB46" s="3">
        <v>13.401073</v>
      </c>
      <c r="CC46" s="3">
        <v>13.604065</v>
      </c>
      <c r="CD46" s="3">
        <v>54.946018000000002</v>
      </c>
      <c r="CE46" s="3">
        <v>16.142651000000001</v>
      </c>
      <c r="CF46" s="3">
        <v>33.056556999999998</v>
      </c>
      <c r="CG46" s="3">
        <v>39.263267999999997</v>
      </c>
      <c r="CH46" s="3">
        <v>15.545405000000001</v>
      </c>
      <c r="CI46" s="3">
        <v>50.865870999999999</v>
      </c>
      <c r="CJ46" s="3">
        <v>13.984389999999999</v>
      </c>
      <c r="CK46" s="3">
        <v>30.729683000000001</v>
      </c>
      <c r="CL46" s="3">
        <v>15.085134999999999</v>
      </c>
      <c r="CM46" s="3">
        <v>65.179901000000001</v>
      </c>
      <c r="CN46" s="3">
        <v>33.982861</v>
      </c>
      <c r="CO46" s="3">
        <v>14.217121000000001</v>
      </c>
      <c r="CP46" s="3">
        <v>16.367317</v>
      </c>
      <c r="CQ46" s="3">
        <v>15.858534000000001</v>
      </c>
      <c r="CR46" s="3">
        <v>14.895583</v>
      </c>
      <c r="CS46" s="3">
        <v>14.320415000000001</v>
      </c>
      <c r="CT46" s="3">
        <v>12.623049999999999</v>
      </c>
      <c r="CU46" s="3">
        <v>19.351586999999999</v>
      </c>
      <c r="CV46" s="3">
        <v>33.992561000000002</v>
      </c>
      <c r="CW46" s="3">
        <v>40.683562999999999</v>
      </c>
      <c r="CX46" s="3">
        <v>14.230886</v>
      </c>
      <c r="CY46" s="3">
        <v>14.976269</v>
      </c>
      <c r="CZ46" s="3">
        <v>14.138653</v>
      </c>
      <c r="DA46" s="3">
        <v>14.571149</v>
      </c>
      <c r="DB46" s="3">
        <v>13.632645999999999</v>
      </c>
      <c r="DC46" s="3">
        <v>37.823371999999999</v>
      </c>
      <c r="DD46" s="3">
        <v>19.68141</v>
      </c>
      <c r="DE46" s="3">
        <v>31.952425000000002</v>
      </c>
      <c r="DF46" s="3">
        <v>52.321812000000001</v>
      </c>
      <c r="DG46" s="3">
        <v>18.802040000000002</v>
      </c>
      <c r="DH46" s="3">
        <v>57.686011999999998</v>
      </c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 spans="2:207" x14ac:dyDescent="0.2">
      <c r="M47" s="3"/>
      <c r="N47" s="3"/>
    </row>
    <row r="48" spans="2:207" x14ac:dyDescent="0.2">
      <c r="D48" s="1"/>
    </row>
    <row r="49" spans="2:207" x14ac:dyDescent="0.2">
      <c r="B49" t="s">
        <v>60</v>
      </c>
      <c r="D49" s="1" t="s">
        <v>32</v>
      </c>
    </row>
    <row r="50" spans="2:207" x14ac:dyDescent="0.2">
      <c r="B50" s="2" t="s">
        <v>33</v>
      </c>
      <c r="D50" t="s">
        <v>3</v>
      </c>
      <c r="E50" t="s">
        <v>1</v>
      </c>
      <c r="F50">
        <f>COUNT(M50:GJ50)</f>
        <v>100</v>
      </c>
      <c r="G50" s="3">
        <f>AVERAGE(M50:GJ50)</f>
        <v>167.96463143999998</v>
      </c>
      <c r="H50" s="3">
        <f>MAX(M50:GJ50)</f>
        <v>235.09309400000001</v>
      </c>
      <c r="I50" s="3">
        <f>MIN(M50:GJ50)</f>
        <v>104.64305899999999</v>
      </c>
      <c r="J50" s="3">
        <f>_xlfn.STDEV.P(M50:GJ50)</f>
        <v>29.460594125269466</v>
      </c>
      <c r="K50" s="3">
        <f>_xlfn.VAR.S(M50:GJ50)</f>
        <v>876.69354163016658</v>
      </c>
      <c r="M50" s="3">
        <v>178.519577</v>
      </c>
      <c r="N50" s="3">
        <v>169.605301</v>
      </c>
      <c r="O50" s="3">
        <v>141.366837</v>
      </c>
      <c r="P50" s="3">
        <v>108.60363</v>
      </c>
      <c r="Q50" s="3">
        <v>187.634872</v>
      </c>
      <c r="R50" s="3">
        <v>203.93336500000001</v>
      </c>
      <c r="S50" s="3">
        <v>171.460724</v>
      </c>
      <c r="T50" s="3">
        <v>177.08157299999999</v>
      </c>
      <c r="U50" s="3">
        <v>157.025879</v>
      </c>
      <c r="V50" s="3">
        <v>188.724884</v>
      </c>
      <c r="W50" s="3">
        <v>118.24337</v>
      </c>
      <c r="X50" s="3">
        <v>210.73509200000001</v>
      </c>
      <c r="Y50" s="3">
        <v>149.408997</v>
      </c>
      <c r="Z50" s="3">
        <v>186.35560599999999</v>
      </c>
      <c r="AA50" s="3">
        <v>190.625336</v>
      </c>
      <c r="AB50" s="3">
        <v>136.463562</v>
      </c>
      <c r="AC50" s="3">
        <v>183.04835499999999</v>
      </c>
      <c r="AD50" s="3">
        <v>154.749054</v>
      </c>
      <c r="AE50" s="3">
        <v>131.985153</v>
      </c>
      <c r="AF50" s="3">
        <v>180.81487999999999</v>
      </c>
      <c r="AG50" s="3">
        <v>141.364822</v>
      </c>
      <c r="AH50" s="3">
        <v>112.486214</v>
      </c>
      <c r="AI50" s="3">
        <v>162.88511700000001</v>
      </c>
      <c r="AJ50" s="3">
        <v>173.81860399999999</v>
      </c>
      <c r="AK50" s="3">
        <v>173.49229399999999</v>
      </c>
      <c r="AL50" s="3">
        <v>180.72511299999999</v>
      </c>
      <c r="AM50" s="3">
        <v>188.56559799999999</v>
      </c>
      <c r="AN50" s="3">
        <v>220.41587799999999</v>
      </c>
      <c r="AO50" s="3">
        <v>176.59539799999999</v>
      </c>
      <c r="AP50" s="3">
        <v>154.74650600000001</v>
      </c>
      <c r="AQ50" s="3">
        <v>178.825943</v>
      </c>
      <c r="AR50" s="3">
        <v>174.212006</v>
      </c>
      <c r="AS50" s="3">
        <v>178.178268</v>
      </c>
      <c r="AT50" s="3">
        <v>180.46177700000001</v>
      </c>
      <c r="AU50" s="3">
        <v>183.218918</v>
      </c>
      <c r="AV50" s="3">
        <v>169.12536600000001</v>
      </c>
      <c r="AW50" s="3">
        <v>156.86547899999999</v>
      </c>
      <c r="AX50" s="3">
        <v>172.75353999999999</v>
      </c>
      <c r="AY50" s="3">
        <v>212.22306800000001</v>
      </c>
      <c r="AZ50" s="3">
        <v>188.03152499999999</v>
      </c>
      <c r="BA50" s="3">
        <v>179.479568</v>
      </c>
      <c r="BB50" s="3">
        <v>195.19502299999999</v>
      </c>
      <c r="BC50" s="3">
        <v>194.145523</v>
      </c>
      <c r="BD50" s="3">
        <v>156.72949199999999</v>
      </c>
      <c r="BE50" s="3">
        <v>180.81997699999999</v>
      </c>
      <c r="BF50" s="3">
        <v>197.75692699999999</v>
      </c>
      <c r="BG50" s="3">
        <v>128.09977699999999</v>
      </c>
      <c r="BH50" s="3">
        <v>141.784424</v>
      </c>
      <c r="BI50" s="3">
        <v>177.10754399999999</v>
      </c>
      <c r="BJ50" s="3">
        <v>108.11526499999999</v>
      </c>
      <c r="BK50" s="3">
        <v>116.003494</v>
      </c>
      <c r="BL50" s="3">
        <v>139.54660000000001</v>
      </c>
      <c r="BM50" s="3">
        <v>168.68829299999999</v>
      </c>
      <c r="BN50" s="3">
        <v>187.04771400000001</v>
      </c>
      <c r="BO50" s="3">
        <v>188.847488</v>
      </c>
      <c r="BP50" s="3">
        <v>149.47894299999999</v>
      </c>
      <c r="BQ50" s="3">
        <v>145.01672400000001</v>
      </c>
      <c r="BR50" s="3">
        <v>213.92283599999999</v>
      </c>
      <c r="BS50" s="3">
        <v>142.479645</v>
      </c>
      <c r="BT50" s="3">
        <v>104.64305899999999</v>
      </c>
      <c r="BU50" s="3">
        <v>168.30718999999999</v>
      </c>
      <c r="BV50" s="3">
        <v>222.888687</v>
      </c>
      <c r="BW50" s="3">
        <v>201.973602</v>
      </c>
      <c r="BX50" s="3">
        <v>176.995453</v>
      </c>
      <c r="BY50" s="3">
        <v>153.64248699999999</v>
      </c>
      <c r="BZ50" s="3">
        <v>106.24954200000001</v>
      </c>
      <c r="CA50" s="3">
        <v>235.09309400000001</v>
      </c>
      <c r="CB50" s="3">
        <v>222.252411</v>
      </c>
      <c r="CC50" s="3">
        <v>150.70764199999999</v>
      </c>
      <c r="CD50" s="3">
        <v>121.219055</v>
      </c>
      <c r="CE50" s="3">
        <v>164.45971700000001</v>
      </c>
      <c r="CF50" s="3">
        <v>140.27448999999999</v>
      </c>
      <c r="CG50" s="3">
        <v>190.545624</v>
      </c>
      <c r="CH50" s="3">
        <v>141.44754</v>
      </c>
      <c r="CI50" s="3">
        <v>158.10427899999999</v>
      </c>
      <c r="CJ50" s="3">
        <v>162.13960299999999</v>
      </c>
      <c r="CK50" s="3">
        <v>175.97251900000001</v>
      </c>
      <c r="CL50" s="3">
        <v>184.00460799999999</v>
      </c>
      <c r="CM50" s="3">
        <v>174.12692300000001</v>
      </c>
      <c r="CN50" s="3">
        <v>225.04283100000001</v>
      </c>
      <c r="CO50" s="3">
        <v>165.74691799999999</v>
      </c>
      <c r="CP50" s="3">
        <v>125.21563</v>
      </c>
      <c r="CQ50" s="3">
        <v>158.035492</v>
      </c>
      <c r="CR50" s="3">
        <v>187.09320099999999</v>
      </c>
      <c r="CS50" s="3">
        <v>200.681152</v>
      </c>
      <c r="CT50" s="3">
        <v>157.607437</v>
      </c>
      <c r="CU50" s="3">
        <v>201.92906199999999</v>
      </c>
      <c r="CV50" s="3">
        <v>107.714005</v>
      </c>
      <c r="CW50" s="3">
        <v>190.37759399999999</v>
      </c>
      <c r="CX50" s="3">
        <v>218.74292</v>
      </c>
      <c r="CY50" s="3">
        <v>172.27475000000001</v>
      </c>
      <c r="CZ50" s="3">
        <v>178.195221</v>
      </c>
      <c r="DA50" s="3">
        <v>188.18550099999999</v>
      </c>
      <c r="DB50" s="3">
        <v>128.01824999999999</v>
      </c>
      <c r="DC50" s="3">
        <v>185.109802</v>
      </c>
      <c r="DD50" s="3">
        <v>137.15849299999999</v>
      </c>
      <c r="DE50" s="3">
        <v>135.28997799999999</v>
      </c>
      <c r="DF50" s="3">
        <v>148.64613299999999</v>
      </c>
      <c r="DG50" s="3">
        <v>167.30624399999999</v>
      </c>
      <c r="DH50" s="3">
        <v>147.40226699999999</v>
      </c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 spans="2:207" x14ac:dyDescent="0.2">
      <c r="B51" s="2" t="s">
        <v>34</v>
      </c>
      <c r="G51" s="3"/>
      <c r="H51" s="3"/>
      <c r="I51" s="3"/>
      <c r="J51" s="3"/>
      <c r="K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 spans="2:207" x14ac:dyDescent="0.2">
      <c r="B52" s="2" t="s">
        <v>35</v>
      </c>
      <c r="D52" t="s">
        <v>4</v>
      </c>
      <c r="E52" t="s">
        <v>1</v>
      </c>
      <c r="F52">
        <f>COUNT(M52:GJ52)</f>
        <v>100</v>
      </c>
      <c r="G52" s="3">
        <f>AVERAGE(M52:GJ52)</f>
        <v>36.672984719999988</v>
      </c>
      <c r="H52" s="3">
        <f>MAX(M52:GJ52)</f>
        <v>47.533813000000002</v>
      </c>
      <c r="I52" s="3">
        <f>MIN(M52:GJ52)</f>
        <v>25.682328999999999</v>
      </c>
      <c r="J52" s="3">
        <f>_xlfn.STDEV.P(M52:GJ52)</f>
        <v>4.6161402152451174</v>
      </c>
      <c r="K52" s="3">
        <f>_xlfn.VAR.S(M52:GJ52)</f>
        <v>21.523990390710285</v>
      </c>
      <c r="M52" s="3">
        <v>38.289496999999997</v>
      </c>
      <c r="N52" s="3">
        <v>34.530940999999999</v>
      </c>
      <c r="O52" s="3">
        <v>42.746657999999996</v>
      </c>
      <c r="P52" s="3">
        <v>31.624669999999998</v>
      </c>
      <c r="Q52" s="3">
        <v>34.921314000000002</v>
      </c>
      <c r="R52" s="3">
        <v>36.805340000000001</v>
      </c>
      <c r="S52" s="3">
        <v>41.886135000000003</v>
      </c>
      <c r="T52" s="3">
        <v>28.854520999999998</v>
      </c>
      <c r="U52" s="3">
        <v>39.613337999999999</v>
      </c>
      <c r="V52" s="3">
        <v>25.682328999999999</v>
      </c>
      <c r="W52" s="3">
        <v>35.746574000000003</v>
      </c>
      <c r="X52" s="3">
        <v>31.604849000000002</v>
      </c>
      <c r="Y52" s="3">
        <v>32.717807999999998</v>
      </c>
      <c r="Z52" s="3">
        <v>32.899982000000001</v>
      </c>
      <c r="AA52" s="3">
        <v>47.533813000000002</v>
      </c>
      <c r="AB52" s="3">
        <v>42.069823999999997</v>
      </c>
      <c r="AC52" s="3">
        <v>28.886521999999999</v>
      </c>
      <c r="AD52" s="3">
        <v>31.073774</v>
      </c>
      <c r="AE52" s="3">
        <v>27.829065</v>
      </c>
      <c r="AF52" s="3">
        <v>36.529957000000003</v>
      </c>
      <c r="AG52" s="3">
        <v>38.873328999999998</v>
      </c>
      <c r="AH52" s="3">
        <v>42.483249999999998</v>
      </c>
      <c r="AI52" s="3">
        <v>30.799047000000002</v>
      </c>
      <c r="AJ52" s="3">
        <v>30.057524000000001</v>
      </c>
      <c r="AK52" s="3">
        <v>43.648730999999998</v>
      </c>
      <c r="AL52" s="3">
        <v>32.191710999999998</v>
      </c>
      <c r="AM52" s="3">
        <v>34.512394</v>
      </c>
      <c r="AN52" s="3">
        <v>45.650962999999997</v>
      </c>
      <c r="AO52" s="3">
        <v>34.191628000000001</v>
      </c>
      <c r="AP52" s="3">
        <v>40.608851999999999</v>
      </c>
      <c r="AQ52" s="3">
        <v>35.967112999999998</v>
      </c>
      <c r="AR52" s="3">
        <v>39.933315</v>
      </c>
      <c r="AS52" s="3">
        <v>37.373553999999999</v>
      </c>
      <c r="AT52" s="3">
        <v>35.521937999999999</v>
      </c>
      <c r="AU52" s="3">
        <v>35.336266000000002</v>
      </c>
      <c r="AV52" s="3">
        <v>34.388179999999998</v>
      </c>
      <c r="AW52" s="3">
        <v>36.172688000000001</v>
      </c>
      <c r="AX52" s="3">
        <v>32.493031000000002</v>
      </c>
      <c r="AY52" s="3">
        <v>40.312401000000001</v>
      </c>
      <c r="AZ52" s="3">
        <v>35.657767999999997</v>
      </c>
      <c r="BA52" s="3">
        <v>36.168514000000002</v>
      </c>
      <c r="BB52" s="3">
        <v>29.865479000000001</v>
      </c>
      <c r="BC52" s="3">
        <v>41.207909000000001</v>
      </c>
      <c r="BD52" s="3">
        <v>34.992545999999997</v>
      </c>
      <c r="BE52" s="3">
        <v>40.410671000000001</v>
      </c>
      <c r="BF52" s="3">
        <v>41.154086999999997</v>
      </c>
      <c r="BG52" s="3">
        <v>32.553790999999997</v>
      </c>
      <c r="BH52" s="3">
        <v>32.121051999999999</v>
      </c>
      <c r="BI52" s="3">
        <v>33.678108000000002</v>
      </c>
      <c r="BJ52" s="3">
        <v>44.758991000000002</v>
      </c>
      <c r="BK52" s="3">
        <v>38.134846000000003</v>
      </c>
      <c r="BL52" s="3">
        <v>32.085934000000002</v>
      </c>
      <c r="BM52" s="3">
        <v>43.500340000000001</v>
      </c>
      <c r="BN52" s="3">
        <v>43.577289999999998</v>
      </c>
      <c r="BO52" s="3">
        <v>40.824370999999999</v>
      </c>
      <c r="BP52" s="3">
        <v>42.481380000000001</v>
      </c>
      <c r="BQ52" s="3">
        <v>40.050930000000001</v>
      </c>
      <c r="BR52" s="3">
        <v>35.761406000000001</v>
      </c>
      <c r="BS52" s="3">
        <v>31.967545000000001</v>
      </c>
      <c r="BT52" s="3">
        <v>34.639248000000002</v>
      </c>
      <c r="BU52" s="3">
        <v>37.015900000000002</v>
      </c>
      <c r="BV52" s="3">
        <v>35.963073999999999</v>
      </c>
      <c r="BW52" s="3">
        <v>34.886966999999999</v>
      </c>
      <c r="BX52" s="3">
        <v>32.450195000000001</v>
      </c>
      <c r="BY52" s="3">
        <v>47.080829999999999</v>
      </c>
      <c r="BZ52" s="3">
        <v>40.260528999999998</v>
      </c>
      <c r="CA52" s="3">
        <v>37.091884999999998</v>
      </c>
      <c r="CB52" s="3">
        <v>37.525295</v>
      </c>
      <c r="CC52" s="3">
        <v>31.804924</v>
      </c>
      <c r="CD52" s="3">
        <v>33.872371999999999</v>
      </c>
      <c r="CE52" s="3">
        <v>33.838183999999998</v>
      </c>
      <c r="CF52" s="3">
        <v>39.120719999999999</v>
      </c>
      <c r="CG52" s="3">
        <v>42.064079</v>
      </c>
      <c r="CH52" s="3">
        <v>38.848179000000002</v>
      </c>
      <c r="CI52" s="3">
        <v>35.944412</v>
      </c>
      <c r="CJ52" s="3">
        <v>38.148983000000001</v>
      </c>
      <c r="CK52" s="3">
        <v>34.809288000000002</v>
      </c>
      <c r="CL52" s="3">
        <v>29.872564000000001</v>
      </c>
      <c r="CM52" s="3">
        <v>35.655365000000003</v>
      </c>
      <c r="CN52" s="3">
        <v>35.941009999999999</v>
      </c>
      <c r="CO52" s="3">
        <v>37.204411</v>
      </c>
      <c r="CP52" s="3">
        <v>32.442360000000001</v>
      </c>
      <c r="CQ52" s="3">
        <v>36.191307000000002</v>
      </c>
      <c r="CR52" s="3">
        <v>36.061332999999998</v>
      </c>
      <c r="CS52" s="3">
        <v>33.557761999999997</v>
      </c>
      <c r="CT52" s="3">
        <v>37.658489000000003</v>
      </c>
      <c r="CU52" s="3">
        <v>36.333733000000002</v>
      </c>
      <c r="CV52" s="3">
        <v>31.038429000000001</v>
      </c>
      <c r="CW52" s="3">
        <v>43.180756000000002</v>
      </c>
      <c r="CX52" s="3">
        <v>43.769427999999998</v>
      </c>
      <c r="CY52" s="3">
        <v>43.994929999999997</v>
      </c>
      <c r="CZ52" s="3">
        <v>35.947262000000002</v>
      </c>
      <c r="DA52" s="3">
        <v>44.211528999999999</v>
      </c>
      <c r="DB52" s="3">
        <v>35.084290000000003</v>
      </c>
      <c r="DC52" s="3">
        <v>44.824779999999997</v>
      </c>
      <c r="DD52" s="3">
        <v>34.884808</v>
      </c>
      <c r="DE52" s="3">
        <v>40.804648999999998</v>
      </c>
      <c r="DF52" s="3">
        <v>38.075214000000003</v>
      </c>
      <c r="DG52" s="3">
        <v>30.608225000000001</v>
      </c>
      <c r="DH52" s="3">
        <v>31.274989999999999</v>
      </c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 spans="2:207" x14ac:dyDescent="0.2"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 spans="2:207" x14ac:dyDescent="0.2">
      <c r="D54" t="s">
        <v>2</v>
      </c>
      <c r="E54" t="s">
        <v>1</v>
      </c>
      <c r="F54">
        <f>COUNT(M54:GJ54)</f>
        <v>100</v>
      </c>
      <c r="G54" s="3">
        <f>AVERAGE(M54:GJ54)</f>
        <v>58.550707570000007</v>
      </c>
      <c r="H54" s="3">
        <f>MAX(M54:GJ54)</f>
        <v>137.35545300000001</v>
      </c>
      <c r="I54" s="3">
        <f>MIN(M54:GJ54)</f>
        <v>34.825313999999999</v>
      </c>
      <c r="J54" s="3">
        <f>_xlfn.STDEV.P(M54:GJ54)</f>
        <v>24.13986098491668</v>
      </c>
      <c r="K54" s="3">
        <f>_xlfn.VAR.S(M54:GJ54)</f>
        <v>588.61907916272946</v>
      </c>
      <c r="M54" s="3">
        <v>40.872604000000003</v>
      </c>
      <c r="N54" s="3">
        <v>57.347366000000001</v>
      </c>
      <c r="O54" s="3">
        <v>43.294730999999999</v>
      </c>
      <c r="P54" s="3">
        <v>51.775230000000001</v>
      </c>
      <c r="Q54" s="3">
        <v>47.787334000000001</v>
      </c>
      <c r="R54" s="3">
        <v>45.196044999999998</v>
      </c>
      <c r="S54" s="3">
        <v>43.580852999999998</v>
      </c>
      <c r="T54" s="3">
        <v>37.374470000000002</v>
      </c>
      <c r="U54" s="3">
        <v>51.065918000000003</v>
      </c>
      <c r="V54" s="3">
        <v>48.795197000000002</v>
      </c>
      <c r="W54" s="3">
        <v>50.778927000000003</v>
      </c>
      <c r="X54" s="3">
        <v>53.541988000000003</v>
      </c>
      <c r="Y54" s="3">
        <v>44.056449999999998</v>
      </c>
      <c r="Z54" s="3">
        <v>70.128601000000003</v>
      </c>
      <c r="AA54" s="3">
        <v>47.186455000000002</v>
      </c>
      <c r="AB54" s="3">
        <v>46.549751000000001</v>
      </c>
      <c r="AC54" s="3">
        <v>42.546795000000003</v>
      </c>
      <c r="AD54" s="3">
        <v>48.779415</v>
      </c>
      <c r="AE54" s="3">
        <v>38.836261999999998</v>
      </c>
      <c r="AF54" s="3">
        <v>49.823677000000004</v>
      </c>
      <c r="AG54" s="3">
        <v>47.617977000000003</v>
      </c>
      <c r="AH54" s="3">
        <v>43.869179000000003</v>
      </c>
      <c r="AI54" s="3">
        <v>41.322913999999997</v>
      </c>
      <c r="AJ54" s="3">
        <v>55.448031999999998</v>
      </c>
      <c r="AK54" s="3">
        <v>36.044547999999999</v>
      </c>
      <c r="AL54" s="3">
        <v>38.415886</v>
      </c>
      <c r="AM54" s="3">
        <v>114.216393</v>
      </c>
      <c r="AN54" s="3">
        <v>45.797550000000001</v>
      </c>
      <c r="AO54" s="3">
        <v>43.052284</v>
      </c>
      <c r="AP54" s="3">
        <v>55.300102000000003</v>
      </c>
      <c r="AQ54" s="3">
        <v>52.748626999999999</v>
      </c>
      <c r="AR54" s="3">
        <v>51.011192000000001</v>
      </c>
      <c r="AS54" s="3">
        <v>40.706378999999998</v>
      </c>
      <c r="AT54" s="3">
        <v>65.089989000000003</v>
      </c>
      <c r="AU54" s="3">
        <v>60.127620999999998</v>
      </c>
      <c r="AV54" s="3">
        <v>97.854042000000007</v>
      </c>
      <c r="AW54" s="3">
        <v>50.416271000000002</v>
      </c>
      <c r="AX54" s="3">
        <v>53.047459000000003</v>
      </c>
      <c r="AY54" s="3">
        <v>65.936194999999998</v>
      </c>
      <c r="AZ54" s="3">
        <v>48.371605000000002</v>
      </c>
      <c r="BA54" s="3">
        <v>53.509495000000001</v>
      </c>
      <c r="BB54" s="3">
        <v>37.515906999999999</v>
      </c>
      <c r="BC54" s="3">
        <v>48.443492999999997</v>
      </c>
      <c r="BD54" s="3">
        <v>35.344070000000002</v>
      </c>
      <c r="BE54" s="3">
        <v>58.397171</v>
      </c>
      <c r="BF54" s="3">
        <v>47.069000000000003</v>
      </c>
      <c r="BG54" s="3">
        <v>61.151111999999998</v>
      </c>
      <c r="BH54" s="3">
        <v>38.768996999999999</v>
      </c>
      <c r="BI54" s="3">
        <v>75.183188999999999</v>
      </c>
      <c r="BJ54" s="3">
        <v>34.825313999999999</v>
      </c>
      <c r="BK54" s="3">
        <v>35.576447000000002</v>
      </c>
      <c r="BL54" s="3">
        <v>74.115668999999997</v>
      </c>
      <c r="BM54" s="3">
        <v>51.330275999999998</v>
      </c>
      <c r="BN54" s="3">
        <v>49.771766999999997</v>
      </c>
      <c r="BO54" s="3">
        <v>49.062396999999997</v>
      </c>
      <c r="BP54" s="3">
        <v>58.758690000000001</v>
      </c>
      <c r="BQ54" s="3">
        <v>61.441181</v>
      </c>
      <c r="BR54" s="3">
        <v>39.291854999999998</v>
      </c>
      <c r="BS54" s="3">
        <v>112.958557</v>
      </c>
      <c r="BT54" s="3">
        <v>101.67287399999999</v>
      </c>
      <c r="BU54" s="3">
        <v>86.407844999999995</v>
      </c>
      <c r="BV54" s="3">
        <v>58.574112</v>
      </c>
      <c r="BW54" s="3">
        <v>77.403617999999994</v>
      </c>
      <c r="BX54" s="3">
        <v>126.69493900000001</v>
      </c>
      <c r="BY54" s="3">
        <v>38.769790999999998</v>
      </c>
      <c r="BZ54" s="3">
        <v>36.897675</v>
      </c>
      <c r="CA54" s="3">
        <v>38.310111999999997</v>
      </c>
      <c r="CB54" s="3">
        <v>52.001381000000002</v>
      </c>
      <c r="CC54" s="3">
        <v>39.045143000000003</v>
      </c>
      <c r="CD54" s="3">
        <v>64.616928000000001</v>
      </c>
      <c r="CE54" s="3">
        <v>56.483280000000001</v>
      </c>
      <c r="CF54" s="3">
        <v>81.493835000000004</v>
      </c>
      <c r="CG54" s="3">
        <v>37.421444000000001</v>
      </c>
      <c r="CH54" s="3">
        <v>117.342598</v>
      </c>
      <c r="CI54" s="3">
        <v>37.345160999999997</v>
      </c>
      <c r="CJ54" s="3">
        <v>38.001632999999998</v>
      </c>
      <c r="CK54" s="3">
        <v>122.509331</v>
      </c>
      <c r="CL54" s="3">
        <v>65.340064999999996</v>
      </c>
      <c r="CM54" s="3">
        <v>77.811622999999997</v>
      </c>
      <c r="CN54" s="3">
        <v>38.862453000000002</v>
      </c>
      <c r="CO54" s="3">
        <v>58.549422999999997</v>
      </c>
      <c r="CP54" s="3">
        <v>58.562199</v>
      </c>
      <c r="CQ54" s="3">
        <v>40.972244000000003</v>
      </c>
      <c r="CR54" s="3">
        <v>107.523376</v>
      </c>
      <c r="CS54" s="3">
        <v>85.787070999999997</v>
      </c>
      <c r="CT54" s="3">
        <v>97.040145999999993</v>
      </c>
      <c r="CU54" s="3">
        <v>54.737037999999998</v>
      </c>
      <c r="CV54" s="3">
        <v>80.131859000000006</v>
      </c>
      <c r="CW54" s="3">
        <v>137.071045</v>
      </c>
      <c r="CX54" s="3">
        <v>40.939689999999999</v>
      </c>
      <c r="CY54" s="3">
        <v>37.796402</v>
      </c>
      <c r="CZ54" s="3">
        <v>37.624724999999998</v>
      </c>
      <c r="DA54" s="3">
        <v>51.621212</v>
      </c>
      <c r="DB54" s="3">
        <v>39.862048999999999</v>
      </c>
      <c r="DC54" s="3">
        <v>137.35545300000001</v>
      </c>
      <c r="DD54" s="3">
        <v>65.650702999999993</v>
      </c>
      <c r="DE54" s="3">
        <v>81.814323000000002</v>
      </c>
      <c r="DF54" s="3">
        <v>37.290832999999999</v>
      </c>
      <c r="DG54" s="3">
        <v>83.264449999999997</v>
      </c>
      <c r="DH54" s="3">
        <v>40.243774000000002</v>
      </c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 spans="2:207" x14ac:dyDescent="0.2">
      <c r="G55" s="3"/>
      <c r="H55" s="3"/>
      <c r="I55" s="3"/>
      <c r="J55" s="3"/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 spans="2:207" x14ac:dyDescent="0.2">
      <c r="D56" t="s">
        <v>5</v>
      </c>
      <c r="E56" t="s">
        <v>1</v>
      </c>
      <c r="F56">
        <f>COUNT(M56:GJ56)</f>
        <v>100</v>
      </c>
      <c r="G56" s="3">
        <f>AVERAGE(M56:GJ56)</f>
        <v>48.605334549999981</v>
      </c>
      <c r="H56" s="3">
        <f>MAX(M56:GJ56)</f>
        <v>143.16778600000001</v>
      </c>
      <c r="I56" s="3">
        <f>MIN(M56:GJ56)</f>
        <v>30.863755999999999</v>
      </c>
      <c r="J56" s="3">
        <f>_xlfn.STDEV.P(M56:GJ56)</f>
        <v>29.647899370359728</v>
      </c>
      <c r="K56" s="3">
        <f>_xlfn.VAR.S(M56:GJ56)</f>
        <v>887.87670411613783</v>
      </c>
      <c r="M56" s="3">
        <v>33.442070000000001</v>
      </c>
      <c r="N56" s="3">
        <v>33.277493</v>
      </c>
      <c r="O56" s="3">
        <v>35.707141999999997</v>
      </c>
      <c r="P56" s="3">
        <v>32.504725999999998</v>
      </c>
      <c r="Q56" s="3">
        <v>33.395226000000001</v>
      </c>
      <c r="R56" s="3">
        <v>116.83824199999999</v>
      </c>
      <c r="S56" s="3">
        <v>39.257621999999998</v>
      </c>
      <c r="T56" s="3">
        <v>35.346530999999999</v>
      </c>
      <c r="U56" s="3">
        <v>34.504078</v>
      </c>
      <c r="V56" s="3">
        <v>37.661751000000002</v>
      </c>
      <c r="W56" s="3">
        <v>34.014350999999998</v>
      </c>
      <c r="X56" s="3">
        <v>35.239139999999999</v>
      </c>
      <c r="Y56" s="3">
        <v>35.934662000000003</v>
      </c>
      <c r="Z56" s="3">
        <v>37.959232</v>
      </c>
      <c r="AA56" s="3">
        <v>31.993016999999998</v>
      </c>
      <c r="AB56" s="3">
        <v>36.571055999999999</v>
      </c>
      <c r="AC56" s="3">
        <v>34.878352999999997</v>
      </c>
      <c r="AD56" s="3">
        <v>71.638289999999998</v>
      </c>
      <c r="AE56" s="3">
        <v>31.896132999999999</v>
      </c>
      <c r="AF56" s="3">
        <v>34.591610000000003</v>
      </c>
      <c r="AG56" s="3">
        <v>32.845984999999999</v>
      </c>
      <c r="AH56" s="3">
        <v>35.998843999999998</v>
      </c>
      <c r="AI56" s="3">
        <v>34.741439999999997</v>
      </c>
      <c r="AJ56" s="3">
        <v>35.162559999999999</v>
      </c>
      <c r="AK56" s="3">
        <v>37.317321999999997</v>
      </c>
      <c r="AL56" s="3">
        <v>35.148209000000001</v>
      </c>
      <c r="AM56" s="3">
        <v>34.466557000000002</v>
      </c>
      <c r="AN56" s="3">
        <v>33.393089000000003</v>
      </c>
      <c r="AO56" s="3">
        <v>118.989349</v>
      </c>
      <c r="AP56" s="3">
        <v>35.616528000000002</v>
      </c>
      <c r="AQ56" s="3">
        <v>104.51187899999999</v>
      </c>
      <c r="AR56" s="3">
        <v>33.143912999999998</v>
      </c>
      <c r="AS56" s="3">
        <v>38.724761999999998</v>
      </c>
      <c r="AT56" s="3">
        <v>33.299301</v>
      </c>
      <c r="AU56" s="3">
        <v>36.146712999999998</v>
      </c>
      <c r="AV56" s="3">
        <v>31.679096000000001</v>
      </c>
      <c r="AW56" s="3">
        <v>35.68121</v>
      </c>
      <c r="AX56" s="3">
        <v>34.165717999999998</v>
      </c>
      <c r="AY56" s="3">
        <v>35.183525000000003</v>
      </c>
      <c r="AZ56" s="3">
        <v>34.673839999999998</v>
      </c>
      <c r="BA56" s="3">
        <v>33.179516</v>
      </c>
      <c r="BB56" s="3">
        <v>35.799576000000002</v>
      </c>
      <c r="BC56" s="3">
        <v>123.10356899999999</v>
      </c>
      <c r="BD56" s="3">
        <v>33.895142</v>
      </c>
      <c r="BE56" s="3">
        <v>33.113899000000004</v>
      </c>
      <c r="BF56" s="3">
        <v>32.876655999999997</v>
      </c>
      <c r="BG56" s="3">
        <v>36.846671999999998</v>
      </c>
      <c r="BH56" s="3">
        <v>34.122463000000003</v>
      </c>
      <c r="BI56" s="3">
        <v>36.565136000000003</v>
      </c>
      <c r="BJ56" s="3">
        <v>34.016953000000001</v>
      </c>
      <c r="BK56" s="3">
        <v>38.205044000000001</v>
      </c>
      <c r="BL56" s="3">
        <v>32.359535000000001</v>
      </c>
      <c r="BM56" s="3">
        <v>33.634582999999999</v>
      </c>
      <c r="BN56" s="3">
        <v>143.16778600000001</v>
      </c>
      <c r="BO56" s="3">
        <v>34.556980000000003</v>
      </c>
      <c r="BP56" s="3">
        <v>111.263313</v>
      </c>
      <c r="BQ56" s="3">
        <v>31.759169</v>
      </c>
      <c r="BR56" s="3">
        <v>92.976401999999993</v>
      </c>
      <c r="BS56" s="3">
        <v>33.405673999999998</v>
      </c>
      <c r="BT56" s="3">
        <v>59.602623000000001</v>
      </c>
      <c r="BU56" s="3">
        <v>31.505796</v>
      </c>
      <c r="BV56" s="3">
        <v>132.89550800000001</v>
      </c>
      <c r="BW56" s="3">
        <v>35.369461000000001</v>
      </c>
      <c r="BX56" s="3">
        <v>35.438659999999999</v>
      </c>
      <c r="BY56" s="3">
        <v>33.641635999999998</v>
      </c>
      <c r="BZ56" s="3">
        <v>32.229336000000004</v>
      </c>
      <c r="CA56" s="3">
        <v>85.862267000000003</v>
      </c>
      <c r="CB56" s="3">
        <v>87.275620000000004</v>
      </c>
      <c r="CC56" s="3">
        <v>35.473163999999997</v>
      </c>
      <c r="CD56" s="3">
        <v>31.789072000000001</v>
      </c>
      <c r="CE56" s="3">
        <v>34.870766000000003</v>
      </c>
      <c r="CF56" s="3">
        <v>36.026916999999997</v>
      </c>
      <c r="CG56" s="3">
        <v>35.773743000000003</v>
      </c>
      <c r="CH56" s="3">
        <v>35.791114999999998</v>
      </c>
      <c r="CI56" s="3">
        <v>34.520378000000001</v>
      </c>
      <c r="CJ56" s="3">
        <v>34.958396999999998</v>
      </c>
      <c r="CK56" s="3">
        <v>34.903263000000003</v>
      </c>
      <c r="CL56" s="3">
        <v>34.457473999999998</v>
      </c>
      <c r="CM56" s="3">
        <v>113.81945</v>
      </c>
      <c r="CN56" s="3">
        <v>34.709152000000003</v>
      </c>
      <c r="CO56" s="3">
        <v>98.702376999999998</v>
      </c>
      <c r="CP56" s="3">
        <v>30.863755999999999</v>
      </c>
      <c r="CQ56" s="3">
        <v>90.867896999999999</v>
      </c>
      <c r="CR56" s="3">
        <v>34.981006999999998</v>
      </c>
      <c r="CS56" s="3">
        <v>97.682060000000007</v>
      </c>
      <c r="CT56" s="3">
        <v>33.451487999999998</v>
      </c>
      <c r="CU56" s="3">
        <v>128.19953899999999</v>
      </c>
      <c r="CV56" s="3">
        <v>33.872086000000003</v>
      </c>
      <c r="CW56" s="3">
        <v>35.937618000000001</v>
      </c>
      <c r="CX56" s="3">
        <v>33.422252999999998</v>
      </c>
      <c r="CY56" s="3">
        <v>115.34794599999999</v>
      </c>
      <c r="CZ56" s="3">
        <v>90.546059</v>
      </c>
      <c r="DA56" s="3">
        <v>115.751419</v>
      </c>
      <c r="DB56" s="3">
        <v>31.121200999999999</v>
      </c>
      <c r="DC56" s="3">
        <v>31.621071000000001</v>
      </c>
      <c r="DD56" s="3">
        <v>37.089633999999997</v>
      </c>
      <c r="DE56" s="3">
        <v>35.419936999999997</v>
      </c>
      <c r="DF56" s="3">
        <v>33.678218999999999</v>
      </c>
      <c r="DG56" s="3">
        <v>34.579219999999999</v>
      </c>
      <c r="DH56" s="3">
        <v>34.096237000000002</v>
      </c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 spans="2:207" x14ac:dyDescent="0.2"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 spans="2:207" x14ac:dyDescent="0.2">
      <c r="D58" t="s">
        <v>6</v>
      </c>
      <c r="E58" t="s">
        <v>1</v>
      </c>
      <c r="F58">
        <f>COUNT(M58:GJ58)</f>
        <v>100</v>
      </c>
      <c r="G58" s="3">
        <f>AVERAGE(M58:GJ58)</f>
        <v>63.474154770000013</v>
      </c>
      <c r="H58" s="3">
        <f>MAX(M58:GJ58)</f>
        <v>190.95519999999999</v>
      </c>
      <c r="I58" s="3">
        <f>MIN(M58:GJ58)</f>
        <v>33.101807000000001</v>
      </c>
      <c r="J58" s="3">
        <f>_xlfn.STDEV.P(M58:GJ58)</f>
        <v>48.163621485329578</v>
      </c>
      <c r="K58" s="3">
        <f>_xlfn.VAR.S(M58:GJ58)</f>
        <v>2343.166095537475</v>
      </c>
      <c r="M58" s="3">
        <v>35.015228</v>
      </c>
      <c r="N58" s="3">
        <v>53.97654</v>
      </c>
      <c r="O58" s="3">
        <v>33.959671</v>
      </c>
      <c r="P58" s="3">
        <v>35.024887</v>
      </c>
      <c r="Q58" s="3">
        <v>37.447498000000003</v>
      </c>
      <c r="R58" s="3">
        <v>36.300536999999998</v>
      </c>
      <c r="S58" s="3">
        <v>33.234881999999999</v>
      </c>
      <c r="T58" s="3">
        <v>38.192390000000003</v>
      </c>
      <c r="U58" s="3">
        <v>34.867125999999999</v>
      </c>
      <c r="V58" s="3">
        <v>37.243271</v>
      </c>
      <c r="W58" s="3">
        <v>39.397503</v>
      </c>
      <c r="X58" s="3">
        <v>35.184108999999999</v>
      </c>
      <c r="Y58" s="3">
        <v>38.931350999999999</v>
      </c>
      <c r="Z58" s="3">
        <v>54.445019000000002</v>
      </c>
      <c r="AA58" s="3">
        <v>36.412655000000001</v>
      </c>
      <c r="AB58" s="3">
        <v>34.807999000000002</v>
      </c>
      <c r="AC58" s="3">
        <v>34.406768999999997</v>
      </c>
      <c r="AD58" s="3">
        <v>33.315959999999997</v>
      </c>
      <c r="AE58" s="3">
        <v>36.172966000000002</v>
      </c>
      <c r="AF58" s="3">
        <v>35.014060999999998</v>
      </c>
      <c r="AG58" s="3">
        <v>40.817753000000003</v>
      </c>
      <c r="AH58" s="3">
        <v>143.642776</v>
      </c>
      <c r="AI58" s="3">
        <v>35.079951999999999</v>
      </c>
      <c r="AJ58" s="3">
        <v>33.609589</v>
      </c>
      <c r="AK58" s="3">
        <v>137.414963</v>
      </c>
      <c r="AL58" s="3">
        <v>39.278689999999997</v>
      </c>
      <c r="AM58" s="3">
        <v>181.26080300000001</v>
      </c>
      <c r="AN58" s="3">
        <v>35.445366</v>
      </c>
      <c r="AO58" s="3">
        <v>102.87653400000001</v>
      </c>
      <c r="AP58" s="3">
        <v>45.206898000000002</v>
      </c>
      <c r="AQ58" s="3">
        <v>36.072387999999997</v>
      </c>
      <c r="AR58" s="3">
        <v>34.877215999999997</v>
      </c>
      <c r="AS58" s="3">
        <v>38.639702</v>
      </c>
      <c r="AT58" s="3">
        <v>35.808639999999997</v>
      </c>
      <c r="AU58" s="3">
        <v>34.317135</v>
      </c>
      <c r="AV58" s="3">
        <v>37.742786000000002</v>
      </c>
      <c r="AW58" s="3">
        <v>33.488453</v>
      </c>
      <c r="AX58" s="3">
        <v>36.882305000000002</v>
      </c>
      <c r="AY58" s="3">
        <v>158.497726</v>
      </c>
      <c r="AZ58" s="3">
        <v>33.101807000000001</v>
      </c>
      <c r="BA58" s="3">
        <v>35.370078999999997</v>
      </c>
      <c r="BB58" s="3">
        <v>35.784785999999997</v>
      </c>
      <c r="BC58" s="3">
        <v>35.033515999999999</v>
      </c>
      <c r="BD58" s="3">
        <v>35.584094999999998</v>
      </c>
      <c r="BE58" s="3">
        <v>152.83746300000001</v>
      </c>
      <c r="BF58" s="3">
        <v>39.343910000000001</v>
      </c>
      <c r="BG58" s="3">
        <v>61.958072999999999</v>
      </c>
      <c r="BH58" s="3">
        <v>110.937057</v>
      </c>
      <c r="BI58" s="3">
        <v>37.983269</v>
      </c>
      <c r="BJ58" s="3">
        <v>172.122635</v>
      </c>
      <c r="BK58" s="3">
        <v>44.704456</v>
      </c>
      <c r="BL58" s="3">
        <v>35.795051999999998</v>
      </c>
      <c r="BM58" s="3">
        <v>36.753501999999997</v>
      </c>
      <c r="BN58" s="3">
        <v>66.273055999999997</v>
      </c>
      <c r="BO58" s="3">
        <v>108.460686</v>
      </c>
      <c r="BP58" s="3">
        <v>35.883761999999997</v>
      </c>
      <c r="BQ58" s="3">
        <v>34.207355</v>
      </c>
      <c r="BR58" s="3">
        <v>36.211390999999999</v>
      </c>
      <c r="BS58" s="3">
        <v>34.722735999999998</v>
      </c>
      <c r="BT58" s="3">
        <v>33.936332999999998</v>
      </c>
      <c r="BU58" s="3">
        <v>37.942115999999999</v>
      </c>
      <c r="BV58" s="3">
        <v>33.871932999999999</v>
      </c>
      <c r="BW58" s="3">
        <v>163.74357599999999</v>
      </c>
      <c r="BX58" s="3">
        <v>179.123932</v>
      </c>
      <c r="BY58" s="3">
        <v>34.353928000000003</v>
      </c>
      <c r="BZ58" s="3">
        <v>35.355086999999997</v>
      </c>
      <c r="CA58" s="3">
        <v>39.024386999999997</v>
      </c>
      <c r="CB58" s="3">
        <v>35.726078000000001</v>
      </c>
      <c r="CC58" s="3">
        <v>33.740310999999998</v>
      </c>
      <c r="CD58" s="3">
        <v>162.78971899999999</v>
      </c>
      <c r="CE58" s="3">
        <v>35.203837999999998</v>
      </c>
      <c r="CF58" s="3">
        <v>105.88748200000001</v>
      </c>
      <c r="CG58" s="3">
        <v>150.581726</v>
      </c>
      <c r="CH58" s="3">
        <v>33.504406000000003</v>
      </c>
      <c r="CI58" s="3">
        <v>167.16598500000001</v>
      </c>
      <c r="CJ58" s="3">
        <v>37.127056000000003</v>
      </c>
      <c r="CK58" s="3">
        <v>129.96489</v>
      </c>
      <c r="CL58" s="3">
        <v>36.052460000000004</v>
      </c>
      <c r="CM58" s="3">
        <v>180.62683100000001</v>
      </c>
      <c r="CN58" s="3">
        <v>126.115753</v>
      </c>
      <c r="CO58" s="3">
        <v>36.200214000000003</v>
      </c>
      <c r="CP58" s="3">
        <v>33.567180999999998</v>
      </c>
      <c r="CQ58" s="3">
        <v>35.313918999999999</v>
      </c>
      <c r="CR58" s="3">
        <v>33.704487</v>
      </c>
      <c r="CS58" s="3">
        <v>35.888477000000002</v>
      </c>
      <c r="CT58" s="3">
        <v>35.309314999999998</v>
      </c>
      <c r="CU58" s="3">
        <v>33.857650999999997</v>
      </c>
      <c r="CV58" s="3">
        <v>131.77877799999999</v>
      </c>
      <c r="CW58" s="3">
        <v>149.394867</v>
      </c>
      <c r="CX58" s="3">
        <v>36.802486000000002</v>
      </c>
      <c r="CY58" s="3">
        <v>35.088509000000002</v>
      </c>
      <c r="CZ58" s="3">
        <v>36.928485999999999</v>
      </c>
      <c r="DA58" s="3">
        <v>41.646450000000002</v>
      </c>
      <c r="DB58" s="3">
        <v>35.469208000000002</v>
      </c>
      <c r="DC58" s="3">
        <v>102.47834</v>
      </c>
      <c r="DD58" s="3">
        <v>34.77581</v>
      </c>
      <c r="DE58" s="3">
        <v>99.762343999999999</v>
      </c>
      <c r="DF58" s="3">
        <v>190.95519999999999</v>
      </c>
      <c r="DG58" s="3">
        <v>70.535217000000003</v>
      </c>
      <c r="DH58" s="3">
        <v>168.741928</v>
      </c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 spans="2:207" x14ac:dyDescent="0.2">
      <c r="M59" s="3"/>
      <c r="N59" s="3"/>
    </row>
    <row r="61" spans="2:207" x14ac:dyDescent="0.2">
      <c r="B61" t="s">
        <v>60</v>
      </c>
      <c r="D61" s="1" t="s">
        <v>37</v>
      </c>
    </row>
    <row r="62" spans="2:207" x14ac:dyDescent="0.2">
      <c r="B62" s="2" t="s">
        <v>36</v>
      </c>
      <c r="D62" t="s">
        <v>3</v>
      </c>
      <c r="E62" t="s">
        <v>1</v>
      </c>
      <c r="F62">
        <f>COUNT(M62:GJ62)</f>
        <v>100</v>
      </c>
      <c r="G62" s="3">
        <f>AVERAGE(M62:GJ62)</f>
        <v>98.303891739999969</v>
      </c>
      <c r="H62" s="3">
        <f>MAX(M62:GJ62)</f>
        <v>147.85192900000001</v>
      </c>
      <c r="I62" s="3">
        <f>MIN(M62:GJ62)</f>
        <v>55.535102999999999</v>
      </c>
      <c r="J62" s="3">
        <f>_xlfn.STDEV.P(M62:GJ62)</f>
        <v>18.815392706680445</v>
      </c>
      <c r="K62" s="3">
        <f>_xlfn.VAR.S(M62:GJ62)</f>
        <v>357.59495222889302</v>
      </c>
      <c r="M62" s="3">
        <v>102.192505</v>
      </c>
      <c r="N62" s="3">
        <v>97.326522999999995</v>
      </c>
      <c r="O62" s="3">
        <v>98.455475000000007</v>
      </c>
      <c r="P62" s="3">
        <v>76.172370999999998</v>
      </c>
      <c r="Q62" s="3">
        <v>108.112511</v>
      </c>
      <c r="R62" s="3">
        <v>116.45547500000001</v>
      </c>
      <c r="S62" s="3">
        <v>93.776566000000003</v>
      </c>
      <c r="T62" s="3">
        <v>111.091629</v>
      </c>
      <c r="U62" s="3">
        <v>95.642250000000004</v>
      </c>
      <c r="V62" s="3">
        <v>109.27143100000001</v>
      </c>
      <c r="W62" s="3">
        <v>67.920310999999998</v>
      </c>
      <c r="X62" s="3">
        <v>125.94122299999999</v>
      </c>
      <c r="Y62" s="3">
        <v>102.19165</v>
      </c>
      <c r="Z62" s="3">
        <v>104.875114</v>
      </c>
      <c r="AA62" s="3">
        <v>112.969307</v>
      </c>
      <c r="AB62" s="3">
        <v>75.671654000000004</v>
      </c>
      <c r="AC62" s="3">
        <v>117.09638200000001</v>
      </c>
      <c r="AD62" s="3">
        <v>87.304755999999998</v>
      </c>
      <c r="AE62" s="3">
        <v>73.114525</v>
      </c>
      <c r="AF62" s="3">
        <v>103.269058</v>
      </c>
      <c r="AG62" s="3">
        <v>82.164101000000002</v>
      </c>
      <c r="AH62" s="3">
        <v>64.396782000000002</v>
      </c>
      <c r="AI62" s="3">
        <v>104.915237</v>
      </c>
      <c r="AJ62" s="3">
        <v>93.640799999999999</v>
      </c>
      <c r="AK62" s="3">
        <v>101.568336</v>
      </c>
      <c r="AL62" s="3">
        <v>106.405495</v>
      </c>
      <c r="AM62" s="3">
        <v>101.840538</v>
      </c>
      <c r="AN62" s="3">
        <v>139.11047400000001</v>
      </c>
      <c r="AO62" s="3">
        <v>103.831459</v>
      </c>
      <c r="AP62" s="3">
        <v>89.080162000000001</v>
      </c>
      <c r="AQ62" s="3">
        <v>96.697083000000006</v>
      </c>
      <c r="AR62" s="3">
        <v>94.087631000000002</v>
      </c>
      <c r="AS62" s="3">
        <v>101.26082599999999</v>
      </c>
      <c r="AT62" s="3">
        <v>97.820580000000007</v>
      </c>
      <c r="AU62" s="3">
        <v>104.805412</v>
      </c>
      <c r="AV62" s="3">
        <v>93.655327</v>
      </c>
      <c r="AW62" s="3">
        <v>92.202552999999995</v>
      </c>
      <c r="AX62" s="3">
        <v>97.325385999999995</v>
      </c>
      <c r="AY62" s="3">
        <v>117.909935</v>
      </c>
      <c r="AZ62" s="3">
        <v>109.73481</v>
      </c>
      <c r="BA62" s="3">
        <v>102.501099</v>
      </c>
      <c r="BB62" s="3">
        <v>111.276619</v>
      </c>
      <c r="BC62" s="3">
        <v>109.571251</v>
      </c>
      <c r="BD62" s="3">
        <v>87.291138000000004</v>
      </c>
      <c r="BE62" s="3">
        <v>100.928848</v>
      </c>
      <c r="BF62" s="3">
        <v>109.409828</v>
      </c>
      <c r="BG62" s="3">
        <v>71.031204000000002</v>
      </c>
      <c r="BH62" s="3">
        <v>83.619438000000002</v>
      </c>
      <c r="BI62" s="3">
        <v>96.698668999999995</v>
      </c>
      <c r="BJ62" s="3">
        <v>59.129517</v>
      </c>
      <c r="BK62" s="3">
        <v>63.555191000000001</v>
      </c>
      <c r="BL62" s="3">
        <v>85.345153999999994</v>
      </c>
      <c r="BM62" s="3">
        <v>108.169189</v>
      </c>
      <c r="BN62" s="3">
        <v>121.70694</v>
      </c>
      <c r="BO62" s="3">
        <v>108.281212</v>
      </c>
      <c r="BP62" s="3">
        <v>87.324798999999999</v>
      </c>
      <c r="BQ62" s="3">
        <v>80.469230999999994</v>
      </c>
      <c r="BR62" s="3">
        <v>133.94281000000001</v>
      </c>
      <c r="BS62" s="3">
        <v>80.539473999999998</v>
      </c>
      <c r="BT62" s="3">
        <v>55.535102999999999</v>
      </c>
      <c r="BU62" s="3">
        <v>110.79040500000001</v>
      </c>
      <c r="BV62" s="3">
        <v>147.85192900000001</v>
      </c>
      <c r="BW62" s="3">
        <v>133.700287</v>
      </c>
      <c r="BX62" s="3">
        <v>99.968170000000001</v>
      </c>
      <c r="BY62" s="3">
        <v>90.840339999999998</v>
      </c>
      <c r="BZ62" s="3">
        <v>60.074848000000003</v>
      </c>
      <c r="CA62" s="3">
        <v>138.859802</v>
      </c>
      <c r="CB62" s="3">
        <v>129.047607</v>
      </c>
      <c r="CC62" s="3">
        <v>97.956787000000006</v>
      </c>
      <c r="CD62" s="3">
        <v>72.358749000000003</v>
      </c>
      <c r="CE62" s="3">
        <v>105.771111</v>
      </c>
      <c r="CF62" s="3">
        <v>89.428886000000006</v>
      </c>
      <c r="CG62" s="3">
        <v>116.582802</v>
      </c>
      <c r="CH62" s="3">
        <v>80.104607000000001</v>
      </c>
      <c r="CI62" s="3">
        <v>103.472351</v>
      </c>
      <c r="CJ62" s="3">
        <v>89.287941000000004</v>
      </c>
      <c r="CK62" s="3">
        <v>103.141426</v>
      </c>
      <c r="CL62" s="3">
        <v>118.350548</v>
      </c>
      <c r="CM62" s="3">
        <v>107.822388</v>
      </c>
      <c r="CN62" s="3">
        <v>129.49494899999999</v>
      </c>
      <c r="CO62" s="3">
        <v>90.926795999999996</v>
      </c>
      <c r="CP62" s="3">
        <v>67.945808</v>
      </c>
      <c r="CQ62" s="3">
        <v>90.880363000000003</v>
      </c>
      <c r="CR62" s="3">
        <v>101.851799</v>
      </c>
      <c r="CS62" s="3">
        <v>110.92961099999999</v>
      </c>
      <c r="CT62" s="3">
        <v>94.659439000000006</v>
      </c>
      <c r="CU62" s="3">
        <v>133.53367600000001</v>
      </c>
      <c r="CV62" s="3">
        <v>63.643909000000001</v>
      </c>
      <c r="CW62" s="3">
        <v>102.82711</v>
      </c>
      <c r="CX62" s="3">
        <v>126.745384</v>
      </c>
      <c r="CY62" s="3">
        <v>93.628310999999997</v>
      </c>
      <c r="CZ62" s="3">
        <v>99.471123000000006</v>
      </c>
      <c r="DA62" s="3">
        <v>107.87670900000001</v>
      </c>
      <c r="DB62" s="3">
        <v>75.726219</v>
      </c>
      <c r="DC62" s="3">
        <v>104.609444</v>
      </c>
      <c r="DD62" s="3">
        <v>77.349266</v>
      </c>
      <c r="DE62" s="3">
        <v>77.844093000000001</v>
      </c>
      <c r="DF62" s="3">
        <v>86.650536000000002</v>
      </c>
      <c r="DG62" s="3">
        <v>86.580673000000004</v>
      </c>
      <c r="DH62" s="3">
        <v>84.172614999999993</v>
      </c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 spans="2:207" x14ac:dyDescent="0.2">
      <c r="B63" s="2" t="s">
        <v>17</v>
      </c>
      <c r="G63" s="3"/>
      <c r="H63" s="3"/>
      <c r="I63" s="3"/>
      <c r="J63" s="3"/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  <row r="64" spans="2:207" x14ac:dyDescent="0.2">
      <c r="B64" s="2" t="s">
        <v>18</v>
      </c>
      <c r="D64" t="s">
        <v>4</v>
      </c>
      <c r="E64" t="s">
        <v>1</v>
      </c>
      <c r="F64">
        <f>COUNT(M64:GJ64)</f>
        <v>100</v>
      </c>
      <c r="G64" s="3">
        <f>AVERAGE(M64:GJ64)</f>
        <v>50.750195640000008</v>
      </c>
      <c r="H64" s="3">
        <f>MAX(M64:GJ64)</f>
        <v>67.851067</v>
      </c>
      <c r="I64" s="3">
        <f>MIN(M64:GJ64)</f>
        <v>33.731827000000003</v>
      </c>
      <c r="J64" s="3">
        <f>_xlfn.STDEV.P(M64:GJ64)</f>
        <v>7.2600169550770968</v>
      </c>
      <c r="K64" s="3">
        <f>_xlfn.VAR.S(M64:GJ64)</f>
        <v>53.240248674754646</v>
      </c>
      <c r="M64" s="3">
        <v>47.268608</v>
      </c>
      <c r="N64" s="3">
        <v>43.772044999999999</v>
      </c>
      <c r="O64" s="3">
        <v>59.194499999999998</v>
      </c>
      <c r="P64" s="3">
        <v>56.414439999999999</v>
      </c>
      <c r="Q64" s="3">
        <v>52.414561999999997</v>
      </c>
      <c r="R64" s="3">
        <v>64.170417999999998</v>
      </c>
      <c r="S64" s="3">
        <v>64.066199999999995</v>
      </c>
      <c r="T64" s="3">
        <v>43.160117999999997</v>
      </c>
      <c r="U64" s="3">
        <v>61.506560999999998</v>
      </c>
      <c r="V64" s="3">
        <v>47.961300000000001</v>
      </c>
      <c r="W64" s="3">
        <v>51.538482999999999</v>
      </c>
      <c r="X64" s="3">
        <v>47.151211000000004</v>
      </c>
      <c r="Y64" s="3">
        <v>49.822181999999998</v>
      </c>
      <c r="Z64" s="3">
        <v>48.392467000000003</v>
      </c>
      <c r="AA64" s="3">
        <v>44.046776000000001</v>
      </c>
      <c r="AB64" s="3">
        <v>51.523445000000002</v>
      </c>
      <c r="AC64" s="3">
        <v>35.208561000000003</v>
      </c>
      <c r="AD64" s="3">
        <v>40.386211000000003</v>
      </c>
      <c r="AE64" s="3">
        <v>40.627594000000002</v>
      </c>
      <c r="AF64" s="3">
        <v>51.350940999999999</v>
      </c>
      <c r="AG64" s="3">
        <v>53.944408000000003</v>
      </c>
      <c r="AH64" s="3">
        <v>58.348880999999999</v>
      </c>
      <c r="AI64" s="3">
        <v>42.686905000000003</v>
      </c>
      <c r="AJ64" s="3">
        <v>45.826427000000002</v>
      </c>
      <c r="AK64" s="3">
        <v>55.627048000000002</v>
      </c>
      <c r="AL64" s="3">
        <v>54.754596999999997</v>
      </c>
      <c r="AM64" s="3">
        <v>37.382019</v>
      </c>
      <c r="AN64" s="3">
        <v>67.851067</v>
      </c>
      <c r="AO64" s="3">
        <v>43.969195999999997</v>
      </c>
      <c r="AP64" s="3">
        <v>49.900039999999997</v>
      </c>
      <c r="AQ64" s="3">
        <v>53.768619999999999</v>
      </c>
      <c r="AR64" s="3">
        <v>55.589294000000002</v>
      </c>
      <c r="AS64" s="3">
        <v>57.751162999999998</v>
      </c>
      <c r="AT64" s="3">
        <v>55.312199</v>
      </c>
      <c r="AU64" s="3">
        <v>39.853476999999998</v>
      </c>
      <c r="AV64" s="3">
        <v>39.959507000000002</v>
      </c>
      <c r="AW64" s="3">
        <v>57.460636000000001</v>
      </c>
      <c r="AX64" s="3">
        <v>44.730891999999997</v>
      </c>
      <c r="AY64" s="3">
        <v>54.111691</v>
      </c>
      <c r="AZ64" s="3">
        <v>42.289718999999998</v>
      </c>
      <c r="BA64" s="3">
        <v>49.323394999999998</v>
      </c>
      <c r="BB64" s="3">
        <v>33.731827000000003</v>
      </c>
      <c r="BC64" s="3">
        <v>46.815910000000002</v>
      </c>
      <c r="BD64" s="3">
        <v>50.667133</v>
      </c>
      <c r="BE64" s="3">
        <v>53.650978000000002</v>
      </c>
      <c r="BF64" s="3">
        <v>58.929535000000001</v>
      </c>
      <c r="BG64" s="3">
        <v>47.312237000000003</v>
      </c>
      <c r="BH64" s="3">
        <v>36.027583999999997</v>
      </c>
      <c r="BI64" s="3">
        <v>43.289146000000002</v>
      </c>
      <c r="BJ64" s="3">
        <v>60.645015999999998</v>
      </c>
      <c r="BK64" s="3">
        <v>49.256881999999997</v>
      </c>
      <c r="BL64" s="3">
        <v>53.252254000000001</v>
      </c>
      <c r="BM64" s="3">
        <v>57.192574</v>
      </c>
      <c r="BN64" s="3">
        <v>61.987175000000001</v>
      </c>
      <c r="BO64" s="3">
        <v>53.280642999999998</v>
      </c>
      <c r="BP64" s="3">
        <v>55.601959000000001</v>
      </c>
      <c r="BQ64" s="3">
        <v>62.536140000000003</v>
      </c>
      <c r="BR64" s="3">
        <v>55.134833999999998</v>
      </c>
      <c r="BS64" s="3">
        <v>46.788139000000001</v>
      </c>
      <c r="BT64" s="3">
        <v>42.557822999999999</v>
      </c>
      <c r="BU64" s="3">
        <v>46.584446</v>
      </c>
      <c r="BV64" s="3">
        <v>46.888976999999997</v>
      </c>
      <c r="BW64" s="3">
        <v>49.403354999999998</v>
      </c>
      <c r="BX64" s="3">
        <v>46.857750000000003</v>
      </c>
      <c r="BY64" s="3">
        <v>55.736319999999999</v>
      </c>
      <c r="BZ64" s="3">
        <v>58.264907999999998</v>
      </c>
      <c r="CA64" s="3">
        <v>56.209266999999997</v>
      </c>
      <c r="CB64" s="3">
        <v>57.499153</v>
      </c>
      <c r="CC64" s="3">
        <v>45.985835999999999</v>
      </c>
      <c r="CD64" s="3">
        <v>45.992283</v>
      </c>
      <c r="CE64" s="3">
        <v>45.615043999999997</v>
      </c>
      <c r="CF64" s="3">
        <v>45.571812000000001</v>
      </c>
      <c r="CG64" s="3">
        <v>60.280678000000002</v>
      </c>
      <c r="CH64" s="3">
        <v>54.329127999999997</v>
      </c>
      <c r="CI64" s="3">
        <v>45.138644999999997</v>
      </c>
      <c r="CJ64" s="3">
        <v>44.525886999999997</v>
      </c>
      <c r="CK64" s="3">
        <v>60.253467999999998</v>
      </c>
      <c r="CL64" s="3">
        <v>42.512501</v>
      </c>
      <c r="CM64" s="3">
        <v>51.419055999999998</v>
      </c>
      <c r="CN64" s="3">
        <v>50.602505000000001</v>
      </c>
      <c r="CO64" s="3">
        <v>53.429115000000003</v>
      </c>
      <c r="CP64" s="3">
        <v>54.346209999999999</v>
      </c>
      <c r="CQ64" s="3">
        <v>55.256518999999997</v>
      </c>
      <c r="CR64" s="3">
        <v>44.232486999999999</v>
      </c>
      <c r="CS64" s="3">
        <v>44.597214000000001</v>
      </c>
      <c r="CT64" s="3">
        <v>52.010117000000001</v>
      </c>
      <c r="CU64" s="3">
        <v>47.498851999999999</v>
      </c>
      <c r="CV64" s="3">
        <v>46.499972999999997</v>
      </c>
      <c r="CW64" s="3">
        <v>67.377280999999996</v>
      </c>
      <c r="CX64" s="3">
        <v>57.695335</v>
      </c>
      <c r="CY64" s="3">
        <v>46.015532999999998</v>
      </c>
      <c r="CZ64" s="3">
        <v>51.453910999999998</v>
      </c>
      <c r="DA64" s="3">
        <v>55.302180999999997</v>
      </c>
      <c r="DB64" s="3">
        <v>55.358387</v>
      </c>
      <c r="DC64" s="3">
        <v>53.602921000000002</v>
      </c>
      <c r="DD64" s="3">
        <v>61.643295000000002</v>
      </c>
      <c r="DE64" s="3">
        <v>59.421219000000001</v>
      </c>
      <c r="DF64" s="3">
        <v>37.173931000000003</v>
      </c>
      <c r="DG64" s="3">
        <v>43.306389000000003</v>
      </c>
      <c r="DH64" s="3">
        <v>50.052081999999999</v>
      </c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</row>
    <row r="65" spans="2:207" x14ac:dyDescent="0.2">
      <c r="G65" s="3"/>
      <c r="H65" s="3"/>
      <c r="I65" s="3"/>
      <c r="J65" s="3"/>
      <c r="K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</row>
    <row r="66" spans="2:207" x14ac:dyDescent="0.2">
      <c r="D66" t="s">
        <v>2</v>
      </c>
      <c r="E66" t="s">
        <v>1</v>
      </c>
      <c r="F66">
        <f>COUNT(M66:GJ66)</f>
        <v>100</v>
      </c>
      <c r="G66" s="3">
        <f>AVERAGE(M66:GJ66)</f>
        <v>67.10243665000003</v>
      </c>
      <c r="H66" s="3">
        <f>MAX(M66:GJ66)</f>
        <v>112.510941</v>
      </c>
      <c r="I66" s="3">
        <f>MIN(M66:GJ66)</f>
        <v>49.409885000000003</v>
      </c>
      <c r="J66" s="3">
        <f>_xlfn.STDEV.P(M66:GJ66)</f>
        <v>14.232870175279718</v>
      </c>
      <c r="K66" s="3">
        <f>_xlfn.VAR.S(M66:GJ66)</f>
        <v>204.62080144077467</v>
      </c>
      <c r="M66" s="3">
        <v>56.221339999999998</v>
      </c>
      <c r="N66" s="3">
        <v>70.690712000000005</v>
      </c>
      <c r="O66" s="3">
        <v>61.844665999999997</v>
      </c>
      <c r="P66" s="3">
        <v>63.062359000000001</v>
      </c>
      <c r="Q66" s="3">
        <v>59.438136999999998</v>
      </c>
      <c r="R66" s="3">
        <v>59.139740000000003</v>
      </c>
      <c r="S66" s="3">
        <v>61.322701000000002</v>
      </c>
      <c r="T66" s="3">
        <v>49.815716000000002</v>
      </c>
      <c r="U66" s="3">
        <v>62.569243999999998</v>
      </c>
      <c r="V66" s="3">
        <v>68.366928000000001</v>
      </c>
      <c r="W66" s="3">
        <v>60.129440000000002</v>
      </c>
      <c r="X66" s="3">
        <v>60.734969999999997</v>
      </c>
      <c r="Y66" s="3">
        <v>60.615448000000001</v>
      </c>
      <c r="Z66" s="3">
        <v>74.302811000000005</v>
      </c>
      <c r="AA66" s="3">
        <v>57.394680000000001</v>
      </c>
      <c r="AB66" s="3">
        <v>64.77758</v>
      </c>
      <c r="AC66" s="3">
        <v>56.640968000000001</v>
      </c>
      <c r="AD66" s="3">
        <v>63.567745000000002</v>
      </c>
      <c r="AE66" s="3">
        <v>55.725158999999998</v>
      </c>
      <c r="AF66" s="3">
        <v>68.726662000000005</v>
      </c>
      <c r="AG66" s="3">
        <v>65.512878000000001</v>
      </c>
      <c r="AH66" s="3">
        <v>58.380192000000001</v>
      </c>
      <c r="AI66" s="3">
        <v>57.601990000000001</v>
      </c>
      <c r="AJ66" s="3">
        <v>67.397011000000006</v>
      </c>
      <c r="AK66" s="3">
        <v>53.861046000000002</v>
      </c>
      <c r="AL66" s="3">
        <v>55.251922999999998</v>
      </c>
      <c r="AM66" s="3">
        <v>105.234825</v>
      </c>
      <c r="AN66" s="3">
        <v>67.785385000000005</v>
      </c>
      <c r="AO66" s="3">
        <v>57.282516000000001</v>
      </c>
      <c r="AP66" s="3">
        <v>66.350860999999995</v>
      </c>
      <c r="AQ66" s="3">
        <v>65.169799999999995</v>
      </c>
      <c r="AR66" s="3">
        <v>62.696711999999998</v>
      </c>
      <c r="AS66" s="3">
        <v>52.049033999999999</v>
      </c>
      <c r="AT66" s="3">
        <v>70.627617000000001</v>
      </c>
      <c r="AU66" s="3">
        <v>68.435860000000005</v>
      </c>
      <c r="AV66" s="3">
        <v>93.613731000000001</v>
      </c>
      <c r="AW66" s="3">
        <v>67.679062000000002</v>
      </c>
      <c r="AX66" s="3">
        <v>65.677582000000001</v>
      </c>
      <c r="AY66" s="3">
        <v>75.408271999999997</v>
      </c>
      <c r="AZ66" s="3">
        <v>60.831767999999997</v>
      </c>
      <c r="BA66" s="3">
        <v>63.409939000000001</v>
      </c>
      <c r="BB66" s="3">
        <v>59.048817</v>
      </c>
      <c r="BC66" s="3">
        <v>68.845802000000006</v>
      </c>
      <c r="BD66" s="3">
        <v>54.106242999999999</v>
      </c>
      <c r="BE66" s="3">
        <v>65.721664000000004</v>
      </c>
      <c r="BF66" s="3">
        <v>69.421111999999994</v>
      </c>
      <c r="BG66" s="3">
        <v>68.903557000000006</v>
      </c>
      <c r="BH66" s="3">
        <v>50.649712000000001</v>
      </c>
      <c r="BI66" s="3">
        <v>79.632476999999994</v>
      </c>
      <c r="BJ66" s="3">
        <v>50.802672999999999</v>
      </c>
      <c r="BK66" s="3">
        <v>55.123702999999999</v>
      </c>
      <c r="BL66" s="3">
        <v>71.129013</v>
      </c>
      <c r="BM66" s="3">
        <v>66.572097999999997</v>
      </c>
      <c r="BN66" s="3">
        <v>60.975982999999999</v>
      </c>
      <c r="BO66" s="3">
        <v>58.755974000000002</v>
      </c>
      <c r="BP66" s="3">
        <v>62.366165000000002</v>
      </c>
      <c r="BQ66" s="3">
        <v>67.505370999999997</v>
      </c>
      <c r="BR66" s="3">
        <v>49.409885000000003</v>
      </c>
      <c r="BS66" s="3">
        <v>98.727836999999994</v>
      </c>
      <c r="BT66" s="3">
        <v>88.908974000000001</v>
      </c>
      <c r="BU66" s="3">
        <v>80.914330000000007</v>
      </c>
      <c r="BV66" s="3">
        <v>66.513580000000005</v>
      </c>
      <c r="BW66" s="3">
        <v>79.509383999999997</v>
      </c>
      <c r="BX66" s="3">
        <v>105.11236599999999</v>
      </c>
      <c r="BY66" s="3">
        <v>55.438057000000001</v>
      </c>
      <c r="BZ66" s="3">
        <v>49.971378000000001</v>
      </c>
      <c r="CA66" s="3">
        <v>53.559272999999997</v>
      </c>
      <c r="CB66" s="3">
        <v>62.416969000000002</v>
      </c>
      <c r="CC66" s="3">
        <v>50.419716000000001</v>
      </c>
      <c r="CD66" s="3">
        <v>64.978415999999996</v>
      </c>
      <c r="CE66" s="3">
        <v>67.752364999999998</v>
      </c>
      <c r="CF66" s="3">
        <v>80.848236</v>
      </c>
      <c r="CG66" s="3">
        <v>50.249977000000001</v>
      </c>
      <c r="CH66" s="3">
        <v>104.42506400000001</v>
      </c>
      <c r="CI66" s="3">
        <v>59.615527999999998</v>
      </c>
      <c r="CJ66" s="3">
        <v>54.639525999999996</v>
      </c>
      <c r="CK66" s="3">
        <v>100.449242</v>
      </c>
      <c r="CL66" s="3">
        <v>73.831963000000002</v>
      </c>
      <c r="CM66" s="3">
        <v>78.383606</v>
      </c>
      <c r="CN66" s="3">
        <v>52.710484000000001</v>
      </c>
      <c r="CO66" s="3">
        <v>66.548339999999996</v>
      </c>
      <c r="CP66" s="3">
        <v>63.120643999999999</v>
      </c>
      <c r="CQ66" s="3">
        <v>52.788455999999996</v>
      </c>
      <c r="CR66" s="3">
        <v>91.393722999999994</v>
      </c>
      <c r="CS66" s="3">
        <v>81.354491999999993</v>
      </c>
      <c r="CT66" s="3">
        <v>90.125007999999994</v>
      </c>
      <c r="CU66" s="3">
        <v>64.514160000000004</v>
      </c>
      <c r="CV66" s="3">
        <v>80.378928999999999</v>
      </c>
      <c r="CW66" s="3">
        <v>112.510941</v>
      </c>
      <c r="CX66" s="3">
        <v>57.012141999999997</v>
      </c>
      <c r="CY66" s="3">
        <v>52.710293</v>
      </c>
      <c r="CZ66" s="3">
        <v>54.193420000000003</v>
      </c>
      <c r="DA66" s="3">
        <v>66.740195999999997</v>
      </c>
      <c r="DB66" s="3">
        <v>53.569046</v>
      </c>
      <c r="DC66" s="3">
        <v>107.135231</v>
      </c>
      <c r="DD66" s="3">
        <v>75.385361000000003</v>
      </c>
      <c r="DE66" s="3">
        <v>74.218826000000007</v>
      </c>
      <c r="DF66" s="3">
        <v>57.600558999999997</v>
      </c>
      <c r="DG66" s="3">
        <v>81.494452999999993</v>
      </c>
      <c r="DH66" s="3">
        <v>53.757914999999997</v>
      </c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</row>
    <row r="67" spans="2:207" x14ac:dyDescent="0.2">
      <c r="G67" s="3"/>
      <c r="H67" s="3"/>
      <c r="I67" s="3"/>
      <c r="J67" s="3"/>
      <c r="K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</row>
    <row r="68" spans="2:207" x14ac:dyDescent="0.2">
      <c r="D68" t="s">
        <v>5</v>
      </c>
      <c r="E68" t="s">
        <v>1</v>
      </c>
      <c r="F68">
        <f>COUNT(M68:GJ68)</f>
        <v>100</v>
      </c>
      <c r="G68" s="3">
        <f>AVERAGE(M68:GJ68)</f>
        <v>37.845117289999997</v>
      </c>
      <c r="H68" s="3">
        <f>MAX(M68:GJ68)</f>
        <v>85.089591999999996</v>
      </c>
      <c r="I68" s="3">
        <f>MIN(M68:GJ68)</f>
        <v>20.422964</v>
      </c>
      <c r="J68" s="3">
        <f>_xlfn.STDEV.P(M68:GJ68)</f>
        <v>14.630900480326387</v>
      </c>
      <c r="K68" s="3">
        <f>_xlfn.VAR.S(M68:GJ68)</f>
        <v>216.22550390425758</v>
      </c>
      <c r="M68" s="3">
        <v>37.783042999999999</v>
      </c>
      <c r="N68" s="3">
        <v>29.534621999999999</v>
      </c>
      <c r="O68" s="3">
        <v>29.788751999999999</v>
      </c>
      <c r="P68" s="3">
        <v>32.965752000000002</v>
      </c>
      <c r="Q68" s="3">
        <v>34.762309999999999</v>
      </c>
      <c r="R68" s="3">
        <v>67.698798999999994</v>
      </c>
      <c r="S68" s="3">
        <v>28.860889</v>
      </c>
      <c r="T68" s="3">
        <v>24.858473</v>
      </c>
      <c r="U68" s="3">
        <v>37.621208000000003</v>
      </c>
      <c r="V68" s="3">
        <v>27.278169999999999</v>
      </c>
      <c r="W68" s="3">
        <v>26.793475999999998</v>
      </c>
      <c r="X68" s="3">
        <v>24.699251</v>
      </c>
      <c r="Y68" s="3">
        <v>41.969512999999999</v>
      </c>
      <c r="Z68" s="3">
        <v>28.81315</v>
      </c>
      <c r="AA68" s="3">
        <v>42.092483999999999</v>
      </c>
      <c r="AB68" s="3">
        <v>29.601295</v>
      </c>
      <c r="AC68" s="3">
        <v>31.679770999999999</v>
      </c>
      <c r="AD68" s="3">
        <v>45.148617000000002</v>
      </c>
      <c r="AE68" s="3">
        <v>39.123569000000003</v>
      </c>
      <c r="AF68" s="3">
        <v>35.262385999999999</v>
      </c>
      <c r="AG68" s="3">
        <v>35.794063999999999</v>
      </c>
      <c r="AH68" s="3">
        <v>29.291620000000002</v>
      </c>
      <c r="AI68" s="3">
        <v>35.531246000000003</v>
      </c>
      <c r="AJ68" s="3">
        <v>31.720714999999998</v>
      </c>
      <c r="AK68" s="3">
        <v>31.177402000000001</v>
      </c>
      <c r="AL68" s="3">
        <v>34.060085000000001</v>
      </c>
      <c r="AM68" s="3">
        <v>26.659475</v>
      </c>
      <c r="AN68" s="3">
        <v>29.601385000000001</v>
      </c>
      <c r="AO68" s="3">
        <v>78.335410999999993</v>
      </c>
      <c r="AP68" s="3">
        <v>27.961517000000001</v>
      </c>
      <c r="AQ68" s="3">
        <v>60.753971</v>
      </c>
      <c r="AR68" s="3">
        <v>21.456620999999998</v>
      </c>
      <c r="AS68" s="3">
        <v>26.616258999999999</v>
      </c>
      <c r="AT68" s="3">
        <v>35.51923</v>
      </c>
      <c r="AU68" s="3">
        <v>21.298141000000001</v>
      </c>
      <c r="AV68" s="3">
        <v>23.643242000000001</v>
      </c>
      <c r="AW68" s="3">
        <v>24.627369000000002</v>
      </c>
      <c r="AX68" s="3">
        <v>29.312483</v>
      </c>
      <c r="AY68" s="3">
        <v>28.377473999999999</v>
      </c>
      <c r="AZ68" s="3">
        <v>38.131405000000001</v>
      </c>
      <c r="BA68" s="3">
        <v>40.120280999999999</v>
      </c>
      <c r="BB68" s="3">
        <v>24.740231000000001</v>
      </c>
      <c r="BC68" s="3">
        <v>76.064025999999998</v>
      </c>
      <c r="BD68" s="3">
        <v>32.785465000000002</v>
      </c>
      <c r="BE68" s="3">
        <v>38.806258999999997</v>
      </c>
      <c r="BF68" s="3">
        <v>37.869030000000002</v>
      </c>
      <c r="BG68" s="3">
        <v>34.605193999999997</v>
      </c>
      <c r="BH68" s="3">
        <v>40.901470000000003</v>
      </c>
      <c r="BI68" s="3">
        <v>41.033915999999998</v>
      </c>
      <c r="BJ68" s="3">
        <v>30.617445</v>
      </c>
      <c r="BK68" s="3">
        <v>35.611004000000001</v>
      </c>
      <c r="BL68" s="3">
        <v>26.118780000000001</v>
      </c>
      <c r="BM68" s="3">
        <v>27.085370999999999</v>
      </c>
      <c r="BN68" s="3">
        <v>85.089591999999996</v>
      </c>
      <c r="BO68" s="3">
        <v>26.965264999999999</v>
      </c>
      <c r="BP68" s="3">
        <v>63.778579999999998</v>
      </c>
      <c r="BQ68" s="3">
        <v>20.760276999999999</v>
      </c>
      <c r="BR68" s="3">
        <v>54.696674000000002</v>
      </c>
      <c r="BS68" s="3">
        <v>42.938896</v>
      </c>
      <c r="BT68" s="3">
        <v>30.917839000000001</v>
      </c>
      <c r="BU68" s="3">
        <v>25.786176999999999</v>
      </c>
      <c r="BV68" s="3">
        <v>78.537636000000006</v>
      </c>
      <c r="BW68" s="3">
        <v>30.879593</v>
      </c>
      <c r="BX68" s="3">
        <v>28.411294999999999</v>
      </c>
      <c r="BY68" s="3">
        <v>43.312542000000001</v>
      </c>
      <c r="BZ68" s="3">
        <v>32.411529999999999</v>
      </c>
      <c r="CA68" s="3">
        <v>54.166640999999998</v>
      </c>
      <c r="CB68" s="3">
        <v>53.572597999999999</v>
      </c>
      <c r="CC68" s="3">
        <v>26.343354999999999</v>
      </c>
      <c r="CD68" s="3">
        <v>35.580677000000001</v>
      </c>
      <c r="CE68" s="3">
        <v>35.488529</v>
      </c>
      <c r="CF68" s="3">
        <v>34.379489999999997</v>
      </c>
      <c r="CG68" s="3">
        <v>28.211186999999999</v>
      </c>
      <c r="CH68" s="3">
        <v>34.469749</v>
      </c>
      <c r="CI68" s="3">
        <v>32.139674999999997</v>
      </c>
      <c r="CJ68" s="3">
        <v>41.613754</v>
      </c>
      <c r="CK68" s="3">
        <v>24.060122</v>
      </c>
      <c r="CL68" s="3">
        <v>25.092323</v>
      </c>
      <c r="CM68" s="3">
        <v>77.061272000000002</v>
      </c>
      <c r="CN68" s="3">
        <v>26.365743999999999</v>
      </c>
      <c r="CO68" s="3">
        <v>54.849769999999999</v>
      </c>
      <c r="CP68" s="3">
        <v>20.422964</v>
      </c>
      <c r="CQ68" s="3">
        <v>54.668940999999997</v>
      </c>
      <c r="CR68" s="3">
        <v>33.506725000000003</v>
      </c>
      <c r="CS68" s="3">
        <v>49.777343999999999</v>
      </c>
      <c r="CT68" s="3">
        <v>21.869914999999999</v>
      </c>
      <c r="CU68" s="3">
        <v>74.050490999999994</v>
      </c>
      <c r="CV68" s="3">
        <v>29.205877000000001</v>
      </c>
      <c r="CW68" s="3">
        <v>28.123148</v>
      </c>
      <c r="CX68" s="3">
        <v>39.353138000000001</v>
      </c>
      <c r="CY68" s="3">
        <v>68.096778999999998</v>
      </c>
      <c r="CZ68" s="3">
        <v>52.270035</v>
      </c>
      <c r="DA68" s="3">
        <v>68.784797999999995</v>
      </c>
      <c r="DB68" s="3">
        <v>29.321362000000001</v>
      </c>
      <c r="DC68" s="3">
        <v>40.540748999999998</v>
      </c>
      <c r="DD68" s="3">
        <v>38.271286000000003</v>
      </c>
      <c r="DE68" s="3">
        <v>36.002659000000001</v>
      </c>
      <c r="DF68" s="3">
        <v>38.467674000000002</v>
      </c>
      <c r="DG68" s="3">
        <v>31.427813</v>
      </c>
      <c r="DH68" s="3">
        <v>29.906131999999999</v>
      </c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</row>
    <row r="69" spans="2:207" x14ac:dyDescent="0.2">
      <c r="G69" s="3"/>
      <c r="H69" s="3"/>
      <c r="I69" s="3"/>
      <c r="J69" s="3"/>
      <c r="K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</row>
    <row r="70" spans="2:207" x14ac:dyDescent="0.2">
      <c r="D70" t="s">
        <v>6</v>
      </c>
      <c r="E70" t="s">
        <v>1</v>
      </c>
      <c r="F70">
        <f>COUNT(M70:GJ70)</f>
        <v>100</v>
      </c>
      <c r="G70" s="3">
        <f>AVERAGE(M70:GJ70)</f>
        <v>33.932648939999993</v>
      </c>
      <c r="H70" s="3">
        <f>MAX(M70:GJ70)</f>
        <v>101.28939099999999</v>
      </c>
      <c r="I70" s="3">
        <f>MIN(M70:GJ70)</f>
        <v>16.522995000000002</v>
      </c>
      <c r="J70" s="3">
        <f>_xlfn.STDEV.P(M70:GJ70)</f>
        <v>25.171451368029437</v>
      </c>
      <c r="K70" s="3">
        <f>_xlfn.VAR.S(M70:GJ70)</f>
        <v>640.00198381118275</v>
      </c>
      <c r="M70" s="3">
        <v>19.257847000000002</v>
      </c>
      <c r="N70" s="3">
        <v>30.435573999999999</v>
      </c>
      <c r="O70" s="3">
        <v>18.789351</v>
      </c>
      <c r="P70" s="3">
        <v>20.863485000000001</v>
      </c>
      <c r="Q70" s="3">
        <v>19.422832</v>
      </c>
      <c r="R70" s="3">
        <v>20.028400000000001</v>
      </c>
      <c r="S70" s="3">
        <v>45.598419</v>
      </c>
      <c r="T70" s="3">
        <v>18.059391000000002</v>
      </c>
      <c r="U70" s="3">
        <v>18.229216000000001</v>
      </c>
      <c r="V70" s="3">
        <v>20.428796999999999</v>
      </c>
      <c r="W70" s="3">
        <v>22.672134</v>
      </c>
      <c r="X70" s="3">
        <v>22.359891999999999</v>
      </c>
      <c r="Y70" s="3">
        <v>22.85108</v>
      </c>
      <c r="Z70" s="3">
        <v>33.835856999999997</v>
      </c>
      <c r="AA70" s="3">
        <v>21.391724</v>
      </c>
      <c r="AB70" s="3">
        <v>20.171408</v>
      </c>
      <c r="AC70" s="3">
        <v>18.131831999999999</v>
      </c>
      <c r="AD70" s="3">
        <v>17.751321999999998</v>
      </c>
      <c r="AE70" s="3">
        <v>19.470963999999999</v>
      </c>
      <c r="AF70" s="3">
        <v>22.335995</v>
      </c>
      <c r="AG70" s="3">
        <v>22.361853</v>
      </c>
      <c r="AH70" s="3">
        <v>80.969703999999993</v>
      </c>
      <c r="AI70" s="3">
        <v>19.681158</v>
      </c>
      <c r="AJ70" s="3">
        <v>20.776333000000001</v>
      </c>
      <c r="AK70" s="3">
        <v>77.561790000000002</v>
      </c>
      <c r="AL70" s="3">
        <v>20.804832000000001</v>
      </c>
      <c r="AM70" s="3">
        <v>97.424980000000005</v>
      </c>
      <c r="AN70" s="3">
        <v>18.100999999999999</v>
      </c>
      <c r="AO70" s="3">
        <v>49.276646</v>
      </c>
      <c r="AP70" s="3">
        <v>23.912281</v>
      </c>
      <c r="AQ70" s="3">
        <v>18.105011000000001</v>
      </c>
      <c r="AR70" s="3">
        <v>22.576550999999998</v>
      </c>
      <c r="AS70" s="3">
        <v>18.870536999999999</v>
      </c>
      <c r="AT70" s="3">
        <v>18.502966000000001</v>
      </c>
      <c r="AU70" s="3">
        <v>17.665732999999999</v>
      </c>
      <c r="AV70" s="3">
        <v>18.340349</v>
      </c>
      <c r="AW70" s="3">
        <v>18.969456000000001</v>
      </c>
      <c r="AX70" s="3">
        <v>23.391719999999999</v>
      </c>
      <c r="AY70" s="3">
        <v>82.980536999999998</v>
      </c>
      <c r="AZ70" s="3">
        <v>19.772943000000001</v>
      </c>
      <c r="BA70" s="3">
        <v>19.765574000000001</v>
      </c>
      <c r="BB70" s="3">
        <v>19.164159999999999</v>
      </c>
      <c r="BC70" s="3">
        <v>19.232941</v>
      </c>
      <c r="BD70" s="3">
        <v>19.292619999999999</v>
      </c>
      <c r="BE70" s="3">
        <v>80.676856999999998</v>
      </c>
      <c r="BF70" s="3">
        <v>20.199884000000001</v>
      </c>
      <c r="BG70" s="3">
        <v>31.465502000000001</v>
      </c>
      <c r="BH70" s="3">
        <v>57.326327999999997</v>
      </c>
      <c r="BI70" s="3">
        <v>21.038451999999999</v>
      </c>
      <c r="BJ70" s="3">
        <v>88.275741999999994</v>
      </c>
      <c r="BK70" s="3">
        <v>24.561063999999998</v>
      </c>
      <c r="BL70" s="3">
        <v>21.950409000000001</v>
      </c>
      <c r="BM70" s="3">
        <v>17.858395000000002</v>
      </c>
      <c r="BN70" s="3">
        <v>35.880687999999999</v>
      </c>
      <c r="BO70" s="3">
        <v>54.732792000000003</v>
      </c>
      <c r="BP70" s="3">
        <v>18.578222</v>
      </c>
      <c r="BQ70" s="3">
        <v>17.955840999999999</v>
      </c>
      <c r="BR70" s="3">
        <v>19.801931</v>
      </c>
      <c r="BS70" s="3">
        <v>17.074511999999999</v>
      </c>
      <c r="BT70" s="3">
        <v>16.522995000000002</v>
      </c>
      <c r="BU70" s="3">
        <v>17.555973000000002</v>
      </c>
      <c r="BV70" s="3">
        <v>19.856005</v>
      </c>
      <c r="BW70" s="3">
        <v>88.497771999999998</v>
      </c>
      <c r="BX70" s="3">
        <v>94.926056000000003</v>
      </c>
      <c r="BY70" s="3">
        <v>16.623574999999999</v>
      </c>
      <c r="BZ70" s="3">
        <v>19.551722000000002</v>
      </c>
      <c r="CA70" s="3">
        <v>20.173224999999999</v>
      </c>
      <c r="CB70" s="3">
        <v>19.872098999999999</v>
      </c>
      <c r="CC70" s="3">
        <v>16.897514000000001</v>
      </c>
      <c r="CD70" s="3">
        <v>87.592620999999994</v>
      </c>
      <c r="CE70" s="3">
        <v>17.424800999999999</v>
      </c>
      <c r="CF70" s="3">
        <v>54.267982000000003</v>
      </c>
      <c r="CG70" s="3">
        <v>78.892882999999998</v>
      </c>
      <c r="CH70" s="3">
        <v>18.791350999999999</v>
      </c>
      <c r="CI70" s="3">
        <v>83.495293000000004</v>
      </c>
      <c r="CJ70" s="3">
        <v>18.905197000000001</v>
      </c>
      <c r="CK70" s="3">
        <v>68.079643000000004</v>
      </c>
      <c r="CL70" s="3">
        <v>18.053000999999998</v>
      </c>
      <c r="CM70" s="3">
        <v>96.383232000000007</v>
      </c>
      <c r="CN70" s="3">
        <v>62.064807999999999</v>
      </c>
      <c r="CO70" s="3">
        <v>18.684391000000002</v>
      </c>
      <c r="CP70" s="3">
        <v>17.602774</v>
      </c>
      <c r="CQ70" s="3">
        <v>19.784790000000001</v>
      </c>
      <c r="CR70" s="3">
        <v>16.964680000000001</v>
      </c>
      <c r="CS70" s="3">
        <v>17.838324</v>
      </c>
      <c r="CT70" s="3">
        <v>17.381159</v>
      </c>
      <c r="CU70" s="3">
        <v>22.456074000000001</v>
      </c>
      <c r="CV70" s="3">
        <v>68.544548000000006</v>
      </c>
      <c r="CW70" s="3">
        <v>73.835114000000004</v>
      </c>
      <c r="CX70" s="3">
        <v>18.784358999999998</v>
      </c>
      <c r="CY70" s="3">
        <v>18.611435</v>
      </c>
      <c r="CZ70" s="3">
        <v>18.190187000000002</v>
      </c>
      <c r="DA70" s="3">
        <v>20.294554000000002</v>
      </c>
      <c r="DB70" s="3">
        <v>17.581334999999999</v>
      </c>
      <c r="DC70" s="3">
        <v>50.346828000000002</v>
      </c>
      <c r="DD70" s="3">
        <v>17.775789</v>
      </c>
      <c r="DE70" s="3">
        <v>50.651634000000001</v>
      </c>
      <c r="DF70" s="3">
        <v>101.28939099999999</v>
      </c>
      <c r="DG70" s="3">
        <v>34.698723000000001</v>
      </c>
      <c r="DH70" s="3">
        <v>90.557243</v>
      </c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</row>
    <row r="71" spans="2:207" x14ac:dyDescent="0.2">
      <c r="M71" s="3"/>
      <c r="N71" s="3"/>
    </row>
    <row r="72" spans="2:207" x14ac:dyDescent="0.2">
      <c r="M72" s="3"/>
      <c r="N72" s="3"/>
    </row>
    <row r="73" spans="2:207" x14ac:dyDescent="0.2">
      <c r="B73" t="s">
        <v>60</v>
      </c>
      <c r="D73" s="1" t="s">
        <v>41</v>
      </c>
    </row>
    <row r="74" spans="2:207" x14ac:dyDescent="0.2">
      <c r="B74" s="2" t="s">
        <v>38</v>
      </c>
      <c r="D74" t="s">
        <v>3</v>
      </c>
      <c r="E74" t="s">
        <v>1</v>
      </c>
      <c r="F74">
        <f>COUNT(M74:GJ74)</f>
        <v>100</v>
      </c>
      <c r="G74" s="3">
        <f>AVERAGE(M74:GJ74)</f>
        <v>166.34871992000006</v>
      </c>
      <c r="H74" s="3">
        <f>MAX(M74:GJ74)</f>
        <v>210.75595100000001</v>
      </c>
      <c r="I74" s="3">
        <f>MIN(M74:GJ74)</f>
        <v>115.02758799999999</v>
      </c>
      <c r="J74" s="3">
        <f>_xlfn.STDEV.P(M74:GJ74)</f>
        <v>20.062692188840206</v>
      </c>
      <c r="K74" s="3">
        <f>_xlfn.VAR.S(M74:GJ74)</f>
        <v>406.57739178196647</v>
      </c>
      <c r="M74" s="3">
        <v>173.762665</v>
      </c>
      <c r="N74" s="3">
        <v>161.258636</v>
      </c>
      <c r="O74" s="3">
        <v>156.37301600000001</v>
      </c>
      <c r="P74" s="3">
        <v>155.76181</v>
      </c>
      <c r="Q74" s="3">
        <v>185.16995199999999</v>
      </c>
      <c r="R74" s="3">
        <v>182.78762800000001</v>
      </c>
      <c r="S74" s="3">
        <v>167.452698</v>
      </c>
      <c r="T74" s="3">
        <v>176.321564</v>
      </c>
      <c r="U74" s="3">
        <v>143.84172100000001</v>
      </c>
      <c r="V74" s="3">
        <v>176.408737</v>
      </c>
      <c r="W74" s="3">
        <v>149.02714499999999</v>
      </c>
      <c r="X74" s="3">
        <v>184.15643299999999</v>
      </c>
      <c r="Y74" s="3">
        <v>158.88258400000001</v>
      </c>
      <c r="Z74" s="3">
        <v>174.250122</v>
      </c>
      <c r="AA74" s="3">
        <v>172.944672</v>
      </c>
      <c r="AB74" s="3">
        <v>134.02131700000001</v>
      </c>
      <c r="AC74" s="3">
        <v>187.27049299999999</v>
      </c>
      <c r="AD74" s="3">
        <v>154.73613</v>
      </c>
      <c r="AE74" s="3">
        <v>129.053665</v>
      </c>
      <c r="AF74" s="3">
        <v>180.517639</v>
      </c>
      <c r="AG74" s="3">
        <v>155.01945499999999</v>
      </c>
      <c r="AH74" s="3">
        <v>132.619553</v>
      </c>
      <c r="AI74" s="3">
        <v>180.71196</v>
      </c>
      <c r="AJ74" s="3">
        <v>166.23715200000001</v>
      </c>
      <c r="AK74" s="3">
        <v>168.56620799999999</v>
      </c>
      <c r="AL74" s="3">
        <v>167.46824599999999</v>
      </c>
      <c r="AM74" s="3">
        <v>184.242188</v>
      </c>
      <c r="AN74" s="3">
        <v>210.75595100000001</v>
      </c>
      <c r="AO74" s="3">
        <v>168.056747</v>
      </c>
      <c r="AP74" s="3">
        <v>147.74794</v>
      </c>
      <c r="AQ74" s="3">
        <v>176.363632</v>
      </c>
      <c r="AR74" s="3">
        <v>166.67515599999999</v>
      </c>
      <c r="AS74" s="3">
        <v>179.30654899999999</v>
      </c>
      <c r="AT74" s="3">
        <v>164.025711</v>
      </c>
      <c r="AU74" s="3">
        <v>181.03353899999999</v>
      </c>
      <c r="AV74" s="3">
        <v>159.69598400000001</v>
      </c>
      <c r="AW74" s="3">
        <v>155.568771</v>
      </c>
      <c r="AX74" s="3">
        <v>170.853455</v>
      </c>
      <c r="AY74" s="3">
        <v>193.72340399999999</v>
      </c>
      <c r="AZ74" s="3">
        <v>174.49169900000001</v>
      </c>
      <c r="BA74" s="3">
        <v>159.65360999999999</v>
      </c>
      <c r="BB74" s="3">
        <v>186.58088699999999</v>
      </c>
      <c r="BC74" s="3">
        <v>179.85998499999999</v>
      </c>
      <c r="BD74" s="3">
        <v>161.63859600000001</v>
      </c>
      <c r="BE74" s="3">
        <v>166.79330400000001</v>
      </c>
      <c r="BF74" s="3">
        <v>181.080139</v>
      </c>
      <c r="BG74" s="3">
        <v>142.58291600000001</v>
      </c>
      <c r="BH74" s="3">
        <v>155.919296</v>
      </c>
      <c r="BI74" s="3">
        <v>171.78627</v>
      </c>
      <c r="BJ74" s="3">
        <v>134.92924500000001</v>
      </c>
      <c r="BK74" s="3">
        <v>141.47679099999999</v>
      </c>
      <c r="BL74" s="3">
        <v>143.389084</v>
      </c>
      <c r="BM74" s="3">
        <v>175.47671500000001</v>
      </c>
      <c r="BN74" s="3">
        <v>186.63737499999999</v>
      </c>
      <c r="BO74" s="3">
        <v>172.99031099999999</v>
      </c>
      <c r="BP74" s="3">
        <v>155.74247700000001</v>
      </c>
      <c r="BQ74" s="3">
        <v>142.569321</v>
      </c>
      <c r="BR74" s="3">
        <v>187.80363500000001</v>
      </c>
      <c r="BS74" s="3">
        <v>143.45799299999999</v>
      </c>
      <c r="BT74" s="3">
        <v>125.862808</v>
      </c>
      <c r="BU74" s="3">
        <v>175.74305699999999</v>
      </c>
      <c r="BV74" s="3">
        <v>205.07309000000001</v>
      </c>
      <c r="BW74" s="3">
        <v>208.731537</v>
      </c>
      <c r="BX74" s="3">
        <v>161.16322299999999</v>
      </c>
      <c r="BY74" s="3">
        <v>154.12626599999999</v>
      </c>
      <c r="BZ74" s="3">
        <v>115.02758799999999</v>
      </c>
      <c r="CA74" s="3">
        <v>207.99854999999999</v>
      </c>
      <c r="CB74" s="3">
        <v>195.754547</v>
      </c>
      <c r="CC74" s="3">
        <v>174.58497600000001</v>
      </c>
      <c r="CD74" s="3">
        <v>130.980682</v>
      </c>
      <c r="CE74" s="3">
        <v>171.291031</v>
      </c>
      <c r="CF74" s="3">
        <v>150.774811</v>
      </c>
      <c r="CG74" s="3">
        <v>179.42089799999999</v>
      </c>
      <c r="CH74" s="3">
        <v>164.59213299999999</v>
      </c>
      <c r="CI74" s="3">
        <v>178.29924</v>
      </c>
      <c r="CJ74" s="3">
        <v>159.16123999999999</v>
      </c>
      <c r="CK74" s="3">
        <v>157.53083799999999</v>
      </c>
      <c r="CL74" s="3">
        <v>190.35552999999999</v>
      </c>
      <c r="CM74" s="3">
        <v>167.05062899999999</v>
      </c>
      <c r="CN74" s="3">
        <v>209.557602</v>
      </c>
      <c r="CO74" s="3">
        <v>162.29283100000001</v>
      </c>
      <c r="CP74" s="3">
        <v>134.051773</v>
      </c>
      <c r="CQ74" s="3">
        <v>160.893631</v>
      </c>
      <c r="CR74" s="3">
        <v>168.948959</v>
      </c>
      <c r="CS74" s="3">
        <v>190.43035900000001</v>
      </c>
      <c r="CT74" s="3">
        <v>164.48558</v>
      </c>
      <c r="CU74" s="3">
        <v>197.68370100000001</v>
      </c>
      <c r="CV74" s="3">
        <v>129.26063500000001</v>
      </c>
      <c r="CW74" s="3">
        <v>178.38145399999999</v>
      </c>
      <c r="CX74" s="3">
        <v>194.381958</v>
      </c>
      <c r="CY74" s="3">
        <v>169.550735</v>
      </c>
      <c r="CZ74" s="3">
        <v>173.76930200000001</v>
      </c>
      <c r="DA74" s="3">
        <v>173.492096</v>
      </c>
      <c r="DB74" s="3">
        <v>133.12652600000001</v>
      </c>
      <c r="DC74" s="3">
        <v>169.65707399999999</v>
      </c>
      <c r="DD74" s="3">
        <v>146.382599</v>
      </c>
      <c r="DE74" s="3">
        <v>141.94679300000001</v>
      </c>
      <c r="DF74" s="3">
        <v>139.84025600000001</v>
      </c>
      <c r="DG74" s="3">
        <v>174.89068599999999</v>
      </c>
      <c r="DH74" s="3">
        <v>150.79489100000001</v>
      </c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</row>
    <row r="75" spans="2:207" x14ac:dyDescent="0.2">
      <c r="B75" s="2" t="s">
        <v>42</v>
      </c>
      <c r="G75" s="3"/>
      <c r="H75" s="3"/>
      <c r="I75" s="3"/>
      <c r="J75" s="3"/>
      <c r="K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</row>
    <row r="76" spans="2:207" x14ac:dyDescent="0.2">
      <c r="B76" s="2" t="s">
        <v>43</v>
      </c>
      <c r="D76" t="s">
        <v>4</v>
      </c>
      <c r="E76" t="s">
        <v>1</v>
      </c>
      <c r="F76">
        <f>COUNT(M76:GJ76)</f>
        <v>100</v>
      </c>
      <c r="G76" s="3">
        <f>AVERAGE(M76:GJ76)</f>
        <v>96.498213669999984</v>
      </c>
      <c r="H76" s="3">
        <f>MAX(M76:GJ76)</f>
        <v>145.99516299999999</v>
      </c>
      <c r="I76" s="3">
        <f>MIN(M76:GJ76)</f>
        <v>44.541663999999997</v>
      </c>
      <c r="J76" s="3">
        <f>_xlfn.STDEV.P(M76:GJ76)</f>
        <v>19.247312379201421</v>
      </c>
      <c r="K76" s="3">
        <f>_xlfn.VAR.S(M76:GJ76)</f>
        <v>374.20104426521141</v>
      </c>
      <c r="M76" s="3">
        <v>98.713111999999995</v>
      </c>
      <c r="N76" s="3">
        <v>73.757942</v>
      </c>
      <c r="O76" s="3">
        <v>96.546310000000005</v>
      </c>
      <c r="P76" s="3">
        <v>119.941277</v>
      </c>
      <c r="Q76" s="3">
        <v>97.095771999999997</v>
      </c>
      <c r="R76" s="3">
        <v>103.533936</v>
      </c>
      <c r="S76" s="3">
        <v>135.62892199999999</v>
      </c>
      <c r="T76" s="3">
        <v>67.800872999999996</v>
      </c>
      <c r="U76" s="3">
        <v>125.073914</v>
      </c>
      <c r="V76" s="3">
        <v>78.341842999999997</v>
      </c>
      <c r="W76" s="3">
        <v>97.646361999999996</v>
      </c>
      <c r="X76" s="3">
        <v>77.109154000000004</v>
      </c>
      <c r="Y76" s="3">
        <v>85.700751999999994</v>
      </c>
      <c r="Z76" s="3">
        <v>96.726806999999994</v>
      </c>
      <c r="AA76" s="3">
        <v>97.025970000000001</v>
      </c>
      <c r="AB76" s="3">
        <v>111.621399</v>
      </c>
      <c r="AC76" s="3">
        <v>65.384490999999997</v>
      </c>
      <c r="AD76" s="3">
        <v>71.655449000000004</v>
      </c>
      <c r="AE76" s="3">
        <v>71.347504000000001</v>
      </c>
      <c r="AF76" s="3">
        <v>91.798316999999997</v>
      </c>
      <c r="AG76" s="3">
        <v>96.344963000000007</v>
      </c>
      <c r="AH76" s="3">
        <v>118.263069</v>
      </c>
      <c r="AI76" s="3">
        <v>74.954459999999997</v>
      </c>
      <c r="AJ76" s="3">
        <v>80.348502999999994</v>
      </c>
      <c r="AK76" s="3">
        <v>100.16036200000001</v>
      </c>
      <c r="AL76" s="3">
        <v>87.715889000000004</v>
      </c>
      <c r="AM76" s="3">
        <v>65.238349999999997</v>
      </c>
      <c r="AN76" s="3">
        <v>102.61489899999999</v>
      </c>
      <c r="AO76" s="3">
        <v>85.501639999999995</v>
      </c>
      <c r="AP76" s="3">
        <v>115.368782</v>
      </c>
      <c r="AQ76" s="3">
        <v>96.839668000000003</v>
      </c>
      <c r="AR76" s="3">
        <v>107.47532699999999</v>
      </c>
      <c r="AS76" s="3">
        <v>94.425835000000006</v>
      </c>
      <c r="AT76" s="3">
        <v>94.333145000000002</v>
      </c>
      <c r="AU76" s="3">
        <v>51.938850000000002</v>
      </c>
      <c r="AV76" s="3">
        <v>80.479636999999997</v>
      </c>
      <c r="AW76" s="3">
        <v>75.544601</v>
      </c>
      <c r="AX76" s="3">
        <v>86.710205000000002</v>
      </c>
      <c r="AY76" s="3">
        <v>101.735291</v>
      </c>
      <c r="AZ76" s="3">
        <v>73.555701999999997</v>
      </c>
      <c r="BA76" s="3">
        <v>93.761809999999997</v>
      </c>
      <c r="BB76" s="3">
        <v>63.637920000000001</v>
      </c>
      <c r="BC76" s="3">
        <v>113.43631000000001</v>
      </c>
      <c r="BD76" s="3">
        <v>135.14308199999999</v>
      </c>
      <c r="BE76" s="3">
        <v>106.332123</v>
      </c>
      <c r="BF76" s="3">
        <v>128.122299</v>
      </c>
      <c r="BG76" s="3">
        <v>94.670958999999996</v>
      </c>
      <c r="BH76" s="3">
        <v>75.858513000000002</v>
      </c>
      <c r="BI76" s="3">
        <v>97.965698000000003</v>
      </c>
      <c r="BJ76" s="3">
        <v>116.11854599999999</v>
      </c>
      <c r="BK76" s="3">
        <v>104.47875999999999</v>
      </c>
      <c r="BL76" s="3">
        <v>96.567993000000001</v>
      </c>
      <c r="BM76" s="3">
        <v>113.460876</v>
      </c>
      <c r="BN76" s="3">
        <v>112.668648</v>
      </c>
      <c r="BO76" s="3">
        <v>111.070145</v>
      </c>
      <c r="BP76" s="3">
        <v>116.29731</v>
      </c>
      <c r="BQ76" s="3">
        <v>120.362915</v>
      </c>
      <c r="BR76" s="3">
        <v>101.225342</v>
      </c>
      <c r="BS76" s="3">
        <v>79.525513000000004</v>
      </c>
      <c r="BT76" s="3">
        <v>65.094443999999996</v>
      </c>
      <c r="BU76" s="3">
        <v>100.002731</v>
      </c>
      <c r="BV76" s="3">
        <v>101.802567</v>
      </c>
      <c r="BW76" s="3">
        <v>94.688057000000001</v>
      </c>
      <c r="BX76" s="3">
        <v>107.908546</v>
      </c>
      <c r="BY76" s="3">
        <v>120.81443</v>
      </c>
      <c r="BZ76" s="3">
        <v>125.13634500000001</v>
      </c>
      <c r="CA76" s="3">
        <v>101.26958500000001</v>
      </c>
      <c r="CB76" s="3">
        <v>114.00576</v>
      </c>
      <c r="CC76" s="3">
        <v>88.509063999999995</v>
      </c>
      <c r="CD76" s="3">
        <v>74.200096000000002</v>
      </c>
      <c r="CE76" s="3">
        <v>104.548149</v>
      </c>
      <c r="CF76" s="3">
        <v>62.466830999999999</v>
      </c>
      <c r="CG76" s="3">
        <v>126.345741</v>
      </c>
      <c r="CH76" s="3">
        <v>114.002205</v>
      </c>
      <c r="CI76" s="3">
        <v>85.111778000000001</v>
      </c>
      <c r="CJ76" s="3">
        <v>105.602402</v>
      </c>
      <c r="CK76" s="3">
        <v>90.072120999999996</v>
      </c>
      <c r="CL76" s="3">
        <v>118.05961600000001</v>
      </c>
      <c r="CM76" s="3">
        <v>85.343597000000003</v>
      </c>
      <c r="CN76" s="3">
        <v>108.502762</v>
      </c>
      <c r="CO76" s="3">
        <v>111.374313</v>
      </c>
      <c r="CP76" s="3">
        <v>97.659476999999995</v>
      </c>
      <c r="CQ76" s="3">
        <v>108.229309</v>
      </c>
      <c r="CR76" s="3">
        <v>70.509995000000004</v>
      </c>
      <c r="CS76" s="3">
        <v>66.942413000000002</v>
      </c>
      <c r="CT76" s="3">
        <v>101.448517</v>
      </c>
      <c r="CU76" s="3">
        <v>108.481964</v>
      </c>
      <c r="CV76" s="3">
        <v>78.675156000000001</v>
      </c>
      <c r="CW76" s="3">
        <v>145.99516299999999</v>
      </c>
      <c r="CX76" s="3">
        <v>104.543053</v>
      </c>
      <c r="CY76" s="3">
        <v>120.118088</v>
      </c>
      <c r="CZ76" s="3">
        <v>88.316627999999994</v>
      </c>
      <c r="DA76" s="3">
        <v>44.541663999999997</v>
      </c>
      <c r="DB76" s="3">
        <v>85.010634999999994</v>
      </c>
      <c r="DC76" s="3">
        <v>118.11307499999999</v>
      </c>
      <c r="DD76" s="3">
        <v>113.452095</v>
      </c>
      <c r="DE76" s="3">
        <v>98.824112</v>
      </c>
      <c r="DF76" s="3">
        <v>92.992553999999998</v>
      </c>
      <c r="DG76" s="3">
        <v>88.168396000000001</v>
      </c>
      <c r="DH76" s="3">
        <v>80.233886999999996</v>
      </c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</row>
    <row r="77" spans="2:207" x14ac:dyDescent="0.2">
      <c r="G77" s="3"/>
      <c r="H77" s="3"/>
      <c r="I77" s="3"/>
      <c r="J77" s="3"/>
      <c r="K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</row>
    <row r="78" spans="2:207" x14ac:dyDescent="0.2">
      <c r="D78" t="s">
        <v>2</v>
      </c>
      <c r="E78" t="s">
        <v>1</v>
      </c>
      <c r="F78">
        <f>COUNT(M78:GJ78)</f>
        <v>100</v>
      </c>
      <c r="G78" s="3">
        <f>AVERAGE(M78:GJ78)</f>
        <v>134.30333937000003</v>
      </c>
      <c r="H78" s="3">
        <f>MAX(M78:GJ78)</f>
        <v>188.07107500000001</v>
      </c>
      <c r="I78" s="3">
        <f>MIN(M78:GJ78)</f>
        <v>108.03833</v>
      </c>
      <c r="J78" s="3">
        <f>_xlfn.STDEV.P(M78:GJ78)</f>
        <v>18.746420959583112</v>
      </c>
      <c r="K78" s="3">
        <f>_xlfn.VAR.S(M78:GJ78)</f>
        <v>354.97807958979405</v>
      </c>
      <c r="M78" s="3">
        <v>108.03833</v>
      </c>
      <c r="N78" s="3">
        <v>124.01123</v>
      </c>
      <c r="O78" s="3">
        <v>115.367119</v>
      </c>
      <c r="P78" s="3">
        <v>125.504082</v>
      </c>
      <c r="Q78" s="3">
        <v>130.80702199999999</v>
      </c>
      <c r="R78" s="3">
        <v>120.090363</v>
      </c>
      <c r="S78" s="3">
        <v>112.48867799999999</v>
      </c>
      <c r="T78" s="3">
        <v>123.697609</v>
      </c>
      <c r="U78" s="3">
        <v>124.419579</v>
      </c>
      <c r="V78" s="3">
        <v>117.71247099999999</v>
      </c>
      <c r="W78" s="3">
        <v>117.726845</v>
      </c>
      <c r="X78" s="3">
        <v>127.84077499999999</v>
      </c>
      <c r="Y78" s="3">
        <v>122.743362</v>
      </c>
      <c r="Z78" s="3">
        <v>139.57757599999999</v>
      </c>
      <c r="AA78" s="3">
        <v>113.742577</v>
      </c>
      <c r="AB78" s="3">
        <v>125.49195899999999</v>
      </c>
      <c r="AC78" s="3">
        <v>118.700485</v>
      </c>
      <c r="AD78" s="3">
        <v>115.339325</v>
      </c>
      <c r="AE78" s="3">
        <v>112.79688299999999</v>
      </c>
      <c r="AF78" s="3">
        <v>131.98529099999999</v>
      </c>
      <c r="AG78" s="3">
        <v>119.47678399999999</v>
      </c>
      <c r="AH78" s="3">
        <v>109.25705000000001</v>
      </c>
      <c r="AI78" s="3">
        <v>113.888481</v>
      </c>
      <c r="AJ78" s="3">
        <v>120.251778</v>
      </c>
      <c r="AK78" s="3">
        <v>108.432457</v>
      </c>
      <c r="AL78" s="3">
        <v>122.979378</v>
      </c>
      <c r="AM78" s="3">
        <v>167.34214800000001</v>
      </c>
      <c r="AN78" s="3">
        <v>122.41147599999999</v>
      </c>
      <c r="AO78" s="3">
        <v>126.36164100000001</v>
      </c>
      <c r="AP78" s="3">
        <v>149.37853999999999</v>
      </c>
      <c r="AQ78" s="3">
        <v>140.611221</v>
      </c>
      <c r="AR78" s="3">
        <v>129.66746499999999</v>
      </c>
      <c r="AS78" s="3">
        <v>132.41424599999999</v>
      </c>
      <c r="AT78" s="3">
        <v>156.145386</v>
      </c>
      <c r="AU78" s="3">
        <v>124.82058000000001</v>
      </c>
      <c r="AV78" s="3">
        <v>165.88584900000001</v>
      </c>
      <c r="AW78" s="3">
        <v>122.111557</v>
      </c>
      <c r="AX78" s="3">
        <v>136.81459000000001</v>
      </c>
      <c r="AY78" s="3">
        <v>153.690033</v>
      </c>
      <c r="AZ78" s="3">
        <v>149.687973</v>
      </c>
      <c r="BA78" s="3">
        <v>156.810303</v>
      </c>
      <c r="BB78" s="3">
        <v>121.130661</v>
      </c>
      <c r="BC78" s="3">
        <v>130.200729</v>
      </c>
      <c r="BD78" s="3">
        <v>112.400429</v>
      </c>
      <c r="BE78" s="3">
        <v>133.298553</v>
      </c>
      <c r="BF78" s="3">
        <v>125.64222700000001</v>
      </c>
      <c r="BG78" s="3">
        <v>135.354523</v>
      </c>
      <c r="BH78" s="3">
        <v>117.96637699999999</v>
      </c>
      <c r="BI78" s="3">
        <v>151.04444899999999</v>
      </c>
      <c r="BJ78" s="3">
        <v>130.98486299999999</v>
      </c>
      <c r="BK78" s="3">
        <v>121.476288</v>
      </c>
      <c r="BL78" s="3">
        <v>137.84738200000001</v>
      </c>
      <c r="BM78" s="3">
        <v>126.510857</v>
      </c>
      <c r="BN78" s="3">
        <v>139.731033</v>
      </c>
      <c r="BO78" s="3">
        <v>137.17892499999999</v>
      </c>
      <c r="BP78" s="3">
        <v>140.914154</v>
      </c>
      <c r="BQ78" s="3">
        <v>143.936386</v>
      </c>
      <c r="BR78" s="3">
        <v>130.81707800000001</v>
      </c>
      <c r="BS78" s="3">
        <v>188.07107500000001</v>
      </c>
      <c r="BT78" s="3">
        <v>168.40997300000001</v>
      </c>
      <c r="BU78" s="3">
        <v>160.48794599999999</v>
      </c>
      <c r="BV78" s="3">
        <v>136.887833</v>
      </c>
      <c r="BW78" s="3">
        <v>149.890839</v>
      </c>
      <c r="BX78" s="3">
        <v>177.559708</v>
      </c>
      <c r="BY78" s="3">
        <v>128.051208</v>
      </c>
      <c r="BZ78" s="3">
        <v>118.142296</v>
      </c>
      <c r="CA78" s="3">
        <v>126.656136</v>
      </c>
      <c r="CB78" s="3">
        <v>117.59433</v>
      </c>
      <c r="CC78" s="3">
        <v>112.406227</v>
      </c>
      <c r="CD78" s="3">
        <v>138.550827</v>
      </c>
      <c r="CE78" s="3">
        <v>127.88745900000001</v>
      </c>
      <c r="CF78" s="3">
        <v>147.79420500000001</v>
      </c>
      <c r="CG78" s="3">
        <v>110.86610400000001</v>
      </c>
      <c r="CH78" s="3">
        <v>168.10192900000001</v>
      </c>
      <c r="CI78" s="3">
        <v>128.98513800000001</v>
      </c>
      <c r="CJ78" s="3">
        <v>119.76165</v>
      </c>
      <c r="CK78" s="3">
        <v>162.82943700000001</v>
      </c>
      <c r="CL78" s="3">
        <v>128.74292</v>
      </c>
      <c r="CM78" s="3">
        <v>159.32286099999999</v>
      </c>
      <c r="CN78" s="3">
        <v>124.590599</v>
      </c>
      <c r="CO78" s="3">
        <v>137.68592799999999</v>
      </c>
      <c r="CP78" s="3">
        <v>131.17550700000001</v>
      </c>
      <c r="CQ78" s="3">
        <v>126.62632000000001</v>
      </c>
      <c r="CR78" s="3">
        <v>180.58042900000001</v>
      </c>
      <c r="CS78" s="3">
        <v>156.74284399999999</v>
      </c>
      <c r="CT78" s="3">
        <v>163.77203399999999</v>
      </c>
      <c r="CU78" s="3">
        <v>120.31591</v>
      </c>
      <c r="CV78" s="3">
        <v>153.13772599999999</v>
      </c>
      <c r="CW78" s="3">
        <v>183.18985000000001</v>
      </c>
      <c r="CX78" s="3">
        <v>131.058075</v>
      </c>
      <c r="CY78" s="3">
        <v>124.14592</v>
      </c>
      <c r="CZ78" s="3">
        <v>125.120857</v>
      </c>
      <c r="DA78" s="3">
        <v>118.27278099999999</v>
      </c>
      <c r="DB78" s="3">
        <v>118.008163</v>
      </c>
      <c r="DC78" s="3">
        <v>179.86863700000001</v>
      </c>
      <c r="DD78" s="3">
        <v>139.152725</v>
      </c>
      <c r="DE78" s="3">
        <v>156.05928</v>
      </c>
      <c r="DF78" s="3">
        <v>113.88226299999999</v>
      </c>
      <c r="DG78" s="3">
        <v>150.237122</v>
      </c>
      <c r="DH78" s="3">
        <v>126.755455</v>
      </c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</row>
    <row r="79" spans="2:207" x14ac:dyDescent="0.2">
      <c r="G79" s="3"/>
      <c r="H79" s="3"/>
      <c r="I79" s="3"/>
      <c r="J79" s="3"/>
      <c r="K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</row>
    <row r="80" spans="2:207" x14ac:dyDescent="0.2">
      <c r="D80" t="s">
        <v>5</v>
      </c>
      <c r="E80" t="s">
        <v>1</v>
      </c>
      <c r="F80">
        <f>COUNT(M80:GJ80)</f>
        <v>100</v>
      </c>
      <c r="G80" s="3">
        <f>AVERAGE(M80:GJ80)</f>
        <v>71.479214810000002</v>
      </c>
      <c r="H80" s="3">
        <f>MAX(M80:GJ80)</f>
        <v>141.88471999999999</v>
      </c>
      <c r="I80" s="3">
        <f>MIN(M80:GJ80)</f>
        <v>45.815131999999998</v>
      </c>
      <c r="J80" s="3">
        <f>_xlfn.STDEV.P(M80:GJ80)</f>
        <v>20.203430096848763</v>
      </c>
      <c r="K80" s="3">
        <f>_xlfn.VAR.S(M80:GJ80)</f>
        <v>412.30160371540876</v>
      </c>
      <c r="M80" s="3">
        <v>77.815749999999994</v>
      </c>
      <c r="N80" s="3">
        <v>53.702109999999998</v>
      </c>
      <c r="O80" s="3">
        <v>57.165999999999997</v>
      </c>
      <c r="P80" s="3">
        <v>65.516823000000002</v>
      </c>
      <c r="Q80" s="3">
        <v>68.564903000000001</v>
      </c>
      <c r="R80" s="3">
        <v>123.88660400000001</v>
      </c>
      <c r="S80" s="3">
        <v>65.652846999999994</v>
      </c>
      <c r="T80" s="3">
        <v>58.782490000000003</v>
      </c>
      <c r="U80" s="3">
        <v>73.640861999999998</v>
      </c>
      <c r="V80" s="3">
        <v>67.599739</v>
      </c>
      <c r="W80" s="3">
        <v>59.020637999999998</v>
      </c>
      <c r="X80" s="3">
        <v>60.797969999999999</v>
      </c>
      <c r="Y80" s="3">
        <v>83.071349999999995</v>
      </c>
      <c r="Z80" s="3">
        <v>62.794848999999999</v>
      </c>
      <c r="AA80" s="3">
        <v>68.770836000000003</v>
      </c>
      <c r="AB80" s="3">
        <v>85.497130999999996</v>
      </c>
      <c r="AC80" s="3">
        <v>57.601109000000001</v>
      </c>
      <c r="AD80" s="3">
        <v>81.710128999999995</v>
      </c>
      <c r="AE80" s="3">
        <v>58.653331999999999</v>
      </c>
      <c r="AF80" s="3">
        <v>74.826683000000003</v>
      </c>
      <c r="AG80" s="3">
        <v>64.220389999999995</v>
      </c>
      <c r="AH80" s="3">
        <v>68.580376000000001</v>
      </c>
      <c r="AI80" s="3">
        <v>62.348602</v>
      </c>
      <c r="AJ80" s="3">
        <v>62.954974999999997</v>
      </c>
      <c r="AK80" s="3">
        <v>60.312756</v>
      </c>
      <c r="AL80" s="3">
        <v>65.863349999999997</v>
      </c>
      <c r="AM80" s="3">
        <v>51.667889000000002</v>
      </c>
      <c r="AN80" s="3">
        <v>55.899090000000001</v>
      </c>
      <c r="AO80" s="3">
        <v>130.01068100000001</v>
      </c>
      <c r="AP80" s="3">
        <v>52.580883</v>
      </c>
      <c r="AQ80" s="3">
        <v>105.201363</v>
      </c>
      <c r="AR80" s="3">
        <v>56.537143999999998</v>
      </c>
      <c r="AS80" s="3">
        <v>62.223145000000002</v>
      </c>
      <c r="AT80" s="3">
        <v>68.492928000000006</v>
      </c>
      <c r="AU80" s="3">
        <v>64.357879999999994</v>
      </c>
      <c r="AV80" s="3">
        <v>57.994537000000001</v>
      </c>
      <c r="AW80" s="3">
        <v>60.469154000000003</v>
      </c>
      <c r="AX80" s="3">
        <v>59.065075</v>
      </c>
      <c r="AY80" s="3">
        <v>52.799736000000003</v>
      </c>
      <c r="AZ80" s="3">
        <v>62.400950999999999</v>
      </c>
      <c r="BA80" s="3">
        <v>86.826721000000006</v>
      </c>
      <c r="BB80" s="3">
        <v>54.708263000000002</v>
      </c>
      <c r="BC80" s="3">
        <v>108.25473</v>
      </c>
      <c r="BD80" s="3">
        <v>57.349651000000001</v>
      </c>
      <c r="BE80" s="3">
        <v>68.129761000000002</v>
      </c>
      <c r="BF80" s="3">
        <v>68.027809000000005</v>
      </c>
      <c r="BG80" s="3">
        <v>68.603904999999997</v>
      </c>
      <c r="BH80" s="3">
        <v>61.761764999999997</v>
      </c>
      <c r="BI80" s="3">
        <v>70.784744000000003</v>
      </c>
      <c r="BJ80" s="3">
        <v>56.056094999999999</v>
      </c>
      <c r="BK80" s="3">
        <v>71.044098000000005</v>
      </c>
      <c r="BL80" s="3">
        <v>49.356105999999997</v>
      </c>
      <c r="BM80" s="3">
        <v>47.984206999999998</v>
      </c>
      <c r="BN80" s="3">
        <v>141.88471999999999</v>
      </c>
      <c r="BO80" s="3">
        <v>52.806660000000001</v>
      </c>
      <c r="BP80" s="3">
        <v>98.685989000000006</v>
      </c>
      <c r="BQ80" s="3">
        <v>58.572533</v>
      </c>
      <c r="BR80" s="3">
        <v>91.556374000000005</v>
      </c>
      <c r="BS80" s="3">
        <v>75.443268000000003</v>
      </c>
      <c r="BT80" s="3">
        <v>80.421593000000001</v>
      </c>
      <c r="BU80" s="3">
        <v>63.847912000000001</v>
      </c>
      <c r="BV80" s="3">
        <v>125.013535</v>
      </c>
      <c r="BW80" s="3">
        <v>56.810101000000003</v>
      </c>
      <c r="BX80" s="3">
        <v>57.514724999999999</v>
      </c>
      <c r="BY80" s="3">
        <v>77.878692999999998</v>
      </c>
      <c r="BZ80" s="3">
        <v>79.932198</v>
      </c>
      <c r="CA80" s="3">
        <v>85.291106999999997</v>
      </c>
      <c r="CB80" s="3">
        <v>86.072029000000001</v>
      </c>
      <c r="CC80" s="3">
        <v>59.241528000000002</v>
      </c>
      <c r="CD80" s="3">
        <v>68.512589000000006</v>
      </c>
      <c r="CE80" s="3">
        <v>63.950595999999997</v>
      </c>
      <c r="CF80" s="3">
        <v>70.658051</v>
      </c>
      <c r="CG80" s="3">
        <v>53.179276000000002</v>
      </c>
      <c r="CH80" s="3">
        <v>69.715232999999998</v>
      </c>
      <c r="CI80" s="3">
        <v>55.699821</v>
      </c>
      <c r="CJ80" s="3">
        <v>67.499435000000005</v>
      </c>
      <c r="CK80" s="3">
        <v>51.659663999999999</v>
      </c>
      <c r="CL80" s="3">
        <v>45.815131999999998</v>
      </c>
      <c r="CM80" s="3">
        <v>133.28341699999999</v>
      </c>
      <c r="CN80" s="3">
        <v>55.893523999999999</v>
      </c>
      <c r="CO80" s="3">
        <v>92.037261999999998</v>
      </c>
      <c r="CP80" s="3">
        <v>52.202061</v>
      </c>
      <c r="CQ80" s="3">
        <v>95.343352999999993</v>
      </c>
      <c r="CR80" s="3">
        <v>65.710587000000004</v>
      </c>
      <c r="CS80" s="3">
        <v>98.464614999999995</v>
      </c>
      <c r="CT80" s="3">
        <v>57.576282999999997</v>
      </c>
      <c r="CU80" s="3">
        <v>117.871307</v>
      </c>
      <c r="CV80" s="3">
        <v>52.487788999999999</v>
      </c>
      <c r="CW80" s="3">
        <v>60.695557000000001</v>
      </c>
      <c r="CX80" s="3">
        <v>65.167434999999998</v>
      </c>
      <c r="CY80" s="3">
        <v>117.777916</v>
      </c>
      <c r="CZ80" s="3">
        <v>86.823265000000006</v>
      </c>
      <c r="DA80" s="3">
        <v>104.24514000000001</v>
      </c>
      <c r="DB80" s="3">
        <v>54.13044</v>
      </c>
      <c r="DC80" s="3">
        <v>67.582938999999996</v>
      </c>
      <c r="DD80" s="3">
        <v>72.002044999999995</v>
      </c>
      <c r="DE80" s="3">
        <v>71.820732000000007</v>
      </c>
      <c r="DF80" s="3">
        <v>64.88279</v>
      </c>
      <c r="DG80" s="3">
        <v>64.063918999999999</v>
      </c>
      <c r="DH80" s="3">
        <v>62.255428000000002</v>
      </c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</row>
    <row r="81" spans="2:207" x14ac:dyDescent="0.2">
      <c r="G81" s="3"/>
      <c r="H81" s="3"/>
      <c r="I81" s="3"/>
      <c r="J81" s="3"/>
      <c r="K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</row>
    <row r="82" spans="2:207" x14ac:dyDescent="0.2">
      <c r="D82" t="s">
        <v>6</v>
      </c>
      <c r="E82" t="s">
        <v>1</v>
      </c>
      <c r="F82">
        <f>COUNT(M82:GJ82)</f>
        <v>100</v>
      </c>
      <c r="G82" s="3">
        <f>AVERAGE(M82:GJ82)</f>
        <v>77.65157001</v>
      </c>
      <c r="H82" s="3">
        <f>MAX(M82:GJ82)</f>
        <v>165.776917</v>
      </c>
      <c r="I82" s="3">
        <f>MIN(M82:GJ82)</f>
        <v>43.53331</v>
      </c>
      <c r="J82" s="3">
        <f>_xlfn.STDEV.P(M82:GJ82)</f>
        <v>34.463309621884044</v>
      </c>
      <c r="K82" s="3">
        <f>_xlfn.VAR.S(M82:GJ82)</f>
        <v>1199.7168788826716</v>
      </c>
      <c r="M82" s="3">
        <v>58.813834999999997</v>
      </c>
      <c r="N82" s="3">
        <v>64.443314000000001</v>
      </c>
      <c r="O82" s="3">
        <v>52.102347999999999</v>
      </c>
      <c r="P82" s="3">
        <v>55.682364999999997</v>
      </c>
      <c r="Q82" s="3">
        <v>58.835735</v>
      </c>
      <c r="R82" s="3">
        <v>54.481318999999999</v>
      </c>
      <c r="S82" s="3">
        <v>76.912284999999997</v>
      </c>
      <c r="T82" s="3">
        <v>62.404792999999998</v>
      </c>
      <c r="U82" s="3">
        <v>50.193030999999998</v>
      </c>
      <c r="V82" s="3">
        <v>63.941738000000001</v>
      </c>
      <c r="W82" s="3">
        <v>66.007041999999998</v>
      </c>
      <c r="X82" s="3">
        <v>50.600104999999999</v>
      </c>
      <c r="Y82" s="3">
        <v>62.494919000000003</v>
      </c>
      <c r="Z82" s="3">
        <v>73.859261000000004</v>
      </c>
      <c r="AA82" s="3">
        <v>61.223267</v>
      </c>
      <c r="AB82" s="3">
        <v>55.552405999999998</v>
      </c>
      <c r="AC82" s="3">
        <v>51.852153999999999</v>
      </c>
      <c r="AD82" s="3">
        <v>50.942165000000003</v>
      </c>
      <c r="AE82" s="3">
        <v>58.432896</v>
      </c>
      <c r="AF82" s="3">
        <v>50.483531999999997</v>
      </c>
      <c r="AG82" s="3">
        <v>74.298446999999996</v>
      </c>
      <c r="AH82" s="3">
        <v>114.100037</v>
      </c>
      <c r="AI82" s="3">
        <v>48.461933000000002</v>
      </c>
      <c r="AJ82" s="3">
        <v>58.247799000000001</v>
      </c>
      <c r="AK82" s="3">
        <v>140.479996</v>
      </c>
      <c r="AL82" s="3">
        <v>58.746051999999999</v>
      </c>
      <c r="AM82" s="3">
        <v>149.677795</v>
      </c>
      <c r="AN82" s="3">
        <v>57.315815000000001</v>
      </c>
      <c r="AO82" s="3">
        <v>114.49533099999999</v>
      </c>
      <c r="AP82" s="3">
        <v>67.716278000000003</v>
      </c>
      <c r="AQ82" s="3">
        <v>55.530273000000001</v>
      </c>
      <c r="AR82" s="3">
        <v>58.026943000000003</v>
      </c>
      <c r="AS82" s="3">
        <v>70.044517999999997</v>
      </c>
      <c r="AT82" s="3">
        <v>54.489570999999998</v>
      </c>
      <c r="AU82" s="3">
        <v>59.930374</v>
      </c>
      <c r="AV82" s="3">
        <v>61.621513</v>
      </c>
      <c r="AW82" s="3">
        <v>43.53331</v>
      </c>
      <c r="AX82" s="3">
        <v>63.571396</v>
      </c>
      <c r="AY82" s="3">
        <v>145.52281199999999</v>
      </c>
      <c r="AZ82" s="3">
        <v>58.500908000000003</v>
      </c>
      <c r="BA82" s="3">
        <v>58.784534000000001</v>
      </c>
      <c r="BB82" s="3">
        <v>60.079700000000003</v>
      </c>
      <c r="BC82" s="3">
        <v>55.263275</v>
      </c>
      <c r="BD82" s="3">
        <v>61.986496000000002</v>
      </c>
      <c r="BE82" s="3">
        <v>125.86745500000001</v>
      </c>
      <c r="BF82" s="3">
        <v>60.834403999999999</v>
      </c>
      <c r="BG82" s="3">
        <v>94.004447999999996</v>
      </c>
      <c r="BH82" s="3">
        <v>111.570396</v>
      </c>
      <c r="BI82" s="3">
        <v>62.631691000000004</v>
      </c>
      <c r="BJ82" s="3">
        <v>154.92364499999999</v>
      </c>
      <c r="BK82" s="3">
        <v>67.830512999999996</v>
      </c>
      <c r="BL82" s="3">
        <v>54.410282000000002</v>
      </c>
      <c r="BM82" s="3">
        <v>53.666462000000003</v>
      </c>
      <c r="BN82" s="3">
        <v>83.065833999999995</v>
      </c>
      <c r="BO82" s="3">
        <v>118.08730300000001</v>
      </c>
      <c r="BP82" s="3">
        <v>52.078423000000001</v>
      </c>
      <c r="BQ82" s="3">
        <v>51.211036999999997</v>
      </c>
      <c r="BR82" s="3">
        <v>52.091498999999999</v>
      </c>
      <c r="BS82" s="3">
        <v>49.908203</v>
      </c>
      <c r="BT82" s="3">
        <v>58.357052000000003</v>
      </c>
      <c r="BU82" s="3">
        <v>68.222763</v>
      </c>
      <c r="BV82" s="3">
        <v>45.679302</v>
      </c>
      <c r="BW82" s="3">
        <v>141.900925</v>
      </c>
      <c r="BX82" s="3">
        <v>147.09579500000001</v>
      </c>
      <c r="BY82" s="3">
        <v>62.495628000000004</v>
      </c>
      <c r="BZ82" s="3">
        <v>60.581001000000001</v>
      </c>
      <c r="CA82" s="3">
        <v>70.185676999999998</v>
      </c>
      <c r="CB82" s="3">
        <v>58.469439999999999</v>
      </c>
      <c r="CC82" s="3">
        <v>51.163581999999998</v>
      </c>
      <c r="CD82" s="3">
        <v>153.565811</v>
      </c>
      <c r="CE82" s="3">
        <v>59.947074999999998</v>
      </c>
      <c r="CF82" s="3">
        <v>142.22976700000001</v>
      </c>
      <c r="CG82" s="3">
        <v>137.18240399999999</v>
      </c>
      <c r="CH82" s="3">
        <v>51.787154999999998</v>
      </c>
      <c r="CI82" s="3">
        <v>156.99629200000001</v>
      </c>
      <c r="CJ82" s="3">
        <v>60.110568999999998</v>
      </c>
      <c r="CK82" s="3">
        <v>118.597244</v>
      </c>
      <c r="CL82" s="3">
        <v>56.390785000000001</v>
      </c>
      <c r="CM82" s="3">
        <v>165.776917</v>
      </c>
      <c r="CN82" s="3">
        <v>125.376274</v>
      </c>
      <c r="CO82" s="3">
        <v>56.458739999999999</v>
      </c>
      <c r="CP82" s="3">
        <v>53.274529000000001</v>
      </c>
      <c r="CQ82" s="3">
        <v>57.013480999999999</v>
      </c>
      <c r="CR82" s="3">
        <v>48.651043000000001</v>
      </c>
      <c r="CS82" s="3">
        <v>57.329208000000001</v>
      </c>
      <c r="CT82" s="3">
        <v>59.998748999999997</v>
      </c>
      <c r="CU82" s="3">
        <v>47.437438999999998</v>
      </c>
      <c r="CV82" s="3">
        <v>123.259422</v>
      </c>
      <c r="CW82" s="3">
        <v>140.12226899999999</v>
      </c>
      <c r="CX82" s="3">
        <v>70.719077999999996</v>
      </c>
      <c r="CY82" s="3">
        <v>57.320793000000002</v>
      </c>
      <c r="CZ82" s="3">
        <v>63.494705000000003</v>
      </c>
      <c r="DA82" s="3">
        <v>56.695228999999998</v>
      </c>
      <c r="DB82" s="3">
        <v>50.399085999999997</v>
      </c>
      <c r="DC82" s="3">
        <v>111.375801</v>
      </c>
      <c r="DD82" s="3">
        <v>54.201309000000002</v>
      </c>
      <c r="DE82" s="3">
        <v>117.080185</v>
      </c>
      <c r="DF82" s="3">
        <v>148.659851</v>
      </c>
      <c r="DG82" s="3">
        <v>84.742424</v>
      </c>
      <c r="DH82" s="3">
        <v>152.946991</v>
      </c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</row>
    <row r="83" spans="2:207" x14ac:dyDescent="0.2">
      <c r="M83" s="3"/>
      <c r="N83" s="3"/>
    </row>
    <row r="84" spans="2:207" x14ac:dyDescent="0.2">
      <c r="M84" s="3"/>
      <c r="N84" s="3"/>
    </row>
    <row r="85" spans="2:207" x14ac:dyDescent="0.2">
      <c r="B85" t="s">
        <v>60</v>
      </c>
      <c r="D85" s="1" t="s">
        <v>40</v>
      </c>
    </row>
    <row r="86" spans="2:207" x14ac:dyDescent="0.2">
      <c r="B86" s="2" t="s">
        <v>39</v>
      </c>
      <c r="D86" t="s">
        <v>3</v>
      </c>
      <c r="E86" t="s">
        <v>1</v>
      </c>
      <c r="F86">
        <f>COUNT(M86:GJ86)</f>
        <v>100</v>
      </c>
      <c r="G86" s="3">
        <f>AVERAGE(M86:GJ86)</f>
        <v>117.03215183000006</v>
      </c>
      <c r="H86" s="3">
        <f>MAX(M86:GJ86)</f>
        <v>157.05891399999999</v>
      </c>
      <c r="I86" s="3">
        <f>MIN(M86:GJ86)</f>
        <v>69.108397999999994</v>
      </c>
      <c r="J86" s="3">
        <f>_xlfn.STDEV.P(M86:GJ86)</f>
        <v>17.32957925699246</v>
      </c>
      <c r="K86" s="3">
        <f>_xlfn.VAR.S(M86:GJ86)</f>
        <v>303.34779517614339</v>
      </c>
      <c r="M86" s="3">
        <v>125.946411</v>
      </c>
      <c r="N86" s="3">
        <v>114.698677</v>
      </c>
      <c r="O86" s="3">
        <v>99.221947</v>
      </c>
      <c r="P86" s="3">
        <v>87.145943000000003</v>
      </c>
      <c r="Q86" s="3">
        <v>131.29084800000001</v>
      </c>
      <c r="R86" s="3">
        <v>130.017349</v>
      </c>
      <c r="S86" s="3">
        <v>114.532669</v>
      </c>
      <c r="T86" s="3">
        <v>131.44480899999999</v>
      </c>
      <c r="U86" s="3">
        <v>90.132926999999995</v>
      </c>
      <c r="V86" s="3">
        <v>129.673294</v>
      </c>
      <c r="W86" s="3">
        <v>85.507514999999998</v>
      </c>
      <c r="X86" s="3">
        <v>128.81109599999999</v>
      </c>
      <c r="Y86" s="3">
        <v>102.105293</v>
      </c>
      <c r="Z86" s="3">
        <v>126.181747</v>
      </c>
      <c r="AA86" s="3">
        <v>130.47929400000001</v>
      </c>
      <c r="AB86" s="3">
        <v>98.424926999999997</v>
      </c>
      <c r="AC86" s="3">
        <v>116.20255299999999</v>
      </c>
      <c r="AD86" s="3">
        <v>112.596977</v>
      </c>
      <c r="AE86" s="3">
        <v>96.369185999999999</v>
      </c>
      <c r="AF86" s="3">
        <v>132.485443</v>
      </c>
      <c r="AG86" s="3">
        <v>102.39830000000001</v>
      </c>
      <c r="AH86" s="3">
        <v>87.380950999999996</v>
      </c>
      <c r="AI86" s="3">
        <v>124.415131</v>
      </c>
      <c r="AJ86" s="3">
        <v>122.405373</v>
      </c>
      <c r="AK86" s="3">
        <v>116.58625000000001</v>
      </c>
      <c r="AL86" s="3">
        <v>116.659012</v>
      </c>
      <c r="AM86" s="3">
        <v>132.14553799999999</v>
      </c>
      <c r="AN86" s="3">
        <v>157.05891399999999</v>
      </c>
      <c r="AO86" s="3">
        <v>126.75035099999999</v>
      </c>
      <c r="AP86" s="3">
        <v>110.16538199999999</v>
      </c>
      <c r="AQ86" s="3">
        <v>115.803467</v>
      </c>
      <c r="AR86" s="3">
        <v>121.910141</v>
      </c>
      <c r="AS86" s="3">
        <v>129.588898</v>
      </c>
      <c r="AT86" s="3">
        <v>128.75230400000001</v>
      </c>
      <c r="AU86" s="3">
        <v>129.41802999999999</v>
      </c>
      <c r="AV86" s="3">
        <v>116.60020400000001</v>
      </c>
      <c r="AW86" s="3">
        <v>111.294754</v>
      </c>
      <c r="AX86" s="3">
        <v>127.691422</v>
      </c>
      <c r="AY86" s="3">
        <v>143.22378499999999</v>
      </c>
      <c r="AZ86" s="3">
        <v>129.20156900000001</v>
      </c>
      <c r="BA86" s="3">
        <v>119.619125</v>
      </c>
      <c r="BB86" s="3">
        <v>140.533478</v>
      </c>
      <c r="BC86" s="3">
        <v>131.154068</v>
      </c>
      <c r="BD86" s="3">
        <v>110.593323</v>
      </c>
      <c r="BE86" s="3">
        <v>125.86292299999999</v>
      </c>
      <c r="BF86" s="3">
        <v>133.535492</v>
      </c>
      <c r="BG86" s="3">
        <v>94.557365000000004</v>
      </c>
      <c r="BH86" s="3">
        <v>105.117424</v>
      </c>
      <c r="BI86" s="3">
        <v>122.315727</v>
      </c>
      <c r="BJ86" s="3">
        <v>82.140845999999996</v>
      </c>
      <c r="BK86" s="3">
        <v>87.553352000000004</v>
      </c>
      <c r="BL86" s="3">
        <v>102.98241400000001</v>
      </c>
      <c r="BM86" s="3">
        <v>123.09021799999999</v>
      </c>
      <c r="BN86" s="3">
        <v>130.01959199999999</v>
      </c>
      <c r="BO86" s="3">
        <v>131.06379699999999</v>
      </c>
      <c r="BP86" s="3">
        <v>105.08399199999999</v>
      </c>
      <c r="BQ86" s="3">
        <v>103.19016999999999</v>
      </c>
      <c r="BR86" s="3">
        <v>146.459</v>
      </c>
      <c r="BS86" s="3">
        <v>100.55403099999999</v>
      </c>
      <c r="BT86" s="3">
        <v>69.108397999999994</v>
      </c>
      <c r="BU86" s="3">
        <v>120.88565800000001</v>
      </c>
      <c r="BV86" s="3">
        <v>133.778671</v>
      </c>
      <c r="BW86" s="3">
        <v>142.688782</v>
      </c>
      <c r="BX86" s="3">
        <v>120.400131</v>
      </c>
      <c r="BY86" s="3">
        <v>110.377258</v>
      </c>
      <c r="BZ86" s="3">
        <v>77.067573999999993</v>
      </c>
      <c r="CA86" s="3">
        <v>144.369125</v>
      </c>
      <c r="CB86" s="3">
        <v>147.301559</v>
      </c>
      <c r="CC86" s="3">
        <v>115.00151099999999</v>
      </c>
      <c r="CD86" s="3">
        <v>86.05677</v>
      </c>
      <c r="CE86" s="3">
        <v>116.24005099999999</v>
      </c>
      <c r="CF86" s="3">
        <v>96.589645000000004</v>
      </c>
      <c r="CG86" s="3">
        <v>126.229156</v>
      </c>
      <c r="CH86" s="3">
        <v>105.146584</v>
      </c>
      <c r="CI86" s="3">
        <v>122.265579</v>
      </c>
      <c r="CJ86" s="3">
        <v>116.176277</v>
      </c>
      <c r="CK86" s="3">
        <v>115.078789</v>
      </c>
      <c r="CL86" s="3">
        <v>133.05935700000001</v>
      </c>
      <c r="CM86" s="3">
        <v>123.552711</v>
      </c>
      <c r="CN86" s="3">
        <v>143.177109</v>
      </c>
      <c r="CO86" s="3">
        <v>113.91244500000001</v>
      </c>
      <c r="CP86" s="3">
        <v>90.576042000000001</v>
      </c>
      <c r="CQ86" s="3">
        <v>118.308617</v>
      </c>
      <c r="CR86" s="3">
        <v>124.882355</v>
      </c>
      <c r="CS86" s="3">
        <v>132.085983</v>
      </c>
      <c r="CT86" s="3">
        <v>112.76750199999999</v>
      </c>
      <c r="CU86" s="3">
        <v>137.51989699999999</v>
      </c>
      <c r="CV86" s="3">
        <v>85.818511999999998</v>
      </c>
      <c r="CW86" s="3">
        <v>123.919556</v>
      </c>
      <c r="CX86" s="3">
        <v>137.225021</v>
      </c>
      <c r="CY86" s="3">
        <v>126.38108099999999</v>
      </c>
      <c r="CZ86" s="3">
        <v>116.706001</v>
      </c>
      <c r="DA86" s="3">
        <v>134.799835</v>
      </c>
      <c r="DB86" s="3">
        <v>97.110969999999995</v>
      </c>
      <c r="DC86" s="3">
        <v>127.68611900000001</v>
      </c>
      <c r="DD86" s="3">
        <v>93.262810000000002</v>
      </c>
      <c r="DE86" s="3">
        <v>100.554588</v>
      </c>
      <c r="DF86" s="3">
        <v>110.440804</v>
      </c>
      <c r="DG86" s="3">
        <v>121.931892</v>
      </c>
      <c r="DH86" s="3">
        <v>104.62944</v>
      </c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</row>
    <row r="87" spans="2:207" x14ac:dyDescent="0.2">
      <c r="B87" s="2" t="s">
        <v>22</v>
      </c>
      <c r="G87" s="3"/>
      <c r="H87" s="3"/>
      <c r="I87" s="3"/>
      <c r="J87" s="3"/>
      <c r="K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</row>
    <row r="88" spans="2:207" x14ac:dyDescent="0.2">
      <c r="B88" s="2" t="s">
        <v>44</v>
      </c>
      <c r="D88" t="s">
        <v>4</v>
      </c>
      <c r="E88" t="s">
        <v>1</v>
      </c>
      <c r="F88">
        <f>COUNT(M88:GJ88)</f>
        <v>100</v>
      </c>
      <c r="G88" s="3">
        <f>AVERAGE(M88:GJ88)</f>
        <v>17.472433470000002</v>
      </c>
      <c r="H88" s="3">
        <f>MAX(M88:GJ88)</f>
        <v>36.917965000000002</v>
      </c>
      <c r="I88" s="3">
        <f>MIN(M88:GJ88)</f>
        <v>8.78857</v>
      </c>
      <c r="J88" s="3">
        <f>_xlfn.STDEV.P(M88:GJ88)</f>
        <v>4.3459653517791628</v>
      </c>
      <c r="K88" s="3">
        <f>_xlfn.VAR.S(M88:GJ88)</f>
        <v>19.078196806934312</v>
      </c>
      <c r="M88" s="3">
        <v>20.427624000000002</v>
      </c>
      <c r="N88" s="3">
        <v>16.511274</v>
      </c>
      <c r="O88" s="3">
        <v>19.288737999999999</v>
      </c>
      <c r="P88" s="3">
        <v>11.061681999999999</v>
      </c>
      <c r="Q88" s="3">
        <v>14.566117</v>
      </c>
      <c r="R88" s="3">
        <v>15.896474</v>
      </c>
      <c r="S88" s="3">
        <v>15.498778</v>
      </c>
      <c r="T88" s="3">
        <v>15.643264</v>
      </c>
      <c r="U88" s="3">
        <v>23.113564</v>
      </c>
      <c r="V88" s="3">
        <v>14.934193</v>
      </c>
      <c r="W88" s="3">
        <v>17.747437000000001</v>
      </c>
      <c r="X88" s="3">
        <v>18.991112000000001</v>
      </c>
      <c r="Y88" s="3">
        <v>17.607334000000002</v>
      </c>
      <c r="Z88" s="3">
        <v>15.115429000000001</v>
      </c>
      <c r="AA88" s="3">
        <v>28.524602999999999</v>
      </c>
      <c r="AB88" s="3">
        <v>19.163527999999999</v>
      </c>
      <c r="AC88" s="3">
        <v>14.205861000000001</v>
      </c>
      <c r="AD88" s="3">
        <v>13.280899</v>
      </c>
      <c r="AE88" s="3">
        <v>15.318201</v>
      </c>
      <c r="AF88" s="3">
        <v>20.565203</v>
      </c>
      <c r="AG88" s="3">
        <v>22.715516999999998</v>
      </c>
      <c r="AH88" s="3">
        <v>22.097742</v>
      </c>
      <c r="AI88" s="3">
        <v>16.458083999999999</v>
      </c>
      <c r="AJ88" s="3">
        <v>15.495683</v>
      </c>
      <c r="AK88" s="3">
        <v>14.690144999999999</v>
      </c>
      <c r="AL88" s="3">
        <v>16.034047999999999</v>
      </c>
      <c r="AM88" s="3">
        <v>17.177223000000001</v>
      </c>
      <c r="AN88" s="3">
        <v>27.739820000000002</v>
      </c>
      <c r="AO88" s="3">
        <v>13.495955</v>
      </c>
      <c r="AP88" s="3">
        <v>17.092102000000001</v>
      </c>
      <c r="AQ88" s="3">
        <v>15.647783</v>
      </c>
      <c r="AR88" s="3">
        <v>25.838308000000001</v>
      </c>
      <c r="AS88" s="3">
        <v>15.633862000000001</v>
      </c>
      <c r="AT88" s="3">
        <v>17.920912000000001</v>
      </c>
      <c r="AU88" s="3">
        <v>28.890149999999998</v>
      </c>
      <c r="AV88" s="3">
        <v>13.489641000000001</v>
      </c>
      <c r="AW88" s="3">
        <v>16.111930999999998</v>
      </c>
      <c r="AX88" s="3">
        <v>17.660862000000002</v>
      </c>
      <c r="AY88" s="3">
        <v>17.154893999999999</v>
      </c>
      <c r="AZ88" s="3">
        <v>11.66295</v>
      </c>
      <c r="BA88" s="3">
        <v>15.443232999999999</v>
      </c>
      <c r="BB88" s="3">
        <v>13.766280999999999</v>
      </c>
      <c r="BC88" s="3">
        <v>15.122752999999999</v>
      </c>
      <c r="BD88" s="3">
        <v>15.191361000000001</v>
      </c>
      <c r="BE88" s="3">
        <v>17.016932000000001</v>
      </c>
      <c r="BF88" s="3">
        <v>22.942883999999999</v>
      </c>
      <c r="BG88" s="3">
        <v>12.559447</v>
      </c>
      <c r="BH88" s="3">
        <v>8.78857</v>
      </c>
      <c r="BI88" s="3">
        <v>15.314309</v>
      </c>
      <c r="BJ88" s="3">
        <v>16.615278</v>
      </c>
      <c r="BK88" s="3">
        <v>14.831201999999999</v>
      </c>
      <c r="BL88" s="3">
        <v>16.307127000000001</v>
      </c>
      <c r="BM88" s="3">
        <v>19.057189999999999</v>
      </c>
      <c r="BN88" s="3">
        <v>19.860861</v>
      </c>
      <c r="BO88" s="3">
        <v>19.180631999999999</v>
      </c>
      <c r="BP88" s="3">
        <v>18.537572999999998</v>
      </c>
      <c r="BQ88" s="3">
        <v>23.519912999999999</v>
      </c>
      <c r="BR88" s="3">
        <v>17.284096000000002</v>
      </c>
      <c r="BS88" s="3">
        <v>14.312927999999999</v>
      </c>
      <c r="BT88" s="3">
        <v>15.949733999999999</v>
      </c>
      <c r="BU88" s="3">
        <v>14.781207999999999</v>
      </c>
      <c r="BV88" s="3">
        <v>18.698257000000002</v>
      </c>
      <c r="BW88" s="3">
        <v>16.481503</v>
      </c>
      <c r="BX88" s="3">
        <v>15.772385</v>
      </c>
      <c r="BY88" s="3">
        <v>25.718225</v>
      </c>
      <c r="BZ88" s="3">
        <v>19.386043999999998</v>
      </c>
      <c r="CA88" s="3">
        <v>13.275256000000001</v>
      </c>
      <c r="CB88" s="3">
        <v>15.383188000000001</v>
      </c>
      <c r="CC88" s="3">
        <v>14.789880999999999</v>
      </c>
      <c r="CD88" s="3">
        <v>18.937861999999999</v>
      </c>
      <c r="CE88" s="3">
        <v>18.182054999999998</v>
      </c>
      <c r="CF88" s="3">
        <v>26.885650999999999</v>
      </c>
      <c r="CG88" s="3">
        <v>16.477032000000001</v>
      </c>
      <c r="CH88" s="3">
        <v>18.951212000000002</v>
      </c>
      <c r="CI88" s="3">
        <v>18.462319999999998</v>
      </c>
      <c r="CJ88" s="3">
        <v>23.642239</v>
      </c>
      <c r="CK88" s="3">
        <v>16.193280999999999</v>
      </c>
      <c r="CL88" s="3">
        <v>16.596899000000001</v>
      </c>
      <c r="CM88" s="3">
        <v>13.253413999999999</v>
      </c>
      <c r="CN88" s="3">
        <v>13.468491</v>
      </c>
      <c r="CO88" s="3">
        <v>16.321584999999999</v>
      </c>
      <c r="CP88" s="3">
        <v>14.759663</v>
      </c>
      <c r="CQ88" s="3">
        <v>14.617501000000001</v>
      </c>
      <c r="CR88" s="3">
        <v>16.422394000000001</v>
      </c>
      <c r="CS88" s="3">
        <v>13.984156</v>
      </c>
      <c r="CT88" s="3">
        <v>16.352594</v>
      </c>
      <c r="CU88" s="3">
        <v>18.279046999999998</v>
      </c>
      <c r="CV88" s="3">
        <v>13.911530000000001</v>
      </c>
      <c r="CW88" s="3">
        <v>23.714758</v>
      </c>
      <c r="CX88" s="3">
        <v>26.056004000000001</v>
      </c>
      <c r="CY88" s="3">
        <v>17.960732</v>
      </c>
      <c r="CZ88" s="3">
        <v>16.250961</v>
      </c>
      <c r="DA88" s="3">
        <v>36.917965000000002</v>
      </c>
      <c r="DB88" s="3">
        <v>12.517813</v>
      </c>
      <c r="DC88" s="3">
        <v>17.044537999999999</v>
      </c>
      <c r="DD88" s="3">
        <v>20.711213999999998</v>
      </c>
      <c r="DE88" s="3">
        <v>15.432565</v>
      </c>
      <c r="DF88" s="3">
        <v>13.088243</v>
      </c>
      <c r="DG88" s="3">
        <v>13.767083</v>
      </c>
      <c r="DH88" s="3">
        <v>11.725367</v>
      </c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</row>
    <row r="89" spans="2:207" x14ac:dyDescent="0.2">
      <c r="G89" s="3"/>
      <c r="H89" s="3"/>
      <c r="I89" s="3"/>
      <c r="J89" s="3"/>
      <c r="K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</row>
    <row r="90" spans="2:207" x14ac:dyDescent="0.2">
      <c r="D90" t="s">
        <v>2</v>
      </c>
      <c r="E90" t="s">
        <v>1</v>
      </c>
      <c r="F90">
        <f>COUNT(M90:GJ90)</f>
        <v>100</v>
      </c>
      <c r="G90" s="3">
        <f>AVERAGE(M90:GJ90)</f>
        <v>32.591795309999995</v>
      </c>
      <c r="H90" s="3">
        <f>MAX(M90:GJ90)</f>
        <v>93.760779999999997</v>
      </c>
      <c r="I90" s="3">
        <f>MIN(M90:GJ90)</f>
        <v>13.792921</v>
      </c>
      <c r="J90" s="3">
        <f>_xlfn.STDEV.P(M90:GJ90)</f>
        <v>19.611889809145271</v>
      </c>
      <c r="K90" s="3">
        <f>_xlfn.VAR.S(M90:GJ90)</f>
        <v>388.51133523844044</v>
      </c>
      <c r="M90" s="3">
        <v>18.781199000000001</v>
      </c>
      <c r="N90" s="3">
        <v>29.728928</v>
      </c>
      <c r="O90" s="3">
        <v>20.993062999999999</v>
      </c>
      <c r="P90" s="3">
        <v>27.262799999999999</v>
      </c>
      <c r="Q90" s="3">
        <v>23.428094999999999</v>
      </c>
      <c r="R90" s="3">
        <v>22.082765999999999</v>
      </c>
      <c r="S90" s="3">
        <v>19.767645000000002</v>
      </c>
      <c r="T90" s="3">
        <v>16.177531999999999</v>
      </c>
      <c r="U90" s="3">
        <v>27.726088000000001</v>
      </c>
      <c r="V90" s="3">
        <v>27.762262</v>
      </c>
      <c r="W90" s="3">
        <v>26.338377000000001</v>
      </c>
      <c r="X90" s="3">
        <v>25.680461999999999</v>
      </c>
      <c r="Y90" s="3">
        <v>21.988712</v>
      </c>
      <c r="Z90" s="3">
        <v>39.279961</v>
      </c>
      <c r="AA90" s="3">
        <v>23.893412000000001</v>
      </c>
      <c r="AB90" s="3">
        <v>21.107256</v>
      </c>
      <c r="AC90" s="3">
        <v>19.364466</v>
      </c>
      <c r="AD90" s="3">
        <v>24.033131000000001</v>
      </c>
      <c r="AE90" s="3">
        <v>13.817867</v>
      </c>
      <c r="AF90" s="3">
        <v>24.297241</v>
      </c>
      <c r="AG90" s="3">
        <v>22.887671000000001</v>
      </c>
      <c r="AH90" s="3">
        <v>22.552938000000001</v>
      </c>
      <c r="AI90" s="3">
        <v>19.296436</v>
      </c>
      <c r="AJ90" s="3">
        <v>29.747747</v>
      </c>
      <c r="AK90" s="3">
        <v>13.927973</v>
      </c>
      <c r="AL90" s="3">
        <v>15.179007</v>
      </c>
      <c r="AM90" s="3">
        <v>63.788722999999997</v>
      </c>
      <c r="AN90" s="3">
        <v>23.609638</v>
      </c>
      <c r="AO90" s="3">
        <v>19.014288000000001</v>
      </c>
      <c r="AP90" s="3">
        <v>29.359648</v>
      </c>
      <c r="AQ90" s="3">
        <v>27.395399000000001</v>
      </c>
      <c r="AR90" s="3">
        <v>26.104704000000002</v>
      </c>
      <c r="AS90" s="3">
        <v>15.046745</v>
      </c>
      <c r="AT90" s="3">
        <v>46.175938000000002</v>
      </c>
      <c r="AU90" s="3">
        <v>32.901009000000002</v>
      </c>
      <c r="AV90" s="3">
        <v>55.088985000000001</v>
      </c>
      <c r="AW90" s="3">
        <v>24.118811000000001</v>
      </c>
      <c r="AX90" s="3">
        <v>26.371335999999999</v>
      </c>
      <c r="AY90" s="3">
        <v>42.604267</v>
      </c>
      <c r="AZ90" s="3">
        <v>24.678177000000002</v>
      </c>
      <c r="BA90" s="3">
        <v>27.852772000000002</v>
      </c>
      <c r="BB90" s="3">
        <v>15.014923</v>
      </c>
      <c r="BC90" s="3">
        <v>23.682303999999998</v>
      </c>
      <c r="BD90" s="3">
        <v>13.950737</v>
      </c>
      <c r="BE90" s="3">
        <v>33.247199999999999</v>
      </c>
      <c r="BF90" s="3">
        <v>22.519345999999999</v>
      </c>
      <c r="BG90" s="3">
        <v>37.552295999999998</v>
      </c>
      <c r="BH90" s="3">
        <v>15.278637</v>
      </c>
      <c r="BI90" s="3">
        <v>47.46125</v>
      </c>
      <c r="BJ90" s="3">
        <v>13.792921</v>
      </c>
      <c r="BK90" s="3">
        <v>14.051596</v>
      </c>
      <c r="BL90" s="3">
        <v>52.015633000000001</v>
      </c>
      <c r="BM90" s="3">
        <v>29.170159999999999</v>
      </c>
      <c r="BN90" s="3">
        <v>25.641832000000001</v>
      </c>
      <c r="BO90" s="3">
        <v>23.815313</v>
      </c>
      <c r="BP90" s="3">
        <v>32.240208000000003</v>
      </c>
      <c r="BQ90" s="3">
        <v>30.522722000000002</v>
      </c>
      <c r="BR90" s="3">
        <v>17.172654999999999</v>
      </c>
      <c r="BS90" s="3">
        <v>84.547729000000004</v>
      </c>
      <c r="BT90" s="3">
        <v>69.880263999999997</v>
      </c>
      <c r="BU90" s="3">
        <v>54.951481000000001</v>
      </c>
      <c r="BV90" s="3">
        <v>29.598966999999998</v>
      </c>
      <c r="BW90" s="3">
        <v>50.545830000000002</v>
      </c>
      <c r="BX90" s="3">
        <v>81.174689999999998</v>
      </c>
      <c r="BY90" s="3">
        <v>16.380939000000001</v>
      </c>
      <c r="BZ90" s="3">
        <v>16.049869999999999</v>
      </c>
      <c r="CA90" s="3">
        <v>15.320997</v>
      </c>
      <c r="CB90" s="3">
        <v>27.379631</v>
      </c>
      <c r="CC90" s="3">
        <v>15.521667000000001</v>
      </c>
      <c r="CD90" s="3">
        <v>39.832343999999999</v>
      </c>
      <c r="CE90" s="3">
        <v>31.992125999999999</v>
      </c>
      <c r="CF90" s="3">
        <v>46.350909999999999</v>
      </c>
      <c r="CG90" s="3">
        <v>15.2075</v>
      </c>
      <c r="CH90" s="3">
        <v>76.336151000000001</v>
      </c>
      <c r="CI90" s="3">
        <v>14.582062000000001</v>
      </c>
      <c r="CJ90" s="3">
        <v>15.178419</v>
      </c>
      <c r="CK90" s="3">
        <v>93.760779999999997</v>
      </c>
      <c r="CL90" s="3">
        <v>42.129233999999997</v>
      </c>
      <c r="CM90" s="3">
        <v>52.046878999999997</v>
      </c>
      <c r="CN90" s="3">
        <v>15.868058</v>
      </c>
      <c r="CO90" s="3">
        <v>33.000694000000003</v>
      </c>
      <c r="CP90" s="3">
        <v>31.623605999999999</v>
      </c>
      <c r="CQ90" s="3">
        <v>18.257148999999998</v>
      </c>
      <c r="CR90" s="3">
        <v>79.274215999999996</v>
      </c>
      <c r="CS90" s="3">
        <v>68.993781999999996</v>
      </c>
      <c r="CT90" s="3">
        <v>60.174953000000002</v>
      </c>
      <c r="CU90" s="3">
        <v>31.524515000000001</v>
      </c>
      <c r="CV90" s="3">
        <v>63.600791999999998</v>
      </c>
      <c r="CW90" s="3">
        <v>86.974463999999998</v>
      </c>
      <c r="CX90" s="3">
        <v>18.136545000000002</v>
      </c>
      <c r="CY90" s="3">
        <v>16.330828</v>
      </c>
      <c r="CZ90" s="3">
        <v>14.738911999999999</v>
      </c>
      <c r="DA90" s="3">
        <v>25.648879999999998</v>
      </c>
      <c r="DB90" s="3">
        <v>15.771131</v>
      </c>
      <c r="DC90" s="3">
        <v>82.744872999999998</v>
      </c>
      <c r="DD90" s="3">
        <v>37.130512000000003</v>
      </c>
      <c r="DE90" s="3">
        <v>53.886723000000003</v>
      </c>
      <c r="DF90" s="3">
        <v>14.023857</v>
      </c>
      <c r="DG90" s="3">
        <v>58.648949000000002</v>
      </c>
      <c r="DH90" s="3">
        <v>15.714414</v>
      </c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</row>
    <row r="91" spans="2:207" x14ac:dyDescent="0.2">
      <c r="G91" s="3"/>
      <c r="H91" s="3"/>
      <c r="I91" s="3"/>
      <c r="J91" s="3"/>
      <c r="K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</row>
    <row r="92" spans="2:207" x14ac:dyDescent="0.2">
      <c r="D92" t="s">
        <v>5</v>
      </c>
      <c r="E92" t="s">
        <v>1</v>
      </c>
      <c r="F92">
        <f>COUNT(M92:GJ92)</f>
        <v>100</v>
      </c>
      <c r="G92" s="3">
        <f>AVERAGE(M92:GJ92)</f>
        <v>21.292181420000006</v>
      </c>
      <c r="H92" s="3">
        <f>MAX(M92:GJ92)</f>
        <v>83.749153000000007</v>
      </c>
      <c r="I92" s="3">
        <f>MIN(M92:GJ92)</f>
        <v>7.7745949999999997</v>
      </c>
      <c r="J92" s="3">
        <f>_xlfn.STDEV.P(M92:GJ92)</f>
        <v>22.745457818812692</v>
      </c>
      <c r="K92" s="3">
        <f>_xlfn.VAR.S(M92:GJ92)</f>
        <v>522.5816680680681</v>
      </c>
      <c r="M92" s="3">
        <v>10.327507000000001</v>
      </c>
      <c r="N92" s="3">
        <v>9.4445300000000003</v>
      </c>
      <c r="O92" s="3">
        <v>8.8075209999999995</v>
      </c>
      <c r="P92" s="3">
        <v>9.5694630000000007</v>
      </c>
      <c r="Q92" s="3">
        <v>11.433445000000001</v>
      </c>
      <c r="R92" s="3">
        <v>68.242148999999998</v>
      </c>
      <c r="S92" s="3">
        <v>13.983013</v>
      </c>
      <c r="T92" s="3">
        <v>8.1129200000000008</v>
      </c>
      <c r="U92" s="3">
        <v>10.860112000000001</v>
      </c>
      <c r="V92" s="3">
        <v>11.135434</v>
      </c>
      <c r="W92" s="3">
        <v>15.411624</v>
      </c>
      <c r="X92" s="3">
        <v>8.3602170000000005</v>
      </c>
      <c r="Y92" s="3">
        <v>9.9677530000000001</v>
      </c>
      <c r="Z92" s="3">
        <v>13.677567</v>
      </c>
      <c r="AA92" s="3">
        <v>9.9087239999999994</v>
      </c>
      <c r="AB92" s="3">
        <v>9.4871890000000008</v>
      </c>
      <c r="AC92" s="3">
        <v>9.6093060000000001</v>
      </c>
      <c r="AD92" s="3">
        <v>44.1661</v>
      </c>
      <c r="AE92" s="3">
        <v>10.565605</v>
      </c>
      <c r="AF92" s="3">
        <v>11.218496</v>
      </c>
      <c r="AG92" s="3">
        <v>14.194471999999999</v>
      </c>
      <c r="AH92" s="3">
        <v>9.0169339999999991</v>
      </c>
      <c r="AI92" s="3">
        <v>9.9270669999999992</v>
      </c>
      <c r="AJ92" s="3">
        <v>8.8854690000000005</v>
      </c>
      <c r="AK92" s="3">
        <v>9.2800589999999996</v>
      </c>
      <c r="AL92" s="3">
        <v>10.572036000000001</v>
      </c>
      <c r="AM92" s="3">
        <v>9.3845569999999991</v>
      </c>
      <c r="AN92" s="3">
        <v>10.800433999999999</v>
      </c>
      <c r="AO92" s="3">
        <v>70.848663000000002</v>
      </c>
      <c r="AP92" s="3">
        <v>8.803642</v>
      </c>
      <c r="AQ92" s="3">
        <v>64.123954999999995</v>
      </c>
      <c r="AR92" s="3">
        <v>10.602971</v>
      </c>
      <c r="AS92" s="3">
        <v>9.8705390000000008</v>
      </c>
      <c r="AT92" s="3">
        <v>10.76057</v>
      </c>
      <c r="AU92" s="3">
        <v>11.747472999999999</v>
      </c>
      <c r="AV92" s="3">
        <v>14.786322999999999</v>
      </c>
      <c r="AW92" s="3">
        <v>8.6757030000000004</v>
      </c>
      <c r="AX92" s="3">
        <v>7.8638310000000002</v>
      </c>
      <c r="AY92" s="3">
        <v>8.2896660000000004</v>
      </c>
      <c r="AZ92" s="3">
        <v>8.7289100000000008</v>
      </c>
      <c r="BA92" s="3">
        <v>12.252174999999999</v>
      </c>
      <c r="BB92" s="3">
        <v>8.5056229999999999</v>
      </c>
      <c r="BC92" s="3">
        <v>75.555381999999994</v>
      </c>
      <c r="BD92" s="3">
        <v>8.3654240000000009</v>
      </c>
      <c r="BE92" s="3">
        <v>10.721349999999999</v>
      </c>
      <c r="BF92" s="3">
        <v>10.493747000000001</v>
      </c>
      <c r="BG92" s="3">
        <v>9.5798909999999999</v>
      </c>
      <c r="BH92" s="3">
        <v>9.4589970000000001</v>
      </c>
      <c r="BI92" s="3">
        <v>11.050582</v>
      </c>
      <c r="BJ92" s="3">
        <v>8.8306909999999998</v>
      </c>
      <c r="BK92" s="3">
        <v>12.298576000000001</v>
      </c>
      <c r="BL92" s="3">
        <v>8.9258089999999992</v>
      </c>
      <c r="BM92" s="3">
        <v>9.8252570000000006</v>
      </c>
      <c r="BN92" s="3">
        <v>83.749153000000007</v>
      </c>
      <c r="BO92" s="3">
        <v>9.5131750000000004</v>
      </c>
      <c r="BP92" s="3">
        <v>67.011916999999997</v>
      </c>
      <c r="BQ92" s="3">
        <v>8.3027110000000004</v>
      </c>
      <c r="BR92" s="3">
        <v>53.752628000000001</v>
      </c>
      <c r="BS92" s="3">
        <v>11.477159</v>
      </c>
      <c r="BT92" s="3">
        <v>32.101871000000003</v>
      </c>
      <c r="BU92" s="3">
        <v>16.886887000000002</v>
      </c>
      <c r="BV92" s="3">
        <v>81.540854999999993</v>
      </c>
      <c r="BW92" s="3">
        <v>7.7745949999999997</v>
      </c>
      <c r="BX92" s="3">
        <v>8.6403890000000008</v>
      </c>
      <c r="BY92" s="3">
        <v>11.026775000000001</v>
      </c>
      <c r="BZ92" s="3">
        <v>9.0055829999999997</v>
      </c>
      <c r="CA92" s="3">
        <v>53.083466000000001</v>
      </c>
      <c r="CB92" s="3">
        <v>56.541930999999998</v>
      </c>
      <c r="CC92" s="3">
        <v>10.936997</v>
      </c>
      <c r="CD92" s="3">
        <v>11.609643999999999</v>
      </c>
      <c r="CE92" s="3">
        <v>9.7591190000000001</v>
      </c>
      <c r="CF92" s="3">
        <v>10.611763</v>
      </c>
      <c r="CG92" s="3">
        <v>8.2285029999999999</v>
      </c>
      <c r="CH92" s="3">
        <v>12.903479000000001</v>
      </c>
      <c r="CI92" s="3">
        <v>9.1538450000000005</v>
      </c>
      <c r="CJ92" s="3">
        <v>14.017414</v>
      </c>
      <c r="CK92" s="3">
        <v>8.3800439999999998</v>
      </c>
      <c r="CL92" s="3">
        <v>10.23451</v>
      </c>
      <c r="CM92" s="3">
        <v>80.25412</v>
      </c>
      <c r="CN92" s="3">
        <v>9.1879849999999994</v>
      </c>
      <c r="CO92" s="3">
        <v>62.002167</v>
      </c>
      <c r="CP92" s="3">
        <v>8.6190329999999999</v>
      </c>
      <c r="CQ92" s="3">
        <v>56.700026999999999</v>
      </c>
      <c r="CR92" s="3">
        <v>11.563796999999999</v>
      </c>
      <c r="CS92" s="3">
        <v>62.834339</v>
      </c>
      <c r="CT92" s="3">
        <v>17.406185000000001</v>
      </c>
      <c r="CU92" s="3">
        <v>77.590958000000001</v>
      </c>
      <c r="CV92" s="3">
        <v>8.4344199999999994</v>
      </c>
      <c r="CW92" s="3">
        <v>8.8381819999999998</v>
      </c>
      <c r="CX92" s="3">
        <v>8.561178</v>
      </c>
      <c r="CY92" s="3">
        <v>74.337860000000006</v>
      </c>
      <c r="CZ92" s="3">
        <v>56.943370999999999</v>
      </c>
      <c r="DA92" s="3">
        <v>80.134178000000006</v>
      </c>
      <c r="DB92" s="3">
        <v>11.955366</v>
      </c>
      <c r="DC92" s="3">
        <v>11.065778999999999</v>
      </c>
      <c r="DD92" s="3">
        <v>9.9841669999999993</v>
      </c>
      <c r="DE92" s="3">
        <v>10.292139000000001</v>
      </c>
      <c r="DF92" s="3">
        <v>10.044687</v>
      </c>
      <c r="DG92" s="3">
        <v>10.007725000000001</v>
      </c>
      <c r="DH92" s="3">
        <v>8.9006129999999999</v>
      </c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</row>
    <row r="93" spans="2:207" x14ac:dyDescent="0.2">
      <c r="G93" s="3"/>
      <c r="H93" s="3"/>
      <c r="I93" s="3"/>
      <c r="J93" s="3"/>
      <c r="K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</row>
    <row r="94" spans="2:207" x14ac:dyDescent="0.2">
      <c r="D94" t="s">
        <v>6</v>
      </c>
      <c r="E94" t="s">
        <v>1</v>
      </c>
      <c r="F94">
        <f>COUNT(M94:GJ94)</f>
        <v>100</v>
      </c>
      <c r="G94" s="3">
        <f>AVERAGE(M94:GJ94)</f>
        <v>31.713185929999995</v>
      </c>
      <c r="H94" s="3">
        <f>MAX(M94:GJ94)</f>
        <v>129.01147499999999</v>
      </c>
      <c r="I94" s="3">
        <f>MIN(M94:GJ94)</f>
        <v>7.3768940000000001</v>
      </c>
      <c r="J94" s="3">
        <f>_xlfn.STDEV.P(M94:GJ94)</f>
        <v>38.814198789097595</v>
      </c>
      <c r="K94" s="3">
        <f>_xlfn.VAR.S(M94:GJ94)</f>
        <v>1521.7596238783688</v>
      </c>
      <c r="M94" s="3">
        <v>8.5126489999999997</v>
      </c>
      <c r="N94" s="3">
        <v>23.424666999999999</v>
      </c>
      <c r="O94" s="3">
        <v>10.114611999999999</v>
      </c>
      <c r="P94" s="3">
        <v>9.0318170000000002</v>
      </c>
      <c r="Q94">
        <v>8.6253679999999999</v>
      </c>
      <c r="R94" s="3">
        <v>9.1185670000000005</v>
      </c>
      <c r="S94" s="3">
        <v>12.596363999999999</v>
      </c>
      <c r="T94" s="3">
        <v>10.558584</v>
      </c>
      <c r="U94" s="3">
        <v>9.1759199999999996</v>
      </c>
      <c r="V94" s="3">
        <v>8.7523789999999995</v>
      </c>
      <c r="W94" s="3">
        <v>9.6698199999999996</v>
      </c>
      <c r="X94" s="3">
        <v>9.4557739999999999</v>
      </c>
      <c r="Y94" s="3">
        <v>14.750043</v>
      </c>
      <c r="Z94" s="3">
        <v>26.600897</v>
      </c>
      <c r="AA94" s="3">
        <v>9.4756300000000007</v>
      </c>
      <c r="AB94" s="3">
        <v>10.066701</v>
      </c>
      <c r="AC94" s="3">
        <v>8.0999440000000007</v>
      </c>
      <c r="AD94" s="3">
        <v>8.592193</v>
      </c>
      <c r="AE94" s="3">
        <v>8.5495300000000007</v>
      </c>
      <c r="AF94" s="3">
        <v>9.050789</v>
      </c>
      <c r="AG94" s="3">
        <v>8.6782839999999997</v>
      </c>
      <c r="AH94" s="3">
        <v>81.221953999999997</v>
      </c>
      <c r="AI94" s="3">
        <v>9.3785100000000003</v>
      </c>
      <c r="AJ94" s="3">
        <v>9.6420809999999992</v>
      </c>
      <c r="AK94" s="3">
        <v>87.824225999999996</v>
      </c>
      <c r="AL94" s="3">
        <v>11.751225</v>
      </c>
      <c r="AM94" s="3">
        <v>124.385925</v>
      </c>
      <c r="AN94" s="3">
        <v>8.9699919999999995</v>
      </c>
      <c r="AO94" s="3">
        <v>73.078827000000004</v>
      </c>
      <c r="AP94" s="3">
        <v>16.252724000000001</v>
      </c>
      <c r="AQ94" s="3">
        <v>8.5969309999999997</v>
      </c>
      <c r="AR94" s="3">
        <v>10.391632</v>
      </c>
      <c r="AS94" s="3">
        <v>11.649505</v>
      </c>
      <c r="AT94" s="3">
        <v>8.3430820000000008</v>
      </c>
      <c r="AU94" s="3">
        <v>7.9022730000000001</v>
      </c>
      <c r="AV94" s="3">
        <v>8.651249</v>
      </c>
      <c r="AW94" s="3">
        <v>8.4648710000000005</v>
      </c>
      <c r="AX94" s="3">
        <v>12.592726000000001</v>
      </c>
      <c r="AY94" s="3">
        <v>97.039046999999997</v>
      </c>
      <c r="AZ94" s="3">
        <v>8.6180459999999997</v>
      </c>
      <c r="BA94" s="3">
        <v>9.325412</v>
      </c>
      <c r="BB94" s="3">
        <v>7.8927779999999998</v>
      </c>
      <c r="BC94" s="3">
        <v>9.3269990000000007</v>
      </c>
      <c r="BD94" s="3">
        <v>8.0422510000000003</v>
      </c>
      <c r="BE94" s="3">
        <v>103.668938</v>
      </c>
      <c r="BF94" s="3">
        <v>8.9071859999999994</v>
      </c>
      <c r="BG94" s="3">
        <v>37.425060000000002</v>
      </c>
      <c r="BH94" s="3">
        <v>61.091239999999999</v>
      </c>
      <c r="BI94" s="3">
        <v>9.4590440000000005</v>
      </c>
      <c r="BJ94" s="3">
        <v>127.01340500000001</v>
      </c>
      <c r="BK94" s="3">
        <v>15.108546</v>
      </c>
      <c r="BL94" s="3">
        <v>9.4591030000000007</v>
      </c>
      <c r="BM94" s="3">
        <v>10.081893000000001</v>
      </c>
      <c r="BN94" s="3">
        <v>34.511726000000003</v>
      </c>
      <c r="BO94" s="3">
        <v>59.377785000000003</v>
      </c>
      <c r="BP94" s="3">
        <v>8.1520220000000005</v>
      </c>
      <c r="BQ94" s="3">
        <v>9.2432230000000004</v>
      </c>
      <c r="BR94" s="3">
        <v>9.6333479999999998</v>
      </c>
      <c r="BS94" s="3">
        <v>8.1520499999999991</v>
      </c>
      <c r="BT94" s="3">
        <v>7.6067429999999998</v>
      </c>
      <c r="BU94" s="3">
        <v>7.9848379999999999</v>
      </c>
      <c r="BV94" s="3">
        <v>8.4914050000000003</v>
      </c>
      <c r="BW94" s="3">
        <v>107.33947000000001</v>
      </c>
      <c r="BX94" s="3">
        <v>117.260704</v>
      </c>
      <c r="BY94" s="3">
        <v>8.7973040000000005</v>
      </c>
      <c r="BZ94" s="3">
        <v>9.2706900000000001</v>
      </c>
      <c r="CA94" s="3">
        <v>9.7244189999999993</v>
      </c>
      <c r="CB94" s="3">
        <v>7.6659930000000003</v>
      </c>
      <c r="CC94" s="3">
        <v>7.9698570000000002</v>
      </c>
      <c r="CD94" s="3">
        <v>108.52488700000001</v>
      </c>
      <c r="CE94" s="3">
        <v>7.7289219999999998</v>
      </c>
      <c r="CF94" s="3">
        <v>77.712601000000006</v>
      </c>
      <c r="CG94" s="3">
        <v>107.12217699999999</v>
      </c>
      <c r="CH94" s="3">
        <v>9.3293660000000003</v>
      </c>
      <c r="CI94" s="3">
        <v>120.678787</v>
      </c>
      <c r="CJ94" s="3">
        <v>8.1940729999999995</v>
      </c>
      <c r="CK94" s="3">
        <v>96.397582999999997</v>
      </c>
      <c r="CL94" s="3">
        <v>10.086321999999999</v>
      </c>
      <c r="CM94" s="3">
        <v>108.164383</v>
      </c>
      <c r="CN94" s="3">
        <v>87.815528999999998</v>
      </c>
      <c r="CO94" s="3">
        <v>8.6511379999999996</v>
      </c>
      <c r="CP94" s="3">
        <v>12.064315000000001</v>
      </c>
      <c r="CQ94" s="3">
        <v>8.7451270000000001</v>
      </c>
      <c r="CR94" s="3">
        <v>8.3578770000000002</v>
      </c>
      <c r="CS94" s="3">
        <v>8.3831249999999997</v>
      </c>
      <c r="CT94" s="3">
        <v>7.3768940000000001</v>
      </c>
      <c r="CU94" s="3">
        <v>9.0626149999999992</v>
      </c>
      <c r="CV94" s="3">
        <v>102.214867</v>
      </c>
      <c r="CW94" s="3">
        <v>106.123833</v>
      </c>
      <c r="CX94" s="3">
        <v>9.2598719999999997</v>
      </c>
      <c r="CY94" s="3">
        <v>8.8084539999999993</v>
      </c>
      <c r="CZ94" s="3">
        <v>8.0872159999999997</v>
      </c>
      <c r="DA94" s="3">
        <v>10.113143000000001</v>
      </c>
      <c r="DB94" s="3">
        <v>8.7380429999999993</v>
      </c>
      <c r="DC94" s="3">
        <v>69.148132000000004</v>
      </c>
      <c r="DD94" s="3">
        <v>8.7520159999999994</v>
      </c>
      <c r="DE94" s="3">
        <v>78.352562000000006</v>
      </c>
      <c r="DF94" s="3">
        <v>129.01147499999999</v>
      </c>
      <c r="DG94" s="3">
        <v>34.529693999999999</v>
      </c>
      <c r="DH94" s="3">
        <v>118.144775</v>
      </c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2026-03-05T19:52:22Z</dcterms:modified>
</cp:coreProperties>
</file>