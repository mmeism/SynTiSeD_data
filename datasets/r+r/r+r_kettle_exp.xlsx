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me02/Documents/SynTiSeD_data/r+r/"/>
    </mc:Choice>
  </mc:AlternateContent>
  <xr:revisionPtr revIDLastSave="0" documentId="13_ncr:1_{2D37BC74-0294-4042-9038-882E629433C8}" xr6:coauthVersionLast="47" xr6:coauthVersionMax="47" xr10:uidLastSave="{00000000-0000-0000-0000-000000000000}"/>
  <bookViews>
    <workbookView xWindow="34260" yWindow="1980" windowWidth="29040" windowHeight="17640" xr2:uid="{FC2E3554-D7D3-4A9E-B1F9-EEFBB52B2312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22" i="1" l="1"/>
  <c r="G22" i="1"/>
  <c r="H22" i="1"/>
  <c r="I22" i="1"/>
  <c r="J22" i="1"/>
  <c r="K22" i="1"/>
  <c r="F20" i="1"/>
  <c r="G20" i="1"/>
  <c r="H20" i="1"/>
  <c r="I20" i="1"/>
  <c r="J20" i="1"/>
  <c r="K20" i="1"/>
  <c r="F18" i="1"/>
  <c r="G18" i="1"/>
  <c r="H18" i="1"/>
  <c r="I18" i="1"/>
  <c r="J18" i="1"/>
  <c r="K18" i="1"/>
  <c r="F16" i="1"/>
  <c r="G16" i="1"/>
  <c r="H16" i="1"/>
  <c r="I16" i="1"/>
  <c r="J16" i="1"/>
  <c r="K16" i="1"/>
  <c r="F14" i="1"/>
  <c r="G14" i="1"/>
  <c r="H14" i="1"/>
  <c r="I14" i="1"/>
  <c r="J14" i="1"/>
  <c r="K14" i="1"/>
  <c r="K48" i="1"/>
  <c r="J48" i="1"/>
  <c r="I48" i="1"/>
  <c r="H48" i="1"/>
  <c r="G48" i="1"/>
  <c r="F48" i="1"/>
  <c r="K46" i="1"/>
  <c r="J46" i="1"/>
  <c r="I46" i="1"/>
  <c r="H46" i="1"/>
  <c r="G46" i="1"/>
  <c r="F46" i="1"/>
  <c r="K44" i="1"/>
  <c r="J44" i="1"/>
  <c r="I44" i="1"/>
  <c r="H44" i="1"/>
  <c r="G44" i="1"/>
  <c r="F44" i="1"/>
  <c r="K42" i="1"/>
  <c r="J42" i="1"/>
  <c r="I42" i="1"/>
  <c r="H42" i="1"/>
  <c r="G42" i="1"/>
  <c r="F42" i="1"/>
  <c r="K40" i="1"/>
  <c r="J40" i="1"/>
  <c r="I40" i="1"/>
  <c r="H40" i="1"/>
  <c r="G40" i="1"/>
  <c r="F40" i="1"/>
  <c r="K35" i="1"/>
  <c r="J35" i="1"/>
  <c r="I35" i="1"/>
  <c r="H35" i="1"/>
  <c r="G35" i="1"/>
  <c r="F35" i="1"/>
  <c r="K33" i="1"/>
  <c r="J33" i="1"/>
  <c r="I33" i="1"/>
  <c r="H33" i="1"/>
  <c r="G33" i="1"/>
  <c r="F33" i="1"/>
  <c r="K31" i="1"/>
  <c r="J31" i="1"/>
  <c r="I31" i="1"/>
  <c r="H31" i="1"/>
  <c r="G31" i="1"/>
  <c r="F31" i="1"/>
  <c r="K29" i="1"/>
  <c r="J29" i="1"/>
  <c r="I29" i="1"/>
  <c r="H29" i="1"/>
  <c r="G29" i="1"/>
  <c r="F29" i="1"/>
  <c r="K27" i="1"/>
  <c r="J27" i="1"/>
  <c r="I27" i="1"/>
  <c r="H27" i="1"/>
  <c r="G27" i="1"/>
  <c r="F27" i="1"/>
  <c r="G10" i="1" l="1"/>
  <c r="G6" i="1"/>
  <c r="G9" i="1"/>
  <c r="G8" i="1"/>
  <c r="G7" i="1"/>
</calcChain>
</file>

<file path=xl/sharedStrings.xml><?xml version="1.0" encoding="utf-8"?>
<sst xmlns="http://schemas.openxmlformats.org/spreadsheetml/2006/main" count="78" uniqueCount="51">
  <si>
    <t>Konfig:</t>
  </si>
  <si>
    <t>MAE</t>
  </si>
  <si>
    <t>DAE</t>
  </si>
  <si>
    <t>RNN</t>
  </si>
  <si>
    <t>WindowGRU</t>
  </si>
  <si>
    <t>Seq2Seq</t>
  </si>
  <si>
    <t>Seq2Point</t>
  </si>
  <si>
    <t>für alle Algorithmen stardart NILM settings</t>
  </si>
  <si>
    <t>NILM Algorithms:</t>
  </si>
  <si>
    <t>Metric</t>
  </si>
  <si>
    <t>Number of exp</t>
  </si>
  <si>
    <t>Mean</t>
  </si>
  <si>
    <t>Max</t>
  </si>
  <si>
    <t>Min</t>
  </si>
  <si>
    <t>Standart deviation</t>
  </si>
  <si>
    <t>Variance</t>
  </si>
  <si>
    <t>Experiments</t>
  </si>
  <si>
    <t>start_time': '2020-01-04'</t>
  </si>
  <si>
    <t>train_real: (hh_04)</t>
  </si>
  <si>
    <t>device: kettle</t>
  </si>
  <si>
    <t>buildings': 8</t>
  </si>
  <si>
    <t>start_time': '2020-01-03'</t>
  </si>
  <si>
    <t>start_time': '2020-01-31'</t>
  </si>
  <si>
    <t>buildings': 11</t>
  </si>
  <si>
    <t>start_time': '2019-12-12'</t>
  </si>
  <si>
    <t>end_time': '2019-12-29'</t>
  </si>
  <si>
    <t>buildings': 17</t>
  </si>
  <si>
    <t>start_time': '2020-01-07'</t>
  </si>
  <si>
    <t>end_time': '2020-01-31'</t>
  </si>
  <si>
    <t>reale Testdaten(hh_17):</t>
  </si>
  <si>
    <t>reale Testdaten(hh_11):</t>
  </si>
  <si>
    <t>reale Testdaten(hh_08):</t>
  </si>
  <si>
    <t>train_real: (hh_01)</t>
  </si>
  <si>
    <t>start_time': '2020-03-01'</t>
  </si>
  <si>
    <t>train_real: (hh_07)</t>
  </si>
  <si>
    <t>start_time': '2019-11-01'</t>
  </si>
  <si>
    <t>train_real: (hh_14)</t>
  </si>
  <si>
    <t>start_time': '2020-04-01'</t>
  </si>
  <si>
    <t>validierung: Validation from training data (15%)</t>
  </si>
  <si>
    <t>RNN_total</t>
  </si>
  <si>
    <t>WindowGRU_total</t>
  </si>
  <si>
    <t>DAE_total</t>
  </si>
  <si>
    <t>Seq2Seq_total</t>
  </si>
  <si>
    <t>Seq2Point_total</t>
  </si>
  <si>
    <t>end_time': '2020-03-28'</t>
  </si>
  <si>
    <t>end_time': '2019-11-28'</t>
  </si>
  <si>
    <t>end_time': '2020-04-28'</t>
  </si>
  <si>
    <t>test_dataset.h5</t>
  </si>
  <si>
    <t>test_real: test_dataset.h5</t>
  </si>
  <si>
    <t>train: r+r_dataset.h5</t>
  </si>
  <si>
    <t>MAE_total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</si>
</sst>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quotePrefix="1"/>
    <xf numFmtId="164" fontId="0" fillId="0" borderId="0" xfId="0" applyNumberFormat="1"/>
    <xf numFmtId="0" fontId="0" fillId="0" borderId="0" xfId="0" quotePrefix="1" applyAlignment="1">
      <alignment horizontal="righ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24901-35CF-4ECF-B83A-C1F21DC89CAD}">
  <dimension ref="A1:GX121"/>
  <sheetViews>
    <sheetView tabSelected="1" workbookViewId="0">
      <selection activeCell="D4" sqref="D4"/>
    </sheetView>
  </sheetViews>
  <sheetFormatPr baseColWidth="10" defaultRowHeight="15" x14ac:dyDescent="0.2"/>
  <cols>
    <col min="1" max="1" width="36.83203125" customWidth="1"/>
    <col min="2" max="2" width="24.83203125" customWidth="1"/>
    <col min="3" max="3" width="24.5" customWidth="1"/>
    <col min="4" max="4" width="19.33203125" customWidth="1"/>
    <col min="5" max="5" width="10" customWidth="1"/>
    <col min="6" max="6" width="17.6640625" customWidth="1"/>
    <col min="7" max="7" width="18.1640625" customWidth="1"/>
    <col min="8" max="8" width="12.5" customWidth="1"/>
    <col min="9" max="9" width="12.6640625" customWidth="1"/>
    <col min="10" max="10" width="18.83203125" customWidth="1"/>
    <col min="11" max="11" width="14.83203125" customWidth="1"/>
    <col min="12" max="12" width="5.6640625" customWidth="1"/>
    <col min="13" max="13" width="13.33203125" customWidth="1"/>
    <col min="25" max="25" width="11.6640625" customWidth="1"/>
  </cols>
  <sheetData>
    <row r="1" spans="1:206" x14ac:dyDescent="0.2">
      <c r="A1" s="1" t="s">
        <v>0</v>
      </c>
      <c r="D1" s="1"/>
    </row>
    <row r="2" spans="1:206" x14ac:dyDescent="0.2">
      <c r="A2" t="s">
        <v>19</v>
      </c>
    </row>
    <row r="3" spans="1:206" x14ac:dyDescent="0.2">
      <c r="A3" t="s">
        <v>49</v>
      </c>
      <c r="B3" s="2"/>
      <c r="C3" s="2"/>
      <c r="E3" s="2"/>
      <c r="G3" s="2"/>
      <c r="H3" s="2"/>
      <c r="I3" s="2"/>
      <c r="J3" s="3"/>
      <c r="K3" s="2"/>
      <c r="L3" s="2"/>
    </row>
    <row r="4" spans="1:206" x14ac:dyDescent="0.2">
      <c r="A4" t="s">
        <v>32</v>
      </c>
      <c r="B4" s="2" t="s">
        <v>33</v>
      </c>
      <c r="C4" s="2" t="s">
        <v>44</v>
      </c>
      <c r="E4" s="2"/>
      <c r="G4" s="2"/>
      <c r="H4" s="2"/>
      <c r="I4" s="2"/>
      <c r="J4" s="3"/>
      <c r="K4" s="2"/>
      <c r="L4" s="2"/>
      <c r="M4" s="3"/>
    </row>
    <row r="5" spans="1:206" x14ac:dyDescent="0.2">
      <c r="A5" t="s">
        <v>18</v>
      </c>
      <c r="B5" s="2" t="s">
        <v>17</v>
      </c>
      <c r="C5" s="2" t="s">
        <v>28</v>
      </c>
      <c r="E5" s="2"/>
      <c r="G5" s="4" t="s">
        <v>50</v>
      </c>
      <c r="H5" s="2"/>
      <c r="I5" s="2"/>
      <c r="J5" s="3"/>
      <c r="K5" s="2"/>
      <c r="L5" s="2"/>
      <c r="M5" s="3"/>
      <c r="N5" s="3"/>
      <c r="O5" s="3"/>
    </row>
    <row r="6" spans="1:206" x14ac:dyDescent="0.2">
      <c r="A6" t="s">
        <v>34</v>
      </c>
      <c r="B6" s="2" t="s">
        <v>35</v>
      </c>
      <c r="C6" s="2" t="s">
        <v>45</v>
      </c>
      <c r="E6" s="2"/>
      <c r="F6" t="s">
        <v>39</v>
      </c>
      <c r="G6" s="3">
        <f>SUM(G14,G27,G40)/3</f>
        <v>26.947806079999996</v>
      </c>
      <c r="H6" s="2"/>
      <c r="I6" s="2"/>
      <c r="J6" s="2"/>
      <c r="K6" s="2"/>
      <c r="L6" s="2"/>
      <c r="N6" s="3"/>
      <c r="O6" s="3"/>
    </row>
    <row r="7" spans="1:206" x14ac:dyDescent="0.2">
      <c r="A7" t="s">
        <v>36</v>
      </c>
      <c r="B7" s="2" t="s">
        <v>37</v>
      </c>
      <c r="C7" s="2" t="s">
        <v>46</v>
      </c>
      <c r="E7" s="2"/>
      <c r="F7" t="s">
        <v>40</v>
      </c>
      <c r="G7" s="3">
        <f>SUM(G16,G29,G42)/3</f>
        <v>14.811835773333334</v>
      </c>
      <c r="H7" s="2"/>
      <c r="I7" s="2"/>
      <c r="J7" s="2"/>
      <c r="K7" s="2"/>
      <c r="L7" s="2"/>
      <c r="N7" s="3"/>
      <c r="O7" s="3"/>
    </row>
    <row r="8" spans="1:206" x14ac:dyDescent="0.2">
      <c r="A8" t="s">
        <v>48</v>
      </c>
      <c r="E8" s="2"/>
      <c r="F8" t="s">
        <v>41</v>
      </c>
      <c r="G8" s="3">
        <f>SUM(G18,G31,G44)/3</f>
        <v>21.692973796666667</v>
      </c>
    </row>
    <row r="9" spans="1:206" x14ac:dyDescent="0.2">
      <c r="A9" t="s">
        <v>38</v>
      </c>
      <c r="E9" s="2"/>
      <c r="F9" t="s">
        <v>42</v>
      </c>
      <c r="G9" s="3">
        <f>SUM(G20,G33,G46)/3</f>
        <v>21.222663053333331</v>
      </c>
    </row>
    <row r="10" spans="1:206" x14ac:dyDescent="0.2">
      <c r="A10" t="s">
        <v>7</v>
      </c>
      <c r="F10" t="s">
        <v>43</v>
      </c>
      <c r="G10" s="3">
        <f>SUM(G22,G35,G48)/3</f>
        <v>22.575110526666666</v>
      </c>
    </row>
    <row r="12" spans="1:206" x14ac:dyDescent="0.2">
      <c r="B12" t="s">
        <v>47</v>
      </c>
      <c r="D12" s="1" t="s">
        <v>31</v>
      </c>
    </row>
    <row r="13" spans="1:206" x14ac:dyDescent="0.2">
      <c r="B13" s="2" t="s">
        <v>20</v>
      </c>
      <c r="D13" s="1" t="s">
        <v>8</v>
      </c>
      <c r="E13" s="1" t="s">
        <v>9</v>
      </c>
      <c r="F13" s="1" t="s">
        <v>10</v>
      </c>
      <c r="G13" s="1" t="s">
        <v>11</v>
      </c>
      <c r="H13" s="1" t="s">
        <v>12</v>
      </c>
      <c r="I13" s="1" t="s">
        <v>13</v>
      </c>
      <c r="J13" s="1" t="s">
        <v>14</v>
      </c>
      <c r="K13" s="1" t="s">
        <v>15</v>
      </c>
      <c r="L13" s="1"/>
      <c r="M13" s="1" t="s">
        <v>16</v>
      </c>
    </row>
    <row r="14" spans="1:206" x14ac:dyDescent="0.2">
      <c r="B14" s="2" t="s">
        <v>21</v>
      </c>
      <c r="D14" t="s">
        <v>3</v>
      </c>
      <c r="E14" t="s">
        <v>1</v>
      </c>
      <c r="F14">
        <f>COUNT(M14:GI14)</f>
        <v>100</v>
      </c>
      <c r="G14" s="3">
        <f>AVERAGE(M14:GI14)</f>
        <v>44.325223790000003</v>
      </c>
      <c r="H14" s="3">
        <f>MAX(M14:GI14)</f>
        <v>60.063243999999997</v>
      </c>
      <c r="I14" s="3">
        <f>MIN(M14:GI14)</f>
        <v>34.382750999999999</v>
      </c>
      <c r="J14" s="3">
        <f>_xlfn.STDEV.P(M14:GI14)</f>
        <v>3.9676104758420965</v>
      </c>
      <c r="K14" s="3">
        <f>_xlfn.VAR.S(M14:GI14)</f>
        <v>15.900942311123179</v>
      </c>
      <c r="M14" s="3">
        <v>46.771121999999998</v>
      </c>
      <c r="N14" s="3">
        <v>43.343178000000002</v>
      </c>
      <c r="O14" s="3">
        <v>48.729156000000003</v>
      </c>
      <c r="P14" s="3">
        <v>60.063243999999997</v>
      </c>
      <c r="Q14" s="3">
        <v>48.641705000000002</v>
      </c>
      <c r="R14" s="3">
        <v>46.247878999999998</v>
      </c>
      <c r="S14" s="3">
        <v>47.074646000000001</v>
      </c>
      <c r="T14" s="3">
        <v>45.122807000000002</v>
      </c>
      <c r="U14" s="3">
        <v>42.578648000000001</v>
      </c>
      <c r="V14" s="3">
        <v>47.437809000000001</v>
      </c>
      <c r="W14" s="3">
        <v>48.589995999999999</v>
      </c>
      <c r="X14" s="3">
        <v>42.569198999999998</v>
      </c>
      <c r="Y14" s="3">
        <v>43.191535999999999</v>
      </c>
      <c r="Z14" s="3">
        <v>43.036307999999998</v>
      </c>
      <c r="AA14" s="3">
        <v>45.662373000000002</v>
      </c>
      <c r="AB14" s="3">
        <v>44.674987999999999</v>
      </c>
      <c r="AC14" s="3">
        <v>45.607056</v>
      </c>
      <c r="AD14" s="3">
        <v>50.403091000000003</v>
      </c>
      <c r="AE14" s="3">
        <v>48.737212999999997</v>
      </c>
      <c r="AF14" s="3">
        <v>45.295428999999999</v>
      </c>
      <c r="AG14" s="3">
        <v>43.691246</v>
      </c>
      <c r="AH14" s="3">
        <v>41.155009999999997</v>
      </c>
      <c r="AI14" s="3">
        <v>46.805660000000003</v>
      </c>
      <c r="AJ14" s="3">
        <v>42.637974</v>
      </c>
      <c r="AK14" s="3">
        <v>40.261566000000002</v>
      </c>
      <c r="AL14" s="3">
        <v>40.932732000000001</v>
      </c>
      <c r="AM14" s="3">
        <v>44.191803</v>
      </c>
      <c r="AN14" s="3">
        <v>45.543922000000002</v>
      </c>
      <c r="AO14" s="3">
        <v>47.252074999999998</v>
      </c>
      <c r="AP14" s="3">
        <v>43.823855999999999</v>
      </c>
      <c r="AQ14" s="3">
        <v>45.846263999999998</v>
      </c>
      <c r="AR14" s="3">
        <v>43.867961999999999</v>
      </c>
      <c r="AS14" s="3">
        <v>51.872501</v>
      </c>
      <c r="AT14" s="3">
        <v>50.355300999999997</v>
      </c>
      <c r="AU14" s="3">
        <v>48.433768999999998</v>
      </c>
      <c r="AV14" s="3">
        <v>48.471026999999999</v>
      </c>
      <c r="AW14" s="3">
        <v>45.412685000000003</v>
      </c>
      <c r="AX14" s="3">
        <v>58.177677000000003</v>
      </c>
      <c r="AY14" s="3">
        <v>44.670368000000003</v>
      </c>
      <c r="AZ14" s="3">
        <v>47.657851999999998</v>
      </c>
      <c r="BA14" s="3">
        <v>43.809379999999997</v>
      </c>
      <c r="BB14" s="3">
        <v>41.940922</v>
      </c>
      <c r="BC14" s="3">
        <v>51.287205</v>
      </c>
      <c r="BD14" s="3">
        <v>45.318710000000003</v>
      </c>
      <c r="BE14" s="3">
        <v>41.670856000000001</v>
      </c>
      <c r="BF14" s="3">
        <v>46.614291999999999</v>
      </c>
      <c r="BG14" s="3">
        <v>47.588062000000001</v>
      </c>
      <c r="BH14" s="3">
        <v>46.008040999999999</v>
      </c>
      <c r="BI14" s="3">
        <v>40.319420000000001</v>
      </c>
      <c r="BJ14" s="3">
        <v>47.640937999999998</v>
      </c>
      <c r="BK14" s="3">
        <v>40.980240000000002</v>
      </c>
      <c r="BL14" s="3">
        <v>39.830897999999998</v>
      </c>
      <c r="BM14" s="3">
        <v>50.074050999999997</v>
      </c>
      <c r="BN14" s="3">
        <v>44.599854000000001</v>
      </c>
      <c r="BO14" s="3">
        <v>43.248671999999999</v>
      </c>
      <c r="BP14" s="3">
        <v>49.257469</v>
      </c>
      <c r="BQ14" s="3">
        <v>44.577820000000003</v>
      </c>
      <c r="BR14" s="3">
        <v>41.522407999999999</v>
      </c>
      <c r="BS14" s="3">
        <v>39.342967999999999</v>
      </c>
      <c r="BT14" s="3">
        <v>44.514583999999999</v>
      </c>
      <c r="BU14" s="3">
        <v>46.214371</v>
      </c>
      <c r="BV14" s="3">
        <v>46.875655999999999</v>
      </c>
      <c r="BW14" s="3">
        <v>44.968375999999999</v>
      </c>
      <c r="BX14" s="3">
        <v>43.018478000000002</v>
      </c>
      <c r="BY14" s="3">
        <v>43.756644999999999</v>
      </c>
      <c r="BZ14" s="3">
        <v>44.872219000000001</v>
      </c>
      <c r="CA14" s="3">
        <v>41.217498999999997</v>
      </c>
      <c r="CB14" s="3">
        <v>43.067363999999998</v>
      </c>
      <c r="CC14" s="3">
        <v>42.866154000000002</v>
      </c>
      <c r="CD14" s="3">
        <v>43.227589000000002</v>
      </c>
      <c r="CE14" s="3">
        <v>42.005524000000001</v>
      </c>
      <c r="CF14" s="3">
        <v>41.071857000000001</v>
      </c>
      <c r="CG14" s="3">
        <v>38.239924999999999</v>
      </c>
      <c r="CH14" s="3">
        <v>41.149067000000002</v>
      </c>
      <c r="CI14" s="3">
        <v>44.380904999999998</v>
      </c>
      <c r="CJ14" s="3">
        <v>40.010258</v>
      </c>
      <c r="CK14" s="3">
        <v>40.486820000000002</v>
      </c>
      <c r="CL14" s="3">
        <v>42.061447000000001</v>
      </c>
      <c r="CM14" s="3">
        <v>41.599350000000001</v>
      </c>
      <c r="CN14" s="3">
        <v>39.663677</v>
      </c>
      <c r="CO14" s="3">
        <v>40.281371999999998</v>
      </c>
      <c r="CP14" s="3">
        <v>38.522250999999997</v>
      </c>
      <c r="CQ14" s="3">
        <v>45.161034000000001</v>
      </c>
      <c r="CR14" s="3">
        <v>41.904964</v>
      </c>
      <c r="CS14" s="3">
        <v>45.029015000000001</v>
      </c>
      <c r="CT14" s="3">
        <v>45.391238999999999</v>
      </c>
      <c r="CU14" s="3">
        <v>42.089087999999997</v>
      </c>
      <c r="CV14" s="3">
        <v>41.170943999999999</v>
      </c>
      <c r="CW14" s="3">
        <v>41.637062</v>
      </c>
      <c r="CX14" s="3">
        <v>50.396042000000001</v>
      </c>
      <c r="CY14" s="3">
        <v>39.819175999999999</v>
      </c>
      <c r="CZ14" s="3">
        <v>37.363525000000003</v>
      </c>
      <c r="DA14" s="3">
        <v>44.416961999999998</v>
      </c>
      <c r="DB14" s="3">
        <v>34.382750999999999</v>
      </c>
      <c r="DC14" s="3">
        <v>40.411087000000002</v>
      </c>
      <c r="DD14" s="3">
        <v>46.741596000000001</v>
      </c>
      <c r="DE14" s="3">
        <v>43.998505000000002</v>
      </c>
      <c r="DF14" s="3">
        <v>40.955497999999999</v>
      </c>
      <c r="DG14" s="3">
        <v>40.372990000000001</v>
      </c>
      <c r="DH14" s="3">
        <v>36.738674000000003</v>
      </c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  <c r="GO14" s="3"/>
      <c r="GP14" s="3"/>
      <c r="GQ14" s="3"/>
      <c r="GR14" s="3"/>
      <c r="GS14" s="3"/>
      <c r="GT14" s="3"/>
      <c r="GU14" s="3"/>
      <c r="GV14" s="3"/>
      <c r="GW14" s="3"/>
      <c r="GX14" s="3"/>
    </row>
    <row r="15" spans="1:206" x14ac:dyDescent="0.2">
      <c r="B15" s="2" t="s">
        <v>22</v>
      </c>
      <c r="G15" s="3"/>
      <c r="H15" s="3"/>
      <c r="I15" s="3"/>
      <c r="J15" s="3"/>
      <c r="K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</row>
    <row r="16" spans="1:206" x14ac:dyDescent="0.2">
      <c r="D16" t="s">
        <v>4</v>
      </c>
      <c r="E16" t="s">
        <v>1</v>
      </c>
      <c r="F16">
        <f>COUNT(M16:GI16)</f>
        <v>100</v>
      </c>
      <c r="G16" s="3">
        <f>AVERAGE(M16:GI16)</f>
        <v>22.403760350000002</v>
      </c>
      <c r="H16" s="3">
        <f>MAX(M16:GI16)</f>
        <v>28.128822</v>
      </c>
      <c r="I16" s="3">
        <f>MIN(M16:GI16)</f>
        <v>18.40296</v>
      </c>
      <c r="J16" s="3">
        <f>_xlfn.STDEV.P(M16:GI16)</f>
        <v>2.0335333396250737</v>
      </c>
      <c r="K16" s="3">
        <f>_xlfn.VAR.S(M16:GI16)</f>
        <v>4.1770281246128329</v>
      </c>
      <c r="M16" s="3">
        <v>22.204687</v>
      </c>
      <c r="N16" s="3">
        <v>20.911950999999998</v>
      </c>
      <c r="O16" s="3">
        <v>21.863592000000001</v>
      </c>
      <c r="P16" s="3">
        <v>21.854921000000001</v>
      </c>
      <c r="Q16" s="3">
        <v>21.675626999999999</v>
      </c>
      <c r="R16" s="3">
        <v>22.003606999999999</v>
      </c>
      <c r="S16" s="3">
        <v>26.109859</v>
      </c>
      <c r="T16" s="3">
        <v>23.540413000000001</v>
      </c>
      <c r="U16" s="3">
        <v>21.672706999999999</v>
      </c>
      <c r="V16" s="3">
        <v>23.712633</v>
      </c>
      <c r="W16" s="3">
        <v>22.274775000000002</v>
      </c>
      <c r="X16" s="3">
        <v>20.958185</v>
      </c>
      <c r="Y16" s="3">
        <v>23.367978999999998</v>
      </c>
      <c r="Z16" s="3">
        <v>21.684345</v>
      </c>
      <c r="AA16" s="3">
        <v>24.643516999999999</v>
      </c>
      <c r="AB16" s="3">
        <v>20.942249</v>
      </c>
      <c r="AC16" s="3">
        <v>25.903535999999999</v>
      </c>
      <c r="AD16" s="3">
        <v>23.953827</v>
      </c>
      <c r="AE16" s="3">
        <v>25.180766999999999</v>
      </c>
      <c r="AF16" s="3">
        <v>23.115252999999999</v>
      </c>
      <c r="AG16" s="3">
        <v>21.841633000000002</v>
      </c>
      <c r="AH16" s="3">
        <v>20.512457000000001</v>
      </c>
      <c r="AI16" s="3">
        <v>24.099070000000001</v>
      </c>
      <c r="AJ16" s="3">
        <v>18.594213</v>
      </c>
      <c r="AK16" s="3">
        <v>22.274688999999999</v>
      </c>
      <c r="AL16" s="3">
        <v>21.56176</v>
      </c>
      <c r="AM16" s="3">
        <v>19.183278999999999</v>
      </c>
      <c r="AN16" s="3">
        <v>20.525499</v>
      </c>
      <c r="AO16" s="3">
        <v>25.171897999999999</v>
      </c>
      <c r="AP16" s="3">
        <v>19.810472000000001</v>
      </c>
      <c r="AQ16" s="3">
        <v>26.208801000000001</v>
      </c>
      <c r="AR16" s="3">
        <v>21.744133000000001</v>
      </c>
      <c r="AS16" s="3">
        <v>18.687792000000002</v>
      </c>
      <c r="AT16" s="3">
        <v>24.910222999999998</v>
      </c>
      <c r="AU16" s="3">
        <v>23.958501999999999</v>
      </c>
      <c r="AV16" s="3">
        <v>20.527270999999999</v>
      </c>
      <c r="AW16" s="3">
        <v>23.867649</v>
      </c>
      <c r="AX16" s="3">
        <v>23.064309999999999</v>
      </c>
      <c r="AY16" s="3">
        <v>21.516216</v>
      </c>
      <c r="AZ16" s="3">
        <v>19.978156999999999</v>
      </c>
      <c r="BA16" s="3">
        <v>20.473227000000001</v>
      </c>
      <c r="BB16" s="3">
        <v>25.918368999999998</v>
      </c>
      <c r="BC16" s="3">
        <v>24.193881999999999</v>
      </c>
      <c r="BD16" s="3">
        <v>22.916843</v>
      </c>
      <c r="BE16" s="3">
        <v>24.337838999999999</v>
      </c>
      <c r="BF16" s="3">
        <v>23.033978999999999</v>
      </c>
      <c r="BG16" s="3">
        <v>20.941133000000001</v>
      </c>
      <c r="BH16" s="3">
        <v>21.079245</v>
      </c>
      <c r="BI16" s="3">
        <v>22.285209999999999</v>
      </c>
      <c r="BJ16" s="3">
        <v>21.395520999999999</v>
      </c>
      <c r="BK16" s="3">
        <v>18.742332000000001</v>
      </c>
      <c r="BL16" s="3">
        <v>21.784656999999999</v>
      </c>
      <c r="BM16" s="3">
        <v>23.083953999999999</v>
      </c>
      <c r="BN16" s="3">
        <v>20.634398999999998</v>
      </c>
      <c r="BO16" s="3">
        <v>22.846333999999999</v>
      </c>
      <c r="BP16" s="3">
        <v>25.317557999999998</v>
      </c>
      <c r="BQ16" s="3">
        <v>24.596385999999999</v>
      </c>
      <c r="BR16" s="3">
        <v>21.546848000000001</v>
      </c>
      <c r="BS16" s="3">
        <v>23.207041</v>
      </c>
      <c r="BT16" s="3">
        <v>24.332757999999998</v>
      </c>
      <c r="BU16" s="3">
        <v>20.098768</v>
      </c>
      <c r="BV16" s="3">
        <v>25.811577</v>
      </c>
      <c r="BW16" s="3">
        <v>20.315087999999999</v>
      </c>
      <c r="BX16" s="3">
        <v>20.272652000000001</v>
      </c>
      <c r="BY16" s="3">
        <v>19.667795000000002</v>
      </c>
      <c r="BZ16" s="3">
        <v>23.201346999999998</v>
      </c>
      <c r="CA16" s="3">
        <v>21.556093000000001</v>
      </c>
      <c r="CB16" s="3">
        <v>24.111409999999999</v>
      </c>
      <c r="CC16" s="3">
        <v>23.792701999999998</v>
      </c>
      <c r="CD16" s="3">
        <v>21.290635999999999</v>
      </c>
      <c r="CE16" s="3">
        <v>18.40296</v>
      </c>
      <c r="CF16" s="3">
        <v>28.128822</v>
      </c>
      <c r="CG16" s="3">
        <v>20.312618000000001</v>
      </c>
      <c r="CH16" s="3">
        <v>22.808477</v>
      </c>
      <c r="CI16" s="3">
        <v>18.451328</v>
      </c>
      <c r="CJ16" s="3">
        <v>20.078827</v>
      </c>
      <c r="CK16" s="3">
        <v>25.479897000000001</v>
      </c>
      <c r="CL16" s="3">
        <v>20.774612000000001</v>
      </c>
      <c r="CM16" s="3">
        <v>21.049237999999999</v>
      </c>
      <c r="CN16" s="3">
        <v>25.299157999999998</v>
      </c>
      <c r="CO16" s="3">
        <v>21.712111</v>
      </c>
      <c r="CP16" s="3">
        <v>22.41357</v>
      </c>
      <c r="CQ16" s="3">
        <v>20.091470999999999</v>
      </c>
      <c r="CR16" s="3">
        <v>23.804566999999999</v>
      </c>
      <c r="CS16" s="3">
        <v>25.301390000000001</v>
      </c>
      <c r="CT16" s="3">
        <v>21.765619000000001</v>
      </c>
      <c r="CU16" s="3">
        <v>21.720469000000001</v>
      </c>
      <c r="CV16" s="3">
        <v>21.911213</v>
      </c>
      <c r="CW16" s="3">
        <v>22.114929</v>
      </c>
      <c r="CX16" s="3">
        <v>24.838761999999999</v>
      </c>
      <c r="CY16" s="3">
        <v>25.499500000000001</v>
      </c>
      <c r="CZ16" s="3">
        <v>21.193483000000001</v>
      </c>
      <c r="DA16" s="3">
        <v>24.712648000000002</v>
      </c>
      <c r="DB16" s="3">
        <v>20.638828</v>
      </c>
      <c r="DC16" s="3">
        <v>23.18224</v>
      </c>
      <c r="DD16" s="3">
        <v>21.819624000000001</v>
      </c>
      <c r="DE16" s="3">
        <v>21.110499999999998</v>
      </c>
      <c r="DF16" s="3">
        <v>19.751048999999998</v>
      </c>
      <c r="DG16" s="3">
        <v>24.142807000000001</v>
      </c>
      <c r="DH16" s="3">
        <v>23.467281</v>
      </c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</row>
    <row r="17" spans="2:206" x14ac:dyDescent="0.2">
      <c r="G17" s="3"/>
      <c r="H17" s="3"/>
      <c r="I17" s="3"/>
      <c r="J17" s="3"/>
      <c r="K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3"/>
      <c r="GV17" s="3"/>
      <c r="GW17" s="3"/>
      <c r="GX17" s="3"/>
    </row>
    <row r="18" spans="2:206" x14ac:dyDescent="0.2">
      <c r="D18" t="s">
        <v>2</v>
      </c>
      <c r="E18" t="s">
        <v>1</v>
      </c>
      <c r="F18">
        <f>COUNT(M18:GI18)</f>
        <v>100</v>
      </c>
      <c r="G18" s="3">
        <f>AVERAGE(M18:GI18)</f>
        <v>35.636974869999996</v>
      </c>
      <c r="H18" s="3">
        <f>MAX(M18:GI18)</f>
        <v>48.581561999999998</v>
      </c>
      <c r="I18" s="3">
        <f>MIN(M18:GI18)</f>
        <v>27.178228000000001</v>
      </c>
      <c r="J18" s="3">
        <f>_xlfn.STDEV.P(M18:GI18)</f>
        <v>4.2098249714423961</v>
      </c>
      <c r="K18" s="3">
        <f>_xlfn.VAR.S(M18:GI18)</f>
        <v>17.90164271735344</v>
      </c>
      <c r="M18" s="3">
        <v>33.522015000000003</v>
      </c>
      <c r="N18" s="3">
        <v>45.770434999999999</v>
      </c>
      <c r="O18" s="3">
        <v>37.222397000000001</v>
      </c>
      <c r="P18" s="3">
        <v>31.172916000000001</v>
      </c>
      <c r="Q18" s="3">
        <v>33.123184000000002</v>
      </c>
      <c r="R18" s="3">
        <v>35.797809999999998</v>
      </c>
      <c r="S18" s="3">
        <v>46.361702000000001</v>
      </c>
      <c r="T18" s="3">
        <v>42.724510000000002</v>
      </c>
      <c r="U18" s="3">
        <v>36.999572999999998</v>
      </c>
      <c r="V18" s="3">
        <v>31.653234000000001</v>
      </c>
      <c r="W18" s="3">
        <v>32.442093</v>
      </c>
      <c r="X18" s="3">
        <v>40.377051999999999</v>
      </c>
      <c r="Y18" s="3">
        <v>33.243003999999999</v>
      </c>
      <c r="Z18" s="3">
        <v>34.914867000000001</v>
      </c>
      <c r="AA18" s="3">
        <v>34.232815000000002</v>
      </c>
      <c r="AB18" s="3">
        <v>34.772109999999998</v>
      </c>
      <c r="AC18" s="3">
        <v>35.051352999999999</v>
      </c>
      <c r="AD18" s="3">
        <v>32.485667999999997</v>
      </c>
      <c r="AE18" s="3">
        <v>29.435234000000001</v>
      </c>
      <c r="AF18" s="3">
        <v>34.825394000000003</v>
      </c>
      <c r="AG18" s="3">
        <v>34.48415</v>
      </c>
      <c r="AH18" s="3">
        <v>43.022423000000003</v>
      </c>
      <c r="AI18" s="3">
        <v>31.089183999999999</v>
      </c>
      <c r="AJ18" s="3">
        <v>37.410645000000002</v>
      </c>
      <c r="AK18" s="3">
        <v>36.728588000000002</v>
      </c>
      <c r="AL18" s="3">
        <v>33.014823999999997</v>
      </c>
      <c r="AM18" s="3">
        <v>40.563853999999999</v>
      </c>
      <c r="AN18" s="3">
        <v>27.248009</v>
      </c>
      <c r="AO18" s="3">
        <v>37.651966000000002</v>
      </c>
      <c r="AP18" s="3">
        <v>35.863365000000002</v>
      </c>
      <c r="AQ18" s="3">
        <v>32.881762999999999</v>
      </c>
      <c r="AR18" s="3">
        <v>31.590809</v>
      </c>
      <c r="AS18" s="3">
        <v>31.475829999999998</v>
      </c>
      <c r="AT18" s="3">
        <v>31.652151</v>
      </c>
      <c r="AU18" s="3">
        <v>40.707042999999999</v>
      </c>
      <c r="AV18" s="3">
        <v>35.128624000000002</v>
      </c>
      <c r="AW18" s="3">
        <v>38.590546000000003</v>
      </c>
      <c r="AX18" s="3">
        <v>33.425446000000001</v>
      </c>
      <c r="AY18" s="3">
        <v>35.591602000000002</v>
      </c>
      <c r="AZ18" s="3">
        <v>32.928947000000001</v>
      </c>
      <c r="BA18" s="3">
        <v>33.532195999999999</v>
      </c>
      <c r="BB18" s="3">
        <v>37.258785000000003</v>
      </c>
      <c r="BC18" s="3">
        <v>38.495261999999997</v>
      </c>
      <c r="BD18" s="3">
        <v>33.593468000000001</v>
      </c>
      <c r="BE18" s="3">
        <v>30.561814999999999</v>
      </c>
      <c r="BF18" s="3">
        <v>38.639935000000001</v>
      </c>
      <c r="BG18" s="3">
        <v>38.043255000000002</v>
      </c>
      <c r="BH18" s="3">
        <v>33.888576999999998</v>
      </c>
      <c r="BI18" s="3">
        <v>36.238467999999997</v>
      </c>
      <c r="BJ18" s="3">
        <v>35.807644000000003</v>
      </c>
      <c r="BK18" s="3">
        <v>34.921782999999998</v>
      </c>
      <c r="BL18" s="3">
        <v>44.836956000000001</v>
      </c>
      <c r="BM18" s="3">
        <v>41.227767999999998</v>
      </c>
      <c r="BN18" s="3">
        <v>34.726418000000002</v>
      </c>
      <c r="BO18" s="3">
        <v>33.637912999999998</v>
      </c>
      <c r="BP18" s="3">
        <v>33.352924000000002</v>
      </c>
      <c r="BQ18" s="3">
        <v>48.581561999999998</v>
      </c>
      <c r="BR18" s="3">
        <v>40.746212</v>
      </c>
      <c r="BS18" s="3">
        <v>37.286236000000002</v>
      </c>
      <c r="BT18" s="3">
        <v>35.077309</v>
      </c>
      <c r="BU18" s="3">
        <v>34.551682</v>
      </c>
      <c r="BV18" s="3">
        <v>46.295394999999999</v>
      </c>
      <c r="BW18" s="3">
        <v>31.728166999999999</v>
      </c>
      <c r="BX18" s="3">
        <v>31.936115000000001</v>
      </c>
      <c r="BY18" s="3">
        <v>35.014927</v>
      </c>
      <c r="BZ18" s="3">
        <v>44.747421000000003</v>
      </c>
      <c r="CA18" s="3">
        <v>34.584187</v>
      </c>
      <c r="CB18" s="3">
        <v>34.379779999999997</v>
      </c>
      <c r="CC18" s="3">
        <v>29.620474000000002</v>
      </c>
      <c r="CD18" s="3">
        <v>27.178228000000001</v>
      </c>
      <c r="CE18" s="3">
        <v>32.009869000000002</v>
      </c>
      <c r="CF18" s="3">
        <v>38.735359000000003</v>
      </c>
      <c r="CG18" s="3">
        <v>33.544303999999997</v>
      </c>
      <c r="CH18" s="3">
        <v>36.618267000000003</v>
      </c>
      <c r="CI18" s="3">
        <v>34.178204000000001</v>
      </c>
      <c r="CJ18" s="3">
        <v>30.805063000000001</v>
      </c>
      <c r="CK18" s="3">
        <v>39.665554</v>
      </c>
      <c r="CL18" s="3">
        <v>29.503014</v>
      </c>
      <c r="CM18" s="3">
        <v>36.392189000000002</v>
      </c>
      <c r="CN18" s="3">
        <v>33.149585999999999</v>
      </c>
      <c r="CO18" s="3">
        <v>34.137481999999999</v>
      </c>
      <c r="CP18" s="3">
        <v>41.000442999999997</v>
      </c>
      <c r="CQ18" s="3">
        <v>32.558109000000002</v>
      </c>
      <c r="CR18" s="3">
        <v>31.397936000000001</v>
      </c>
      <c r="CS18" s="3">
        <v>42.787272999999999</v>
      </c>
      <c r="CT18" s="3">
        <v>37.201782000000001</v>
      </c>
      <c r="CU18" s="3">
        <v>39.746364999999997</v>
      </c>
      <c r="CV18" s="3">
        <v>34.730243999999999</v>
      </c>
      <c r="CW18" s="3">
        <v>32.221812999999997</v>
      </c>
      <c r="CX18" s="3">
        <v>30.187066999999999</v>
      </c>
      <c r="CY18" s="3">
        <v>37.133488</v>
      </c>
      <c r="CZ18" s="3">
        <v>39.252941</v>
      </c>
      <c r="DA18" s="3">
        <v>36.142384</v>
      </c>
      <c r="DB18" s="3">
        <v>33.052643000000003</v>
      </c>
      <c r="DC18" s="3">
        <v>29.581533</v>
      </c>
      <c r="DD18" s="3">
        <v>36.647736000000002</v>
      </c>
      <c r="DE18" s="3">
        <v>35.733688000000001</v>
      </c>
      <c r="DF18" s="3">
        <v>34.833897</v>
      </c>
      <c r="DG18" s="3">
        <v>36.638992000000002</v>
      </c>
      <c r="DH18" s="3">
        <v>36.442264999999999</v>
      </c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  <c r="FM18" s="3"/>
      <c r="FN18" s="3"/>
      <c r="FO18" s="3"/>
      <c r="FP18" s="3"/>
      <c r="FQ18" s="3"/>
      <c r="FR18" s="3"/>
      <c r="FS18" s="3"/>
      <c r="FT18" s="3"/>
      <c r="FU18" s="3"/>
      <c r="FV18" s="3"/>
      <c r="FW18" s="3"/>
      <c r="FX18" s="3"/>
      <c r="FY18" s="3"/>
      <c r="FZ18" s="3"/>
      <c r="GA18" s="3"/>
      <c r="GB18" s="3"/>
      <c r="GC18" s="3"/>
      <c r="GD18" s="3"/>
      <c r="GE18" s="3"/>
      <c r="GF18" s="3"/>
      <c r="GG18" s="3"/>
      <c r="GH18" s="3"/>
      <c r="GI18" s="3"/>
      <c r="GJ18" s="3"/>
      <c r="GK18" s="3"/>
      <c r="GL18" s="3"/>
      <c r="GM18" s="3"/>
      <c r="GN18" s="3"/>
      <c r="GO18" s="3"/>
      <c r="GP18" s="3"/>
      <c r="GQ18" s="3"/>
      <c r="GR18" s="3"/>
      <c r="GS18" s="3"/>
      <c r="GT18" s="3"/>
      <c r="GU18" s="3"/>
      <c r="GV18" s="3"/>
      <c r="GW18" s="3"/>
      <c r="GX18" s="3"/>
    </row>
    <row r="19" spans="2:206" x14ac:dyDescent="0.2">
      <c r="G19" s="3"/>
      <c r="H19" s="3"/>
      <c r="I19" s="3"/>
      <c r="J19" s="3"/>
      <c r="K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/>
      <c r="FL19" s="3"/>
      <c r="FM19" s="3"/>
      <c r="FN19" s="3"/>
      <c r="FO19" s="3"/>
      <c r="FP19" s="3"/>
      <c r="FQ19" s="3"/>
      <c r="FR19" s="3"/>
      <c r="FS19" s="3"/>
      <c r="FT19" s="3"/>
      <c r="FU19" s="3"/>
      <c r="FV19" s="3"/>
      <c r="FW19" s="3"/>
      <c r="FX19" s="3"/>
      <c r="FY19" s="3"/>
      <c r="FZ19" s="3"/>
      <c r="GA19" s="3"/>
      <c r="GB19" s="3"/>
      <c r="GC19" s="3"/>
      <c r="GD19" s="3"/>
      <c r="GE19" s="3"/>
      <c r="GF19" s="3"/>
      <c r="GG19" s="3"/>
      <c r="GH19" s="3"/>
      <c r="GI19" s="3"/>
      <c r="GJ19" s="3"/>
      <c r="GK19" s="3"/>
      <c r="GL19" s="3"/>
      <c r="GM19" s="3"/>
      <c r="GN19" s="3"/>
      <c r="GO19" s="3"/>
      <c r="GP19" s="3"/>
      <c r="GQ19" s="3"/>
      <c r="GR19" s="3"/>
      <c r="GS19" s="3"/>
      <c r="GT19" s="3"/>
      <c r="GU19" s="3"/>
      <c r="GV19" s="3"/>
      <c r="GW19" s="3"/>
      <c r="GX19" s="3"/>
    </row>
    <row r="20" spans="2:206" x14ac:dyDescent="0.2">
      <c r="D20" t="s">
        <v>5</v>
      </c>
      <c r="E20" t="s">
        <v>1</v>
      </c>
      <c r="F20">
        <f>COUNT(M20:GI20)</f>
        <v>100</v>
      </c>
      <c r="G20" s="3">
        <f>AVERAGE(M20:GI20)</f>
        <v>32.660691589999999</v>
      </c>
      <c r="H20" s="3">
        <f>MAX(M20:GI20)</f>
        <v>38.191448000000001</v>
      </c>
      <c r="I20" s="3">
        <f>MIN(M20:GI20)</f>
        <v>28.881806999999998</v>
      </c>
      <c r="J20" s="3">
        <f>_xlfn.STDEV.P(M20:GI20)</f>
        <v>2.0009230006105936</v>
      </c>
      <c r="K20" s="3">
        <f>_xlfn.VAR.S(M20:GI20)</f>
        <v>4.0441341963358592</v>
      </c>
      <c r="M20" s="3">
        <v>34.540309999999998</v>
      </c>
      <c r="N20" s="3">
        <v>36.845256999999997</v>
      </c>
      <c r="O20" s="3">
        <v>35.471347999999999</v>
      </c>
      <c r="P20" s="3">
        <v>33.372405999999998</v>
      </c>
      <c r="Q20" s="3">
        <v>35.229168000000001</v>
      </c>
      <c r="R20" s="3">
        <v>38.191448000000001</v>
      </c>
      <c r="S20" s="3">
        <v>30.854199999999999</v>
      </c>
      <c r="T20" s="3">
        <v>33.311107999999997</v>
      </c>
      <c r="U20" s="3">
        <v>32.397345999999999</v>
      </c>
      <c r="V20" s="3">
        <v>36.937786000000003</v>
      </c>
      <c r="W20" s="3">
        <v>31.033165</v>
      </c>
      <c r="X20" s="3">
        <v>32.047997000000002</v>
      </c>
      <c r="Y20" s="3">
        <v>32.910617999999999</v>
      </c>
      <c r="Z20" s="3">
        <v>33.905945000000003</v>
      </c>
      <c r="AA20" s="3">
        <v>36.74324</v>
      </c>
      <c r="AB20" s="3">
        <v>33.425624999999997</v>
      </c>
      <c r="AC20" s="3">
        <v>28.881806999999998</v>
      </c>
      <c r="AD20" s="3">
        <v>30.543821000000001</v>
      </c>
      <c r="AE20" s="3">
        <v>31.652978999999998</v>
      </c>
      <c r="AF20" s="3">
        <v>32.023021999999997</v>
      </c>
      <c r="AG20" s="3">
        <v>33.158279</v>
      </c>
      <c r="AH20" s="3">
        <v>32.682892000000002</v>
      </c>
      <c r="AI20" s="3">
        <v>31.435490000000001</v>
      </c>
      <c r="AJ20" s="3">
        <v>32.027168000000003</v>
      </c>
      <c r="AK20" s="3">
        <v>35.301651</v>
      </c>
      <c r="AL20" s="3">
        <v>34.578567999999997</v>
      </c>
      <c r="AM20" s="3">
        <v>35.772995000000002</v>
      </c>
      <c r="AN20" s="3">
        <v>30.378350999999999</v>
      </c>
      <c r="AO20" s="3">
        <v>30.421417000000002</v>
      </c>
      <c r="AP20" s="3">
        <v>33.704140000000002</v>
      </c>
      <c r="AQ20" s="3">
        <v>30.848306999999998</v>
      </c>
      <c r="AR20" s="3">
        <v>31.250875000000001</v>
      </c>
      <c r="AS20" s="3">
        <v>36.113213000000002</v>
      </c>
      <c r="AT20" s="3">
        <v>32.699089000000001</v>
      </c>
      <c r="AU20" s="3">
        <v>34.394199</v>
      </c>
      <c r="AV20" s="3">
        <v>33.562339999999999</v>
      </c>
      <c r="AW20" s="3">
        <v>32.523144000000002</v>
      </c>
      <c r="AX20" s="3">
        <v>34.506149000000001</v>
      </c>
      <c r="AY20" s="3">
        <v>30.949776</v>
      </c>
      <c r="AZ20" s="3">
        <v>35.734695000000002</v>
      </c>
      <c r="BA20" s="3">
        <v>31.373341</v>
      </c>
      <c r="BB20" s="3">
        <v>32.236694</v>
      </c>
      <c r="BC20" s="3">
        <v>30.662344000000001</v>
      </c>
      <c r="BD20" s="3">
        <v>30.664331000000001</v>
      </c>
      <c r="BE20" s="3">
        <v>34.416893000000002</v>
      </c>
      <c r="BF20" s="3">
        <v>31.460493</v>
      </c>
      <c r="BG20" s="3">
        <v>30.552565000000001</v>
      </c>
      <c r="BH20" s="3">
        <v>29.671942000000001</v>
      </c>
      <c r="BI20" s="3">
        <v>30.957257999999999</v>
      </c>
      <c r="BJ20" s="3">
        <v>32.592582999999998</v>
      </c>
      <c r="BK20" s="3">
        <v>34.215339999999998</v>
      </c>
      <c r="BL20" s="3">
        <v>30.493051999999999</v>
      </c>
      <c r="BM20" s="3">
        <v>34.349894999999997</v>
      </c>
      <c r="BN20" s="3">
        <v>33.013077000000003</v>
      </c>
      <c r="BO20" s="3">
        <v>32.457787000000003</v>
      </c>
      <c r="BP20" s="3">
        <v>31.872769999999999</v>
      </c>
      <c r="BQ20" s="3">
        <v>34.756957999999997</v>
      </c>
      <c r="BR20" s="3">
        <v>32.145020000000002</v>
      </c>
      <c r="BS20" s="3">
        <v>32.531364000000004</v>
      </c>
      <c r="BT20" s="3">
        <v>33.320464999999999</v>
      </c>
      <c r="BU20" s="3">
        <v>33.196136000000003</v>
      </c>
      <c r="BV20" s="3">
        <v>31.910848999999999</v>
      </c>
      <c r="BW20" s="3">
        <v>35.492396999999997</v>
      </c>
      <c r="BX20" s="3">
        <v>32.948875000000001</v>
      </c>
      <c r="BY20" s="3">
        <v>30.176344</v>
      </c>
      <c r="BZ20" s="3">
        <v>31.351896</v>
      </c>
      <c r="CA20" s="3">
        <v>31.672522000000001</v>
      </c>
      <c r="CB20" s="3">
        <v>32.859921</v>
      </c>
      <c r="CC20" s="3">
        <v>30.371969</v>
      </c>
      <c r="CD20" s="3">
        <v>34.437846999999998</v>
      </c>
      <c r="CE20" s="3">
        <v>32.397297000000002</v>
      </c>
      <c r="CF20" s="3">
        <v>29.393657999999999</v>
      </c>
      <c r="CG20" s="3">
        <v>31.375406000000002</v>
      </c>
      <c r="CH20" s="3">
        <v>35.805396999999999</v>
      </c>
      <c r="CI20" s="3">
        <v>33.148513999999999</v>
      </c>
      <c r="CJ20" s="3">
        <v>31.798956</v>
      </c>
      <c r="CK20" s="3">
        <v>33.020854999999997</v>
      </c>
      <c r="CL20" s="3">
        <v>33.535736</v>
      </c>
      <c r="CM20" s="3">
        <v>31.791733000000001</v>
      </c>
      <c r="CN20" s="3">
        <v>32.464869999999998</v>
      </c>
      <c r="CO20" s="3">
        <v>31.889690000000002</v>
      </c>
      <c r="CP20" s="3">
        <v>32.472712999999999</v>
      </c>
      <c r="CQ20" s="3">
        <v>35.572079000000002</v>
      </c>
      <c r="CR20" s="3">
        <v>32.570380999999998</v>
      </c>
      <c r="CS20" s="3">
        <v>31.988054000000002</v>
      </c>
      <c r="CT20" s="3">
        <v>29.318923999999999</v>
      </c>
      <c r="CU20" s="3">
        <v>30.137777</v>
      </c>
      <c r="CV20" s="3">
        <v>32.904671</v>
      </c>
      <c r="CW20" s="3">
        <v>35.335048999999998</v>
      </c>
      <c r="CX20" s="3">
        <v>32.984814</v>
      </c>
      <c r="CY20" s="3">
        <v>30.562795999999999</v>
      </c>
      <c r="CZ20" s="3">
        <v>32.070689999999999</v>
      </c>
      <c r="DA20" s="3">
        <v>29.034327000000001</v>
      </c>
      <c r="DB20" s="3">
        <v>35.079815000000004</v>
      </c>
      <c r="DC20" s="3">
        <v>29.415452999999999</v>
      </c>
      <c r="DD20" s="3">
        <v>33.749434999999998</v>
      </c>
      <c r="DE20" s="3">
        <v>30.107754</v>
      </c>
      <c r="DF20" s="3">
        <v>35.791663999999997</v>
      </c>
      <c r="DG20" s="3">
        <v>29.920947999999999</v>
      </c>
      <c r="DH20" s="3">
        <v>29.905441</v>
      </c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  <c r="FN20" s="3"/>
      <c r="FO20" s="3"/>
      <c r="FP20" s="3"/>
      <c r="FQ20" s="3"/>
      <c r="FR20" s="3"/>
      <c r="FS20" s="3"/>
      <c r="FT20" s="3"/>
      <c r="FU20" s="3"/>
      <c r="FV20" s="3"/>
      <c r="FW20" s="3"/>
      <c r="FX20" s="3"/>
      <c r="FY20" s="3"/>
      <c r="FZ20" s="3"/>
      <c r="GA20" s="3"/>
      <c r="GB20" s="3"/>
      <c r="GC20" s="3"/>
      <c r="GD20" s="3"/>
      <c r="GE20" s="3"/>
      <c r="GF20" s="3"/>
      <c r="GG20" s="3"/>
      <c r="GH20" s="3"/>
      <c r="GI20" s="3"/>
      <c r="GJ20" s="3"/>
      <c r="GK20" s="3"/>
      <c r="GL20" s="3"/>
      <c r="GM20" s="3"/>
      <c r="GN20" s="3"/>
      <c r="GO20" s="3"/>
      <c r="GP20" s="3"/>
      <c r="GQ20" s="3"/>
      <c r="GR20" s="3"/>
      <c r="GS20" s="3"/>
      <c r="GT20" s="3"/>
      <c r="GU20" s="3"/>
      <c r="GV20" s="3"/>
      <c r="GW20" s="3"/>
      <c r="GX20" s="3"/>
    </row>
    <row r="21" spans="2:206" x14ac:dyDescent="0.2">
      <c r="G21" s="3"/>
      <c r="H21" s="3"/>
      <c r="I21" s="3"/>
      <c r="J21" s="3"/>
      <c r="K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  <c r="FM21" s="3"/>
      <c r="FN21" s="3"/>
      <c r="FO21" s="3"/>
      <c r="FP21" s="3"/>
      <c r="FQ21" s="3"/>
      <c r="FR21" s="3"/>
      <c r="FS21" s="3"/>
      <c r="FT21" s="3"/>
      <c r="FU21" s="3"/>
      <c r="FV21" s="3"/>
      <c r="FW21" s="3"/>
      <c r="FX21" s="3"/>
      <c r="FY21" s="3"/>
      <c r="FZ21" s="3"/>
      <c r="GA21" s="3"/>
      <c r="GB21" s="3"/>
      <c r="GC21" s="3"/>
      <c r="GD21" s="3"/>
      <c r="GE21" s="3"/>
      <c r="GF21" s="3"/>
      <c r="GG21" s="3"/>
      <c r="GH21" s="3"/>
      <c r="GI21" s="3"/>
      <c r="GJ21" s="3"/>
      <c r="GK21" s="3"/>
      <c r="GL21" s="3"/>
      <c r="GM21" s="3"/>
      <c r="GN21" s="3"/>
      <c r="GO21" s="3"/>
      <c r="GP21" s="3"/>
      <c r="GQ21" s="3"/>
      <c r="GR21" s="3"/>
      <c r="GS21" s="3"/>
      <c r="GT21" s="3"/>
      <c r="GU21" s="3"/>
      <c r="GV21" s="3"/>
      <c r="GW21" s="3"/>
      <c r="GX21" s="3"/>
    </row>
    <row r="22" spans="2:206" x14ac:dyDescent="0.2">
      <c r="D22" t="s">
        <v>6</v>
      </c>
      <c r="E22" t="s">
        <v>1</v>
      </c>
      <c r="F22">
        <f>COUNT(M22:GI22)</f>
        <v>100</v>
      </c>
      <c r="G22" s="3">
        <f>AVERAGE(M22:GI22)</f>
        <v>35.375210029999998</v>
      </c>
      <c r="H22" s="3">
        <f>MAX(M22:GI22)</f>
        <v>47.585163000000001</v>
      </c>
      <c r="I22" s="3">
        <f>MIN(M22:GI22)</f>
        <v>28.688253</v>
      </c>
      <c r="J22" s="3">
        <f>_xlfn.STDEV.P(M22:GI22)</f>
        <v>3.268996667306562</v>
      </c>
      <c r="K22" s="3">
        <f>_xlfn.VAR.S(M22:GI22)</f>
        <v>10.79428203117314</v>
      </c>
      <c r="M22" s="3">
        <v>36.013271000000003</v>
      </c>
      <c r="N22" s="3">
        <v>33.181499000000002</v>
      </c>
      <c r="O22" s="3">
        <v>35.638328999999999</v>
      </c>
      <c r="P22" s="3">
        <v>34.199528000000001</v>
      </c>
      <c r="Q22" s="3">
        <v>33.782356</v>
      </c>
      <c r="R22" s="3">
        <v>40.681823999999999</v>
      </c>
      <c r="S22" s="3">
        <v>31.866382999999999</v>
      </c>
      <c r="T22" s="3">
        <v>33.435898000000002</v>
      </c>
      <c r="U22" s="3">
        <v>33.224957000000003</v>
      </c>
      <c r="V22" s="3">
        <v>40.215645000000002</v>
      </c>
      <c r="W22" s="3">
        <v>34.567638000000002</v>
      </c>
      <c r="X22" s="3">
        <v>34.511353</v>
      </c>
      <c r="Y22" s="3">
        <v>30.190011999999999</v>
      </c>
      <c r="Z22" s="3">
        <v>33.679080999999996</v>
      </c>
      <c r="AA22" s="3">
        <v>36.343800000000002</v>
      </c>
      <c r="AB22" s="3">
        <v>34.393149999999999</v>
      </c>
      <c r="AC22" s="3">
        <v>38.198929</v>
      </c>
      <c r="AD22" s="3">
        <v>29.555289999999999</v>
      </c>
      <c r="AE22" s="3">
        <v>36.968929000000003</v>
      </c>
      <c r="AF22" s="3">
        <v>37.469791000000001</v>
      </c>
      <c r="AG22" s="3">
        <v>34.476588999999997</v>
      </c>
      <c r="AH22" s="3">
        <v>37.597633000000002</v>
      </c>
      <c r="AI22" s="3">
        <v>37.554771000000002</v>
      </c>
      <c r="AJ22" s="3">
        <v>34.652729000000001</v>
      </c>
      <c r="AK22" s="3">
        <v>37.237411000000002</v>
      </c>
      <c r="AL22" s="3">
        <v>35.895373999999997</v>
      </c>
      <c r="AM22" s="3">
        <v>32.407803000000001</v>
      </c>
      <c r="AN22" s="3">
        <v>36.962933</v>
      </c>
      <c r="AO22" s="3">
        <v>41.161735999999998</v>
      </c>
      <c r="AP22" s="3">
        <v>36.598576000000001</v>
      </c>
      <c r="AQ22" s="3">
        <v>40.319450000000003</v>
      </c>
      <c r="AR22" s="3">
        <v>33.500008000000001</v>
      </c>
      <c r="AS22" s="3">
        <v>32.006160999999999</v>
      </c>
      <c r="AT22" s="3">
        <v>32.773457000000001</v>
      </c>
      <c r="AU22" s="3">
        <v>37.775703</v>
      </c>
      <c r="AV22" s="3">
        <v>39.060657999999997</v>
      </c>
      <c r="AW22" s="3">
        <v>29.538800999999999</v>
      </c>
      <c r="AX22" s="3">
        <v>34.928631000000003</v>
      </c>
      <c r="AY22" s="3">
        <v>34.520214000000003</v>
      </c>
      <c r="AZ22" s="3">
        <v>36.991580999999996</v>
      </c>
      <c r="BA22" s="3">
        <v>30.637623000000001</v>
      </c>
      <c r="BB22" s="3">
        <v>32.421714999999999</v>
      </c>
      <c r="BC22" s="3">
        <v>34.276161000000002</v>
      </c>
      <c r="BD22" s="3">
        <v>35.049911000000002</v>
      </c>
      <c r="BE22" s="3">
        <v>44.030434</v>
      </c>
      <c r="BF22" s="3">
        <v>36.038077999999999</v>
      </c>
      <c r="BG22" s="3">
        <v>32.582619000000001</v>
      </c>
      <c r="BH22" s="3">
        <v>34.695183</v>
      </c>
      <c r="BI22" s="3">
        <v>29.004263000000002</v>
      </c>
      <c r="BJ22" s="3">
        <v>33.620578999999999</v>
      </c>
      <c r="BK22" s="3">
        <v>34.567180999999998</v>
      </c>
      <c r="BL22" s="3">
        <v>35.527442999999998</v>
      </c>
      <c r="BM22" s="3">
        <v>30.999599</v>
      </c>
      <c r="BN22" s="3">
        <v>33.572516999999998</v>
      </c>
      <c r="BO22" s="3">
        <v>36.478583999999998</v>
      </c>
      <c r="BP22" s="3">
        <v>38.024593000000003</v>
      </c>
      <c r="BQ22" s="3">
        <v>31.614511</v>
      </c>
      <c r="BR22" s="3">
        <v>32.596355000000003</v>
      </c>
      <c r="BS22" s="3">
        <v>33.616504999999997</v>
      </c>
      <c r="BT22" s="3">
        <v>36.489159000000001</v>
      </c>
      <c r="BU22" s="3">
        <v>31.548031000000002</v>
      </c>
      <c r="BV22" s="3">
        <v>34.740433000000003</v>
      </c>
      <c r="BW22" s="3">
        <v>35.098075999999999</v>
      </c>
      <c r="BX22" s="3">
        <v>36.779682000000001</v>
      </c>
      <c r="BY22" s="3">
        <v>34.451073000000001</v>
      </c>
      <c r="BZ22" s="3">
        <v>35.165359000000002</v>
      </c>
      <c r="CA22" s="3">
        <v>36.633701000000002</v>
      </c>
      <c r="CB22" s="3">
        <v>31.513280999999999</v>
      </c>
      <c r="CC22" s="3">
        <v>33.883223999999998</v>
      </c>
      <c r="CD22" s="3">
        <v>40.618907999999998</v>
      </c>
      <c r="CE22" s="3">
        <v>36.053856000000003</v>
      </c>
      <c r="CF22" s="3">
        <v>36.382969000000003</v>
      </c>
      <c r="CG22" s="3">
        <v>33.674976000000001</v>
      </c>
      <c r="CH22" s="3">
        <v>36.841121999999999</v>
      </c>
      <c r="CI22" s="3">
        <v>31.543780999999999</v>
      </c>
      <c r="CJ22" s="3">
        <v>38.317698999999998</v>
      </c>
      <c r="CK22" s="3">
        <v>28.688253</v>
      </c>
      <c r="CL22" s="3">
        <v>44.310886000000004</v>
      </c>
      <c r="CM22" s="3">
        <v>34.449641999999997</v>
      </c>
      <c r="CN22" s="3">
        <v>30.888058000000001</v>
      </c>
      <c r="CO22" s="3">
        <v>36.085728000000003</v>
      </c>
      <c r="CP22" s="3">
        <v>38.980068000000003</v>
      </c>
      <c r="CQ22" s="3">
        <v>31.861198000000002</v>
      </c>
      <c r="CR22" s="3">
        <v>36.053333000000002</v>
      </c>
      <c r="CS22" s="3">
        <v>38.532986000000001</v>
      </c>
      <c r="CT22" s="3">
        <v>39.248218999999999</v>
      </c>
      <c r="CU22" s="3">
        <v>36.347701999999998</v>
      </c>
      <c r="CV22" s="3">
        <v>47.585163000000001</v>
      </c>
      <c r="CW22" s="3">
        <v>31.299472999999999</v>
      </c>
      <c r="CX22" s="3">
        <v>35.835239000000001</v>
      </c>
      <c r="CY22" s="3">
        <v>32.139828000000001</v>
      </c>
      <c r="CZ22" s="3">
        <v>33.248074000000003</v>
      </c>
      <c r="DA22" s="3">
        <v>34.413231000000003</v>
      </c>
      <c r="DB22" s="3">
        <v>37.717365000000001</v>
      </c>
      <c r="DC22" s="3">
        <v>38.354458000000001</v>
      </c>
      <c r="DD22" s="3">
        <v>39.534396999999998</v>
      </c>
      <c r="DE22" s="3">
        <v>35.290160999999998</v>
      </c>
      <c r="DF22" s="3">
        <v>38.402714000000003</v>
      </c>
      <c r="DG22" s="3">
        <v>37.440303999999998</v>
      </c>
      <c r="DH22" s="3">
        <v>37.647457000000003</v>
      </c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3"/>
      <c r="FL22" s="3"/>
      <c r="FM22" s="3"/>
      <c r="FN22" s="3"/>
      <c r="FO22" s="3"/>
      <c r="FP22" s="3"/>
      <c r="FQ22" s="3"/>
      <c r="FR22" s="3"/>
      <c r="FS22" s="3"/>
      <c r="FT22" s="3"/>
      <c r="FU22" s="3"/>
      <c r="FV22" s="3"/>
      <c r="FW22" s="3"/>
      <c r="FX22" s="3"/>
      <c r="FY22" s="3"/>
      <c r="FZ22" s="3"/>
      <c r="GA22" s="3"/>
      <c r="GB22" s="3"/>
      <c r="GC22" s="3"/>
      <c r="GD22" s="3"/>
      <c r="GE22" s="3"/>
      <c r="GF22" s="3"/>
      <c r="GG22" s="3"/>
      <c r="GH22" s="3"/>
      <c r="GI22" s="3"/>
      <c r="GJ22" s="3"/>
      <c r="GK22" s="3"/>
      <c r="GL22" s="3"/>
      <c r="GM22" s="3"/>
      <c r="GN22" s="3"/>
      <c r="GO22" s="3"/>
      <c r="GP22" s="3"/>
      <c r="GQ22" s="3"/>
      <c r="GR22" s="3"/>
      <c r="GS22" s="3"/>
      <c r="GT22" s="3"/>
      <c r="GU22" s="3"/>
      <c r="GV22" s="3"/>
      <c r="GW22" s="3"/>
      <c r="GX22" s="3"/>
    </row>
    <row r="23" spans="2:206" x14ac:dyDescent="0.2"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</row>
    <row r="24" spans="2:206" x14ac:dyDescent="0.2"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</row>
    <row r="25" spans="2:206" x14ac:dyDescent="0.2">
      <c r="D25" s="1"/>
      <c r="O25" s="3"/>
    </row>
    <row r="26" spans="2:206" x14ac:dyDescent="0.2">
      <c r="B26" t="s">
        <v>47</v>
      </c>
      <c r="D26" s="1" t="s">
        <v>30</v>
      </c>
    </row>
    <row r="27" spans="2:206" x14ac:dyDescent="0.2">
      <c r="B27" s="2" t="s">
        <v>23</v>
      </c>
      <c r="D27" t="s">
        <v>3</v>
      </c>
      <c r="E27" t="s">
        <v>1</v>
      </c>
      <c r="F27">
        <f>COUNT(M27:GI27)</f>
        <v>100</v>
      </c>
      <c r="G27" s="3">
        <f>AVERAGE(M27:GI27)</f>
        <v>19.254061729999993</v>
      </c>
      <c r="H27" s="3">
        <f>MAX(M27:GI27)</f>
        <v>24.092323</v>
      </c>
      <c r="I27" s="3">
        <f>MIN(M27:GI27)</f>
        <v>15.337808000000001</v>
      </c>
      <c r="J27" s="3">
        <f>_xlfn.STDEV.P(M27:GI27)</f>
        <v>1.8117580043325048</v>
      </c>
      <c r="K27" s="3">
        <f>_xlfn.VAR.S(M27:GI27)</f>
        <v>3.3156232992554546</v>
      </c>
      <c r="M27" s="3">
        <v>18.472227</v>
      </c>
      <c r="N27" s="3">
        <v>18.383389999999999</v>
      </c>
      <c r="O27" s="3">
        <v>20.235802</v>
      </c>
      <c r="P27" s="3">
        <v>24.092323</v>
      </c>
      <c r="Q27" s="3">
        <v>18.933813000000001</v>
      </c>
      <c r="R27" s="3">
        <v>22.925615000000001</v>
      </c>
      <c r="S27" s="3">
        <v>22.614198999999999</v>
      </c>
      <c r="T27" s="3">
        <v>18.507517</v>
      </c>
      <c r="U27" s="3">
        <v>17.612594999999999</v>
      </c>
      <c r="V27" s="3">
        <v>18.737369999999999</v>
      </c>
      <c r="W27" s="3">
        <v>20.173642999999998</v>
      </c>
      <c r="X27" s="3">
        <v>18.734459000000001</v>
      </c>
      <c r="Y27" s="3">
        <v>19.905840000000001</v>
      </c>
      <c r="Z27" s="3">
        <v>19.285152</v>
      </c>
      <c r="AA27" s="3">
        <v>18.122492000000001</v>
      </c>
      <c r="AB27" s="3">
        <v>20.628713999999999</v>
      </c>
      <c r="AC27" s="3">
        <v>22.120577000000001</v>
      </c>
      <c r="AD27" s="3">
        <v>20.519949</v>
      </c>
      <c r="AE27" s="3">
        <v>21.324261</v>
      </c>
      <c r="AF27" s="3">
        <v>17.770817000000001</v>
      </c>
      <c r="AG27" s="3">
        <v>18.371379999999998</v>
      </c>
      <c r="AH27" s="3">
        <v>17.941101</v>
      </c>
      <c r="AI27" s="3">
        <v>19.347211999999999</v>
      </c>
      <c r="AJ27" s="3">
        <v>18.387343999999999</v>
      </c>
      <c r="AK27" s="3">
        <v>18.4877</v>
      </c>
      <c r="AL27" s="3">
        <v>20.163423999999999</v>
      </c>
      <c r="AM27" s="3">
        <v>22.305389000000002</v>
      </c>
      <c r="AN27" s="3">
        <v>18.251925</v>
      </c>
      <c r="AO27" s="3">
        <v>23.159296000000001</v>
      </c>
      <c r="AP27" s="3">
        <v>17.913321</v>
      </c>
      <c r="AQ27" s="3">
        <v>17.923168</v>
      </c>
      <c r="AR27" s="3">
        <v>19.744039999999998</v>
      </c>
      <c r="AS27" s="3">
        <v>19.690950000000001</v>
      </c>
      <c r="AT27" s="3">
        <v>21.699774000000001</v>
      </c>
      <c r="AU27" s="3">
        <v>18.969349000000001</v>
      </c>
      <c r="AV27" s="3">
        <v>23.619268000000002</v>
      </c>
      <c r="AW27" s="3">
        <v>20.122654000000001</v>
      </c>
      <c r="AX27" s="3">
        <v>21.228757999999999</v>
      </c>
      <c r="AY27" s="3">
        <v>18.274332000000001</v>
      </c>
      <c r="AZ27" s="3">
        <v>18.02</v>
      </c>
      <c r="BA27" s="3">
        <v>20.185026000000001</v>
      </c>
      <c r="BB27" s="3">
        <v>17.017529</v>
      </c>
      <c r="BC27" s="3">
        <v>20.302382000000001</v>
      </c>
      <c r="BD27" s="3">
        <v>21.980953</v>
      </c>
      <c r="BE27" s="3">
        <v>18.407931999999999</v>
      </c>
      <c r="BF27" s="3">
        <v>16.070716999999998</v>
      </c>
      <c r="BG27" s="3">
        <v>21.745605000000001</v>
      </c>
      <c r="BH27" s="3">
        <v>19.597206</v>
      </c>
      <c r="BI27" s="3">
        <v>18.744450000000001</v>
      </c>
      <c r="BJ27" s="3">
        <v>16.823678999999998</v>
      </c>
      <c r="BK27" s="3">
        <v>17.880417000000001</v>
      </c>
      <c r="BL27" s="3">
        <v>19.046955000000001</v>
      </c>
      <c r="BM27" s="3">
        <v>19.139230999999999</v>
      </c>
      <c r="BN27" s="3">
        <v>20.210224</v>
      </c>
      <c r="BO27" s="3">
        <v>20.247492000000001</v>
      </c>
      <c r="BP27" s="3">
        <v>19.547691</v>
      </c>
      <c r="BQ27" s="3">
        <v>22.976845000000001</v>
      </c>
      <c r="BR27" s="3">
        <v>22.368979</v>
      </c>
      <c r="BS27" s="3">
        <v>18.641914</v>
      </c>
      <c r="BT27" s="3">
        <v>18.822247999999998</v>
      </c>
      <c r="BU27" s="3">
        <v>22.995539000000001</v>
      </c>
      <c r="BV27" s="3">
        <v>21.595461</v>
      </c>
      <c r="BW27" s="3">
        <v>21.177340000000001</v>
      </c>
      <c r="BX27" s="3">
        <v>17.079709999999999</v>
      </c>
      <c r="BY27" s="3">
        <v>17.755386000000001</v>
      </c>
      <c r="BZ27" s="3">
        <v>18.772095</v>
      </c>
      <c r="CA27" s="3">
        <v>18.329180000000001</v>
      </c>
      <c r="CB27" s="3">
        <v>20.286617</v>
      </c>
      <c r="CC27" s="3">
        <v>19.680963999999999</v>
      </c>
      <c r="CD27" s="3">
        <v>19.379912999999998</v>
      </c>
      <c r="CE27" s="3">
        <v>17.821498999999999</v>
      </c>
      <c r="CF27" s="3">
        <v>18.132166000000002</v>
      </c>
      <c r="CG27" s="3">
        <v>16.955283999999999</v>
      </c>
      <c r="CH27" s="3">
        <v>18.606339999999999</v>
      </c>
      <c r="CI27" s="3">
        <v>20.406289999999998</v>
      </c>
      <c r="CJ27" s="3">
        <v>17.196455</v>
      </c>
      <c r="CK27" s="3">
        <v>19.590305000000001</v>
      </c>
      <c r="CL27" s="3">
        <v>18.835429999999999</v>
      </c>
      <c r="CM27" s="3">
        <v>18.022829000000002</v>
      </c>
      <c r="CN27" s="3">
        <v>15.337808000000001</v>
      </c>
      <c r="CO27" s="3">
        <v>17.569284</v>
      </c>
      <c r="CP27" s="3">
        <v>19.797153000000002</v>
      </c>
      <c r="CQ27" s="3">
        <v>17.608239999999999</v>
      </c>
      <c r="CR27" s="3">
        <v>20.089918000000001</v>
      </c>
      <c r="CS27" s="3">
        <v>19.854620000000001</v>
      </c>
      <c r="CT27" s="3">
        <v>16.914073999999999</v>
      </c>
      <c r="CU27" s="3">
        <v>19.737276000000001</v>
      </c>
      <c r="CV27" s="3">
        <v>17.169070999999999</v>
      </c>
      <c r="CW27" s="3">
        <v>18.569817</v>
      </c>
      <c r="CX27" s="3">
        <v>19.142408</v>
      </c>
      <c r="CY27" s="3">
        <v>18.457426000000002</v>
      </c>
      <c r="CZ27" s="3">
        <v>15.893279</v>
      </c>
      <c r="DA27" s="3">
        <v>17.962534000000002</v>
      </c>
      <c r="DB27" s="3">
        <v>15.361103999999999</v>
      </c>
      <c r="DC27" s="3">
        <v>17.152918</v>
      </c>
      <c r="DD27" s="3">
        <v>18.842154000000001</v>
      </c>
      <c r="DE27" s="3">
        <v>19.700575000000001</v>
      </c>
      <c r="DF27" s="3">
        <v>18.859213</v>
      </c>
      <c r="DG27" s="3">
        <v>19.366896000000001</v>
      </c>
      <c r="DH27" s="3">
        <v>16.922986999999999</v>
      </c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/>
      <c r="FC27" s="3"/>
      <c r="FD27" s="3"/>
      <c r="FE27" s="3"/>
      <c r="FF27" s="3"/>
      <c r="FG27" s="3"/>
      <c r="FH27" s="3"/>
      <c r="FI27" s="3"/>
      <c r="FJ27" s="3"/>
      <c r="FK27" s="3"/>
      <c r="FL27" s="3"/>
      <c r="FM27" s="3"/>
      <c r="FN27" s="3"/>
      <c r="FO27" s="3"/>
      <c r="FP27" s="3"/>
      <c r="FQ27" s="3"/>
      <c r="FR27" s="3"/>
      <c r="FS27" s="3"/>
      <c r="FT27" s="3"/>
      <c r="FU27" s="3"/>
      <c r="FV27" s="3"/>
      <c r="FW27" s="3"/>
      <c r="FX27" s="3"/>
      <c r="FY27" s="3"/>
      <c r="FZ27" s="3"/>
      <c r="GA27" s="3"/>
      <c r="GB27" s="3"/>
      <c r="GC27" s="3"/>
      <c r="GD27" s="3"/>
      <c r="GE27" s="3"/>
      <c r="GF27" s="3"/>
      <c r="GG27" s="3"/>
      <c r="GH27" s="3"/>
      <c r="GI27" s="3"/>
      <c r="GJ27" s="3"/>
      <c r="GK27" s="3"/>
      <c r="GL27" s="3"/>
      <c r="GM27" s="3"/>
      <c r="GN27" s="3"/>
      <c r="GO27" s="3"/>
      <c r="GP27" s="3"/>
      <c r="GQ27" s="3"/>
      <c r="GR27" s="3"/>
      <c r="GS27" s="3"/>
      <c r="GT27" s="3"/>
      <c r="GU27" s="3"/>
      <c r="GV27" s="3"/>
      <c r="GW27" s="3"/>
      <c r="GX27" s="3"/>
    </row>
    <row r="28" spans="2:206" x14ac:dyDescent="0.2">
      <c r="B28" s="2" t="s">
        <v>24</v>
      </c>
      <c r="G28" s="3"/>
      <c r="H28" s="3"/>
      <c r="I28" s="3"/>
      <c r="J28" s="3"/>
      <c r="K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3"/>
      <c r="EY28" s="3"/>
      <c r="EZ28" s="3"/>
      <c r="FA28" s="3"/>
      <c r="FB28" s="3"/>
      <c r="FC28" s="3"/>
      <c r="FD28" s="3"/>
      <c r="FE28" s="3"/>
      <c r="FF28" s="3"/>
      <c r="FG28" s="3"/>
      <c r="FH28" s="3"/>
      <c r="FI28" s="3"/>
      <c r="FJ28" s="3"/>
      <c r="FK28" s="3"/>
      <c r="FL28" s="3"/>
      <c r="FM28" s="3"/>
      <c r="FN28" s="3"/>
      <c r="FO28" s="3"/>
      <c r="FP28" s="3"/>
      <c r="FQ28" s="3"/>
      <c r="FR28" s="3"/>
      <c r="FS28" s="3"/>
      <c r="FT28" s="3"/>
      <c r="FU28" s="3"/>
      <c r="FV28" s="3"/>
      <c r="FW28" s="3"/>
      <c r="FX28" s="3"/>
      <c r="FY28" s="3"/>
      <c r="FZ28" s="3"/>
      <c r="GA28" s="3"/>
      <c r="GB28" s="3"/>
      <c r="GC28" s="3"/>
      <c r="GD28" s="3"/>
      <c r="GE28" s="3"/>
      <c r="GF28" s="3"/>
      <c r="GG28" s="3"/>
      <c r="GH28" s="3"/>
      <c r="GI28" s="3"/>
      <c r="GJ28" s="3"/>
      <c r="GK28" s="3"/>
      <c r="GL28" s="3"/>
      <c r="GM28" s="3"/>
      <c r="GN28" s="3"/>
      <c r="GO28" s="3"/>
      <c r="GP28" s="3"/>
      <c r="GQ28" s="3"/>
      <c r="GR28" s="3"/>
      <c r="GS28" s="3"/>
      <c r="GT28" s="3"/>
      <c r="GU28" s="3"/>
      <c r="GV28" s="3"/>
      <c r="GW28" s="3"/>
      <c r="GX28" s="3"/>
    </row>
    <row r="29" spans="2:206" x14ac:dyDescent="0.2">
      <c r="B29" s="2" t="s">
        <v>25</v>
      </c>
      <c r="D29" t="s">
        <v>4</v>
      </c>
      <c r="E29" t="s">
        <v>1</v>
      </c>
      <c r="F29">
        <f>COUNT(M29:GI29)</f>
        <v>100</v>
      </c>
      <c r="G29" s="3">
        <f>AVERAGE(M29:GI29)</f>
        <v>11.354510339999999</v>
      </c>
      <c r="H29" s="3">
        <f>MAX(M29:GI29)</f>
        <v>17.631733000000001</v>
      </c>
      <c r="I29" s="3">
        <f>MIN(M29:GI29)</f>
        <v>7.5207110000000004</v>
      </c>
      <c r="J29" s="3">
        <f>_xlfn.STDEV.P(M29:GI29)</f>
        <v>1.8939665661700613</v>
      </c>
      <c r="K29" s="3">
        <f>_xlfn.VAR.S(M29:GI29)</f>
        <v>3.6233427815858694</v>
      </c>
      <c r="M29" s="3">
        <v>12.761003000000001</v>
      </c>
      <c r="N29" s="3">
        <v>9.1601569999999999</v>
      </c>
      <c r="O29" s="3">
        <v>11.355955</v>
      </c>
      <c r="P29" s="3">
        <v>8.3964370000000006</v>
      </c>
      <c r="Q29" s="3">
        <v>11.099772</v>
      </c>
      <c r="R29" s="3">
        <v>10.536053000000001</v>
      </c>
      <c r="S29" s="3">
        <v>12.717824</v>
      </c>
      <c r="T29" s="3">
        <v>10.418289</v>
      </c>
      <c r="U29" s="3">
        <v>9.3845530000000004</v>
      </c>
      <c r="V29" s="3">
        <v>10.601321</v>
      </c>
      <c r="W29" s="3">
        <v>11.845833000000001</v>
      </c>
      <c r="X29" s="3">
        <v>8.1943009999999994</v>
      </c>
      <c r="Y29" s="3">
        <v>12.742569</v>
      </c>
      <c r="Z29" s="3">
        <v>12.66431</v>
      </c>
      <c r="AA29" s="3">
        <v>11.598281999999999</v>
      </c>
      <c r="AB29" s="3">
        <v>11.502509999999999</v>
      </c>
      <c r="AC29" s="3">
        <v>15.859992999999999</v>
      </c>
      <c r="AD29" s="3">
        <v>14.325127</v>
      </c>
      <c r="AE29" s="3">
        <v>14.125381000000001</v>
      </c>
      <c r="AF29" s="3">
        <v>12.253779</v>
      </c>
      <c r="AG29" s="3">
        <v>7.6475489999999997</v>
      </c>
      <c r="AH29" s="3">
        <v>8.8174700000000001</v>
      </c>
      <c r="AI29" s="3">
        <v>12.917211999999999</v>
      </c>
      <c r="AJ29" s="3">
        <v>8.7600449999999999</v>
      </c>
      <c r="AK29" s="3">
        <v>10.665366000000001</v>
      </c>
      <c r="AL29" s="3">
        <v>11.741486</v>
      </c>
      <c r="AM29" s="3">
        <v>9.0702750000000005</v>
      </c>
      <c r="AN29" s="3">
        <v>8.9173410000000004</v>
      </c>
      <c r="AO29" s="3">
        <v>12.448532999999999</v>
      </c>
      <c r="AP29" s="3">
        <v>9.9669019999999993</v>
      </c>
      <c r="AQ29" s="3">
        <v>12.572736000000001</v>
      </c>
      <c r="AR29" s="3">
        <v>12.588312999999999</v>
      </c>
      <c r="AS29" s="3">
        <v>11.028655000000001</v>
      </c>
      <c r="AT29" s="3">
        <v>13.099176</v>
      </c>
      <c r="AU29" s="3">
        <v>12.763182</v>
      </c>
      <c r="AV29" s="3">
        <v>12.505504</v>
      </c>
      <c r="AW29" s="3">
        <v>10.302021</v>
      </c>
      <c r="AX29" s="3">
        <v>10.621211000000001</v>
      </c>
      <c r="AY29" s="3">
        <v>12.502091999999999</v>
      </c>
      <c r="AZ29" s="3">
        <v>9.7496639999999992</v>
      </c>
      <c r="BA29" s="3">
        <v>10.495811</v>
      </c>
      <c r="BB29" s="3">
        <v>13.765504</v>
      </c>
      <c r="BC29" s="3">
        <v>8.6507620000000003</v>
      </c>
      <c r="BD29" s="3">
        <v>12.974762999999999</v>
      </c>
      <c r="BE29" s="3">
        <v>11.250361</v>
      </c>
      <c r="BF29" s="3">
        <v>10.668654999999999</v>
      </c>
      <c r="BG29" s="3">
        <v>9.0261820000000004</v>
      </c>
      <c r="BH29" s="3">
        <v>12.395837999999999</v>
      </c>
      <c r="BI29" s="3">
        <v>14.241097999999999</v>
      </c>
      <c r="BJ29" s="3">
        <v>13.800261000000001</v>
      </c>
      <c r="BK29" s="3">
        <v>10.634295</v>
      </c>
      <c r="BL29" s="3">
        <v>12.197834</v>
      </c>
      <c r="BM29" s="3">
        <v>11.584975999999999</v>
      </c>
      <c r="BN29" s="3">
        <v>9.0831809999999997</v>
      </c>
      <c r="BO29" s="3">
        <v>12.689727</v>
      </c>
      <c r="BP29" s="3">
        <v>13.111468</v>
      </c>
      <c r="BQ29" s="3">
        <v>12.678929999999999</v>
      </c>
      <c r="BR29" s="3">
        <v>11.943492000000001</v>
      </c>
      <c r="BS29" s="3">
        <v>12.071408</v>
      </c>
      <c r="BT29" s="3">
        <v>10.772558</v>
      </c>
      <c r="BU29" s="3">
        <v>11.139488</v>
      </c>
      <c r="BV29" s="3">
        <v>14.783569</v>
      </c>
      <c r="BW29" s="3">
        <v>9.6404010000000007</v>
      </c>
      <c r="BX29" s="3">
        <v>7.5207110000000004</v>
      </c>
      <c r="BY29" s="3">
        <v>10.560786</v>
      </c>
      <c r="BZ29" s="3">
        <v>14.058555999999999</v>
      </c>
      <c r="CA29" s="3">
        <v>10.417120000000001</v>
      </c>
      <c r="CB29" s="3">
        <v>14.364655000000001</v>
      </c>
      <c r="CC29" s="3">
        <v>10.993817999999999</v>
      </c>
      <c r="CD29" s="3">
        <v>9.1580169999999992</v>
      </c>
      <c r="CE29" s="3">
        <v>12.104217999999999</v>
      </c>
      <c r="CF29" s="3">
        <v>17.631733000000001</v>
      </c>
      <c r="CG29" s="3">
        <v>10.593470999999999</v>
      </c>
      <c r="CH29" s="3">
        <v>11.083847</v>
      </c>
      <c r="CI29" s="3">
        <v>9.5853970000000004</v>
      </c>
      <c r="CJ29" s="3">
        <v>9.8150720000000007</v>
      </c>
      <c r="CK29" s="3">
        <v>12.253100999999999</v>
      </c>
      <c r="CL29" s="3">
        <v>8.0400080000000003</v>
      </c>
      <c r="CM29" s="3">
        <v>8.0096629999999998</v>
      </c>
      <c r="CN29" s="3">
        <v>11.696946000000001</v>
      </c>
      <c r="CO29" s="3">
        <v>9.5703080000000007</v>
      </c>
      <c r="CP29" s="3">
        <v>10.615190999999999</v>
      </c>
      <c r="CQ29" s="3">
        <v>10.027931000000001</v>
      </c>
      <c r="CR29" s="3">
        <v>10.981680000000001</v>
      </c>
      <c r="CS29" s="3">
        <v>12.116154999999999</v>
      </c>
      <c r="CT29" s="3">
        <v>10.242524</v>
      </c>
      <c r="CU29" s="3">
        <v>11.802707</v>
      </c>
      <c r="CV29" s="3">
        <v>10.992865999999999</v>
      </c>
      <c r="CW29" s="3">
        <v>10.629446</v>
      </c>
      <c r="CX29" s="3">
        <v>11.034801</v>
      </c>
      <c r="CY29" s="3">
        <v>15.05996</v>
      </c>
      <c r="CZ29" s="3">
        <v>10.907586999999999</v>
      </c>
      <c r="DA29" s="3">
        <v>13.363265999999999</v>
      </c>
      <c r="DB29" s="3">
        <v>11.841521999999999</v>
      </c>
      <c r="DC29" s="3">
        <v>12.287666</v>
      </c>
      <c r="DD29" s="3">
        <v>9.9241119999999992</v>
      </c>
      <c r="DE29" s="3">
        <v>11.84911</v>
      </c>
      <c r="DF29" s="3">
        <v>7.7571770000000004</v>
      </c>
      <c r="DG29" s="3">
        <v>13.160556</v>
      </c>
      <c r="DH29" s="3">
        <v>13.570606</v>
      </c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3"/>
      <c r="EQ29" s="3"/>
      <c r="ER29" s="3"/>
      <c r="ES29" s="3"/>
      <c r="ET29" s="3"/>
      <c r="EU29" s="3"/>
      <c r="EV29" s="3"/>
      <c r="EW29" s="3"/>
      <c r="EX29" s="3"/>
      <c r="EY29" s="3"/>
      <c r="EZ29" s="3"/>
      <c r="FA29" s="3"/>
      <c r="FB29" s="3"/>
      <c r="FC29" s="3"/>
      <c r="FD29" s="3"/>
      <c r="FE29" s="3"/>
      <c r="FF29" s="3"/>
      <c r="FG29" s="3"/>
      <c r="FH29" s="3"/>
      <c r="FI29" s="3"/>
      <c r="FJ29" s="3"/>
      <c r="FK29" s="3"/>
      <c r="FL29" s="3"/>
      <c r="FM29" s="3"/>
      <c r="FN29" s="3"/>
      <c r="FO29" s="3"/>
      <c r="FP29" s="3"/>
      <c r="FQ29" s="3"/>
      <c r="FR29" s="3"/>
      <c r="FS29" s="3"/>
      <c r="FT29" s="3"/>
      <c r="FU29" s="3"/>
      <c r="FV29" s="3"/>
      <c r="FW29" s="3"/>
      <c r="FX29" s="3"/>
      <c r="FY29" s="3"/>
      <c r="FZ29" s="3"/>
      <c r="GA29" s="3"/>
      <c r="GB29" s="3"/>
      <c r="GC29" s="3"/>
      <c r="GD29" s="3"/>
      <c r="GE29" s="3"/>
      <c r="GF29" s="3"/>
      <c r="GG29" s="3"/>
      <c r="GH29" s="3"/>
      <c r="GI29" s="3"/>
      <c r="GJ29" s="3"/>
      <c r="GK29" s="3"/>
      <c r="GL29" s="3"/>
      <c r="GM29" s="3"/>
      <c r="GN29" s="3"/>
      <c r="GO29" s="3"/>
      <c r="GP29" s="3"/>
      <c r="GQ29" s="3"/>
      <c r="GR29" s="3"/>
      <c r="GS29" s="3"/>
      <c r="GT29" s="3"/>
      <c r="GU29" s="3"/>
      <c r="GV29" s="3"/>
      <c r="GW29" s="3"/>
      <c r="GX29" s="3"/>
    </row>
    <row r="30" spans="2:206" x14ac:dyDescent="0.2">
      <c r="G30" s="3"/>
      <c r="H30" s="3"/>
      <c r="I30" s="3"/>
      <c r="J30" s="3"/>
      <c r="K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3"/>
      <c r="EQ30" s="3"/>
      <c r="ER30" s="3"/>
      <c r="ES30" s="3"/>
      <c r="ET30" s="3"/>
      <c r="EU30" s="3"/>
      <c r="EV30" s="3"/>
      <c r="EW30" s="3"/>
      <c r="EX30" s="3"/>
      <c r="EY30" s="3"/>
      <c r="EZ30" s="3"/>
      <c r="FA30" s="3"/>
      <c r="FB30" s="3"/>
      <c r="FC30" s="3"/>
      <c r="FD30" s="3"/>
      <c r="FE30" s="3"/>
      <c r="FF30" s="3"/>
      <c r="FG30" s="3"/>
      <c r="FH30" s="3"/>
      <c r="FI30" s="3"/>
      <c r="FJ30" s="3"/>
      <c r="FK30" s="3"/>
      <c r="FL30" s="3"/>
      <c r="FM30" s="3"/>
      <c r="FN30" s="3"/>
      <c r="FO30" s="3"/>
      <c r="FP30" s="3"/>
      <c r="FQ30" s="3"/>
      <c r="FR30" s="3"/>
      <c r="FS30" s="3"/>
      <c r="FT30" s="3"/>
      <c r="FU30" s="3"/>
      <c r="FV30" s="3"/>
      <c r="FW30" s="3"/>
      <c r="FX30" s="3"/>
      <c r="FY30" s="3"/>
      <c r="FZ30" s="3"/>
      <c r="GA30" s="3"/>
      <c r="GB30" s="3"/>
      <c r="GC30" s="3"/>
      <c r="GD30" s="3"/>
      <c r="GE30" s="3"/>
      <c r="GF30" s="3"/>
      <c r="GG30" s="3"/>
      <c r="GH30" s="3"/>
      <c r="GI30" s="3"/>
      <c r="GJ30" s="3"/>
      <c r="GK30" s="3"/>
      <c r="GL30" s="3"/>
      <c r="GM30" s="3"/>
      <c r="GN30" s="3"/>
      <c r="GO30" s="3"/>
      <c r="GP30" s="3"/>
      <c r="GQ30" s="3"/>
      <c r="GR30" s="3"/>
      <c r="GS30" s="3"/>
      <c r="GT30" s="3"/>
      <c r="GU30" s="3"/>
      <c r="GV30" s="3"/>
      <c r="GW30" s="3"/>
      <c r="GX30" s="3"/>
    </row>
    <row r="31" spans="2:206" x14ac:dyDescent="0.2">
      <c r="D31" t="s">
        <v>2</v>
      </c>
      <c r="E31" t="s">
        <v>1</v>
      </c>
      <c r="F31">
        <f>COUNT(M31:GI31)</f>
        <v>100</v>
      </c>
      <c r="G31" s="3">
        <f>AVERAGE(M31:GI31)</f>
        <v>13.099376840000005</v>
      </c>
      <c r="H31" s="3">
        <f>MAX(M31:GI31)</f>
        <v>18.909282999999999</v>
      </c>
      <c r="I31" s="3">
        <f>MIN(M31:GI31)</f>
        <v>9.8358039999999995</v>
      </c>
      <c r="J31" s="3">
        <f>_xlfn.STDEV.P(M31:GI31)</f>
        <v>1.7973652418617831</v>
      </c>
      <c r="K31" s="3">
        <f>_xlfn.VAR.S(M31:GI31)</f>
        <v>3.2631533461140183</v>
      </c>
      <c r="M31" s="3">
        <v>11.170629999999999</v>
      </c>
      <c r="N31" s="3">
        <v>13.997692000000001</v>
      </c>
      <c r="O31" s="3">
        <v>13.218038999999999</v>
      </c>
      <c r="P31" s="3">
        <v>10.367265</v>
      </c>
      <c r="Q31" s="3">
        <v>15.063618999999999</v>
      </c>
      <c r="R31" s="3">
        <v>15.008570000000001</v>
      </c>
      <c r="S31" s="3">
        <v>13.511238000000001</v>
      </c>
      <c r="T31" s="3">
        <v>16.428640000000001</v>
      </c>
      <c r="U31" s="3">
        <v>11.146455</v>
      </c>
      <c r="V31" s="3">
        <v>9.8463940000000001</v>
      </c>
      <c r="W31" s="3">
        <v>9.8358039999999995</v>
      </c>
      <c r="X31" s="3">
        <v>18.909282999999999</v>
      </c>
      <c r="Y31" s="3">
        <v>11.733116000000001</v>
      </c>
      <c r="Z31" s="3">
        <v>13.243955</v>
      </c>
      <c r="AA31" s="3">
        <v>10.273448999999999</v>
      </c>
      <c r="AB31" s="3">
        <v>15.081989999999999</v>
      </c>
      <c r="AC31" s="3">
        <v>11.457243999999999</v>
      </c>
      <c r="AD31" s="3">
        <v>11.063141</v>
      </c>
      <c r="AE31" s="3">
        <v>12.240786999999999</v>
      </c>
      <c r="AF31" s="3">
        <v>11.172841999999999</v>
      </c>
      <c r="AG31" s="3">
        <v>12.943770000000001</v>
      </c>
      <c r="AH31" s="3">
        <v>14.912098</v>
      </c>
      <c r="AI31" s="3">
        <v>13.084484</v>
      </c>
      <c r="AJ31" s="3">
        <v>15.726711</v>
      </c>
      <c r="AK31" s="3">
        <v>13.405340000000001</v>
      </c>
      <c r="AL31" s="3">
        <v>13.384852</v>
      </c>
      <c r="AM31" s="3">
        <v>13.281838</v>
      </c>
      <c r="AN31" s="3">
        <v>10.273656000000001</v>
      </c>
      <c r="AO31" s="3">
        <v>17.739070999999999</v>
      </c>
      <c r="AP31" s="3">
        <v>11.590093</v>
      </c>
      <c r="AQ31" s="3">
        <v>12.328709</v>
      </c>
      <c r="AR31" s="3">
        <v>12.379173</v>
      </c>
      <c r="AS31" s="3">
        <v>12.721837000000001</v>
      </c>
      <c r="AT31" s="3">
        <v>13.568387</v>
      </c>
      <c r="AU31" s="3">
        <v>15.438615</v>
      </c>
      <c r="AV31" s="3">
        <v>13.433552000000001</v>
      </c>
      <c r="AW31" s="3">
        <v>14.154677</v>
      </c>
      <c r="AX31" s="3">
        <v>10.690434</v>
      </c>
      <c r="AY31" s="3">
        <v>15.350064</v>
      </c>
      <c r="AZ31" s="3">
        <v>10.890141</v>
      </c>
      <c r="BA31" s="3">
        <v>12.157208000000001</v>
      </c>
      <c r="BB31" s="3">
        <v>10.999594999999999</v>
      </c>
      <c r="BC31" s="3">
        <v>12.621221</v>
      </c>
      <c r="BD31" s="3">
        <v>13.592038000000001</v>
      </c>
      <c r="BE31" s="3">
        <v>13.348333</v>
      </c>
      <c r="BF31" s="3">
        <v>11.727798</v>
      </c>
      <c r="BG31" s="3">
        <v>11.495692</v>
      </c>
      <c r="BH31" s="3">
        <v>12.315393</v>
      </c>
      <c r="BI31" s="3">
        <v>13.029413</v>
      </c>
      <c r="BJ31" s="3">
        <v>12.031986</v>
      </c>
      <c r="BK31" s="3">
        <v>11.53848</v>
      </c>
      <c r="BL31" s="3">
        <v>15.158433</v>
      </c>
      <c r="BM31" s="3">
        <v>13.515086999999999</v>
      </c>
      <c r="BN31" s="3">
        <v>12.815778</v>
      </c>
      <c r="BO31" s="3">
        <v>15.011518000000001</v>
      </c>
      <c r="BP31" s="3">
        <v>15.841348</v>
      </c>
      <c r="BQ31" s="3">
        <v>18.205953999999998</v>
      </c>
      <c r="BR31" s="3">
        <v>16.294353000000001</v>
      </c>
      <c r="BS31" s="3">
        <v>13.119844000000001</v>
      </c>
      <c r="BT31" s="3">
        <v>13.691402999999999</v>
      </c>
      <c r="BU31" s="3">
        <v>13.497323</v>
      </c>
      <c r="BV31" s="3">
        <v>14.118406999999999</v>
      </c>
      <c r="BW31" s="3">
        <v>10.654928999999999</v>
      </c>
      <c r="BX31" s="3">
        <v>11.309892</v>
      </c>
      <c r="BY31" s="3">
        <v>13.022327000000001</v>
      </c>
      <c r="BZ31" s="3">
        <v>15.427788</v>
      </c>
      <c r="CA31" s="3">
        <v>12.774001999999999</v>
      </c>
      <c r="CB31" s="3">
        <v>13.196051000000001</v>
      </c>
      <c r="CC31" s="3">
        <v>13.553291</v>
      </c>
      <c r="CD31" s="3">
        <v>10.894425999999999</v>
      </c>
      <c r="CE31" s="3">
        <v>12.892725</v>
      </c>
      <c r="CF31" s="3">
        <v>14.150506</v>
      </c>
      <c r="CG31" s="3">
        <v>10.986060999999999</v>
      </c>
      <c r="CH31" s="3">
        <v>12.524290000000001</v>
      </c>
      <c r="CI31" s="3">
        <v>13.125984000000001</v>
      </c>
      <c r="CJ31" s="3">
        <v>11.88721</v>
      </c>
      <c r="CK31" s="3">
        <v>12.229004</v>
      </c>
      <c r="CL31" s="3">
        <v>11.332806</v>
      </c>
      <c r="CM31" s="3">
        <v>15.011578</v>
      </c>
      <c r="CN31" s="3">
        <v>12.894124</v>
      </c>
      <c r="CO31" s="3">
        <v>13.618395</v>
      </c>
      <c r="CP31" s="3">
        <v>13.996696</v>
      </c>
      <c r="CQ31" s="3">
        <v>12.393355</v>
      </c>
      <c r="CR31" s="3">
        <v>13.467656</v>
      </c>
      <c r="CS31" s="3">
        <v>16.010736000000001</v>
      </c>
      <c r="CT31" s="3">
        <v>13.448092000000001</v>
      </c>
      <c r="CU31" s="3">
        <v>13.512846</v>
      </c>
      <c r="CV31" s="3">
        <v>14.178182</v>
      </c>
      <c r="CW31" s="3">
        <v>12.142434</v>
      </c>
      <c r="CX31" s="3">
        <v>10.903643000000001</v>
      </c>
      <c r="CY31" s="3">
        <v>12.245501000000001</v>
      </c>
      <c r="CZ31" s="3">
        <v>11.36763</v>
      </c>
      <c r="DA31" s="3">
        <v>14.742725999999999</v>
      </c>
      <c r="DB31" s="3">
        <v>14.371677</v>
      </c>
      <c r="DC31" s="3">
        <v>10.454181</v>
      </c>
      <c r="DD31" s="3">
        <v>11.589371</v>
      </c>
      <c r="DE31" s="3">
        <v>13.642689000000001</v>
      </c>
      <c r="DF31" s="3">
        <v>14.522216</v>
      </c>
      <c r="DG31" s="3">
        <v>14.610623</v>
      </c>
      <c r="DH31" s="3">
        <v>12.657781</v>
      </c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/>
      <c r="EM31" s="3"/>
      <c r="EN31" s="3"/>
      <c r="EO31" s="3"/>
      <c r="EP31" s="3"/>
      <c r="EQ31" s="3"/>
      <c r="ER31" s="3"/>
      <c r="ES31" s="3"/>
      <c r="ET31" s="3"/>
      <c r="EU31" s="3"/>
      <c r="EV31" s="3"/>
      <c r="EW31" s="3"/>
      <c r="EX31" s="3"/>
      <c r="EY31" s="3"/>
      <c r="EZ31" s="3"/>
      <c r="FA31" s="3"/>
      <c r="FB31" s="3"/>
      <c r="FC31" s="3"/>
      <c r="FD31" s="3"/>
      <c r="FE31" s="3"/>
      <c r="FF31" s="3"/>
      <c r="FG31" s="3"/>
      <c r="FH31" s="3"/>
      <c r="FI31" s="3"/>
      <c r="FJ31" s="3"/>
      <c r="FK31" s="3"/>
      <c r="FL31" s="3"/>
      <c r="FM31" s="3"/>
      <c r="FN31" s="3"/>
      <c r="FO31" s="3"/>
      <c r="FP31" s="3"/>
      <c r="FQ31" s="3"/>
      <c r="FR31" s="3"/>
      <c r="FS31" s="3"/>
      <c r="FT31" s="3"/>
      <c r="FU31" s="3"/>
      <c r="FV31" s="3"/>
      <c r="FW31" s="3"/>
      <c r="FX31" s="3"/>
      <c r="FY31" s="3"/>
      <c r="FZ31" s="3"/>
      <c r="GA31" s="3"/>
      <c r="GB31" s="3"/>
      <c r="GC31" s="3"/>
      <c r="GD31" s="3"/>
      <c r="GE31" s="3"/>
      <c r="GF31" s="3"/>
      <c r="GG31" s="3"/>
      <c r="GH31" s="3"/>
      <c r="GI31" s="3"/>
      <c r="GJ31" s="3"/>
      <c r="GK31" s="3"/>
      <c r="GL31" s="3"/>
      <c r="GM31" s="3"/>
      <c r="GN31" s="3"/>
      <c r="GO31" s="3"/>
      <c r="GP31" s="3"/>
      <c r="GQ31" s="3"/>
      <c r="GR31" s="3"/>
      <c r="GS31" s="3"/>
      <c r="GT31" s="3"/>
      <c r="GU31" s="3"/>
      <c r="GV31" s="3"/>
      <c r="GW31" s="3"/>
      <c r="GX31" s="3"/>
    </row>
    <row r="32" spans="2:206" x14ac:dyDescent="0.2">
      <c r="G32" s="3"/>
      <c r="H32" s="3"/>
      <c r="I32" s="3"/>
      <c r="J32" s="3"/>
      <c r="K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/>
      <c r="EU32" s="3"/>
      <c r="EV32" s="3"/>
      <c r="EW32" s="3"/>
      <c r="EX32" s="3"/>
      <c r="EY32" s="3"/>
      <c r="EZ32" s="3"/>
      <c r="FA32" s="3"/>
      <c r="FB32" s="3"/>
      <c r="FC32" s="3"/>
      <c r="FD32" s="3"/>
      <c r="FE32" s="3"/>
      <c r="FF32" s="3"/>
      <c r="FG32" s="3"/>
      <c r="FH32" s="3"/>
      <c r="FI32" s="3"/>
      <c r="FJ32" s="3"/>
      <c r="FK32" s="3"/>
      <c r="FL32" s="3"/>
      <c r="FM32" s="3"/>
      <c r="FN32" s="3"/>
      <c r="FO32" s="3"/>
      <c r="FP32" s="3"/>
      <c r="FQ32" s="3"/>
      <c r="FR32" s="3"/>
      <c r="FS32" s="3"/>
      <c r="FT32" s="3"/>
      <c r="FU32" s="3"/>
      <c r="FV32" s="3"/>
      <c r="FW32" s="3"/>
      <c r="FX32" s="3"/>
      <c r="FY32" s="3"/>
      <c r="FZ32" s="3"/>
      <c r="GA32" s="3"/>
      <c r="GB32" s="3"/>
      <c r="GC32" s="3"/>
      <c r="GD32" s="3"/>
      <c r="GE32" s="3"/>
      <c r="GF32" s="3"/>
      <c r="GG32" s="3"/>
      <c r="GH32" s="3"/>
      <c r="GI32" s="3"/>
      <c r="GJ32" s="3"/>
      <c r="GK32" s="3"/>
      <c r="GL32" s="3"/>
      <c r="GM32" s="3"/>
      <c r="GN32" s="3"/>
      <c r="GO32" s="3"/>
      <c r="GP32" s="3"/>
      <c r="GQ32" s="3"/>
      <c r="GR32" s="3"/>
      <c r="GS32" s="3"/>
      <c r="GT32" s="3"/>
      <c r="GU32" s="3"/>
      <c r="GV32" s="3"/>
      <c r="GW32" s="3"/>
      <c r="GX32" s="3"/>
    </row>
    <row r="33" spans="2:206" x14ac:dyDescent="0.2">
      <c r="D33" t="s">
        <v>5</v>
      </c>
      <c r="E33" t="s">
        <v>1</v>
      </c>
      <c r="F33">
        <f>COUNT(M33:GI33)</f>
        <v>100</v>
      </c>
      <c r="G33" s="3">
        <f>AVERAGE(M33:GI33)</f>
        <v>15.309789490000004</v>
      </c>
      <c r="H33" s="3">
        <f>MAX(M33:GI33)</f>
        <v>20.375216999999999</v>
      </c>
      <c r="I33" s="3">
        <f>MIN(M33:GI33)</f>
        <v>12.073449</v>
      </c>
      <c r="J33" s="3">
        <f>_xlfn.STDEV.P(M33:GI33)</f>
        <v>1.6648215052891828</v>
      </c>
      <c r="K33" s="3">
        <f>_xlfn.VAR.S(M33:GI33)</f>
        <v>2.7996269136094654</v>
      </c>
      <c r="M33" s="3">
        <v>14.431642999999999</v>
      </c>
      <c r="N33" s="3">
        <v>20.375216999999999</v>
      </c>
      <c r="O33" s="3">
        <v>19.576311</v>
      </c>
      <c r="P33" s="3">
        <v>17.902184999999999</v>
      </c>
      <c r="Q33" s="3">
        <v>17.88973</v>
      </c>
      <c r="R33" s="3">
        <v>17.418942999999999</v>
      </c>
      <c r="S33" s="3">
        <v>15.764131000000001</v>
      </c>
      <c r="T33" s="3">
        <v>14.655690999999999</v>
      </c>
      <c r="U33" s="3">
        <v>13.216390000000001</v>
      </c>
      <c r="V33" s="3">
        <v>19.406216000000001</v>
      </c>
      <c r="W33" s="3">
        <v>14.427267000000001</v>
      </c>
      <c r="X33" s="3">
        <v>15.874580999999999</v>
      </c>
      <c r="Y33" s="3">
        <v>15.264701000000001</v>
      </c>
      <c r="Z33" s="3">
        <v>14.425611999999999</v>
      </c>
      <c r="AA33" s="3">
        <v>15.828465</v>
      </c>
      <c r="AB33" s="3">
        <v>16.206223000000001</v>
      </c>
      <c r="AC33" s="3">
        <v>12.903851</v>
      </c>
      <c r="AD33" s="3">
        <v>14.950480000000001</v>
      </c>
      <c r="AE33" s="3">
        <v>14.851423</v>
      </c>
      <c r="AF33" s="3">
        <v>16.405145999999998</v>
      </c>
      <c r="AG33" s="3">
        <v>15.379804999999999</v>
      </c>
      <c r="AH33" s="3">
        <v>14.603261</v>
      </c>
      <c r="AI33" s="3">
        <v>12.592473</v>
      </c>
      <c r="AJ33" s="3">
        <v>15.107993</v>
      </c>
      <c r="AK33" s="3">
        <v>14.976432000000001</v>
      </c>
      <c r="AL33" s="3">
        <v>16.077338999999998</v>
      </c>
      <c r="AM33" s="3">
        <v>14.646463000000001</v>
      </c>
      <c r="AN33" s="3">
        <v>13.687179</v>
      </c>
      <c r="AO33" s="3">
        <v>17.886665000000001</v>
      </c>
      <c r="AP33" s="3">
        <v>19.482240999999998</v>
      </c>
      <c r="AQ33" s="3">
        <v>13.490049000000001</v>
      </c>
      <c r="AR33" s="3">
        <v>15.220382000000001</v>
      </c>
      <c r="AS33" s="3">
        <v>15.645613000000001</v>
      </c>
      <c r="AT33" s="3">
        <v>15.811745</v>
      </c>
      <c r="AU33" s="3">
        <v>16.100923999999999</v>
      </c>
      <c r="AV33" s="3">
        <v>14.145923</v>
      </c>
      <c r="AW33" s="3">
        <v>13.685202</v>
      </c>
      <c r="AX33" s="3">
        <v>13.802154</v>
      </c>
      <c r="AY33" s="3">
        <v>13.198505000000001</v>
      </c>
      <c r="AZ33" s="3">
        <v>18.37405</v>
      </c>
      <c r="BA33" s="3">
        <v>12.860046000000001</v>
      </c>
      <c r="BB33" s="3">
        <v>14.901425</v>
      </c>
      <c r="BC33" s="3">
        <v>13.706250000000001</v>
      </c>
      <c r="BD33" s="3">
        <v>14.433942</v>
      </c>
      <c r="BE33" s="3">
        <v>15.171797</v>
      </c>
      <c r="BF33" s="3">
        <v>16.604023000000002</v>
      </c>
      <c r="BG33" s="3">
        <v>14.042636</v>
      </c>
      <c r="BH33" s="3">
        <v>12.073449</v>
      </c>
      <c r="BI33" s="3">
        <v>15.01862</v>
      </c>
      <c r="BJ33" s="3">
        <v>16.762149999999998</v>
      </c>
      <c r="BK33" s="3">
        <v>15.953284999999999</v>
      </c>
      <c r="BL33" s="3">
        <v>15.553416</v>
      </c>
      <c r="BM33" s="3">
        <v>18.586590000000001</v>
      </c>
      <c r="BN33" s="3">
        <v>13.481767</v>
      </c>
      <c r="BO33" s="3">
        <v>14.795785</v>
      </c>
      <c r="BP33" s="3">
        <v>16.834800999999999</v>
      </c>
      <c r="BQ33" s="3">
        <v>16.332380000000001</v>
      </c>
      <c r="BR33" s="3">
        <v>15.695413</v>
      </c>
      <c r="BS33" s="3">
        <v>15.923215000000001</v>
      </c>
      <c r="BT33" s="3">
        <v>18.160273</v>
      </c>
      <c r="BU33" s="3">
        <v>15.351338999999999</v>
      </c>
      <c r="BV33" s="3">
        <v>15.93411</v>
      </c>
      <c r="BW33" s="3">
        <v>15.852922</v>
      </c>
      <c r="BX33" s="3">
        <v>13.296681</v>
      </c>
      <c r="BY33" s="3">
        <v>14.449401</v>
      </c>
      <c r="BZ33" s="3">
        <v>15.683932</v>
      </c>
      <c r="CA33" s="3">
        <v>14.528696</v>
      </c>
      <c r="CB33" s="3">
        <v>14.320408</v>
      </c>
      <c r="CC33" s="3">
        <v>12.757455999999999</v>
      </c>
      <c r="CD33" s="3">
        <v>14.926608999999999</v>
      </c>
      <c r="CE33" s="3">
        <v>15.007934000000001</v>
      </c>
      <c r="CF33" s="3">
        <v>13.533484</v>
      </c>
      <c r="CG33" s="3">
        <v>15.205807999999999</v>
      </c>
      <c r="CH33" s="3">
        <v>15.303978000000001</v>
      </c>
      <c r="CI33" s="3">
        <v>15.228365</v>
      </c>
      <c r="CJ33" s="3">
        <v>15.036502</v>
      </c>
      <c r="CK33" s="3">
        <v>13.580026</v>
      </c>
      <c r="CL33" s="3">
        <v>14.170011000000001</v>
      </c>
      <c r="CM33" s="3">
        <v>13.392377</v>
      </c>
      <c r="CN33" s="3">
        <v>17.769736999999999</v>
      </c>
      <c r="CO33" s="3">
        <v>15.320667</v>
      </c>
      <c r="CP33" s="3">
        <v>15.16779</v>
      </c>
      <c r="CQ33" s="3">
        <v>14.388961</v>
      </c>
      <c r="CR33" s="3">
        <v>14.126287</v>
      </c>
      <c r="CS33" s="3">
        <v>13.153848</v>
      </c>
      <c r="CT33" s="3">
        <v>18.694009999999999</v>
      </c>
      <c r="CU33" s="3">
        <v>13.904642000000001</v>
      </c>
      <c r="CV33" s="3">
        <v>13.436011000000001</v>
      </c>
      <c r="CW33" s="3">
        <v>16.008488</v>
      </c>
      <c r="CX33" s="3">
        <v>17.635721</v>
      </c>
      <c r="CY33" s="3">
        <v>14.942448000000001</v>
      </c>
      <c r="CZ33" s="3">
        <v>13.822751999999999</v>
      </c>
      <c r="DA33" s="3">
        <v>14.705294</v>
      </c>
      <c r="DB33" s="3">
        <v>14.326309999999999</v>
      </c>
      <c r="DC33" s="3">
        <v>13.888066999999999</v>
      </c>
      <c r="DD33" s="3">
        <v>16.671875</v>
      </c>
      <c r="DE33" s="3">
        <v>14.892187</v>
      </c>
      <c r="DF33" s="3">
        <v>15.893656999999999</v>
      </c>
      <c r="DG33" s="3">
        <v>15.995312999999999</v>
      </c>
      <c r="DH33" s="3">
        <v>16.094978000000001</v>
      </c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  <c r="ER33" s="3"/>
      <c r="ES33" s="3"/>
      <c r="ET33" s="3"/>
      <c r="EU33" s="3"/>
      <c r="EV33" s="3"/>
      <c r="EW33" s="3"/>
      <c r="EX33" s="3"/>
      <c r="EY33" s="3"/>
      <c r="EZ33" s="3"/>
      <c r="FA33" s="3"/>
      <c r="FB33" s="3"/>
      <c r="FC33" s="3"/>
      <c r="FD33" s="3"/>
      <c r="FE33" s="3"/>
      <c r="FF33" s="3"/>
      <c r="FG33" s="3"/>
      <c r="FH33" s="3"/>
      <c r="FI33" s="3"/>
      <c r="FJ33" s="3"/>
      <c r="FK33" s="3"/>
      <c r="FL33" s="3"/>
      <c r="FM33" s="3"/>
      <c r="FN33" s="3"/>
      <c r="FO33" s="3"/>
      <c r="FP33" s="3"/>
      <c r="FQ33" s="3"/>
      <c r="FR33" s="3"/>
      <c r="FS33" s="3"/>
      <c r="FT33" s="3"/>
      <c r="FU33" s="3"/>
      <c r="FV33" s="3"/>
      <c r="FW33" s="3"/>
      <c r="FX33" s="3"/>
      <c r="FY33" s="3"/>
      <c r="FZ33" s="3"/>
      <c r="GA33" s="3"/>
      <c r="GB33" s="3"/>
      <c r="GC33" s="3"/>
      <c r="GD33" s="3"/>
      <c r="GE33" s="3"/>
      <c r="GF33" s="3"/>
      <c r="GG33" s="3"/>
      <c r="GH33" s="3"/>
      <c r="GI33" s="3"/>
      <c r="GJ33" s="3"/>
      <c r="GK33" s="3"/>
      <c r="GL33" s="3"/>
      <c r="GM33" s="3"/>
      <c r="GN33" s="3"/>
      <c r="GO33" s="3"/>
      <c r="GP33" s="3"/>
      <c r="GQ33" s="3"/>
      <c r="GR33" s="3"/>
      <c r="GS33" s="3"/>
      <c r="GT33" s="3"/>
      <c r="GU33" s="3"/>
      <c r="GV33" s="3"/>
      <c r="GW33" s="3"/>
      <c r="GX33" s="3"/>
    </row>
    <row r="34" spans="2:206" x14ac:dyDescent="0.2">
      <c r="G34" s="3"/>
      <c r="H34" s="3"/>
      <c r="I34" s="3"/>
      <c r="J34" s="3"/>
      <c r="K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  <c r="EN34" s="3"/>
      <c r="EO34" s="3"/>
      <c r="EP34" s="3"/>
      <c r="EQ34" s="3"/>
      <c r="ER34" s="3"/>
      <c r="ES34" s="3"/>
      <c r="ET34" s="3"/>
      <c r="EU34" s="3"/>
      <c r="EV34" s="3"/>
      <c r="EW34" s="3"/>
      <c r="EX34" s="3"/>
      <c r="EY34" s="3"/>
      <c r="EZ34" s="3"/>
      <c r="FA34" s="3"/>
      <c r="FB34" s="3"/>
      <c r="FC34" s="3"/>
      <c r="FD34" s="3"/>
      <c r="FE34" s="3"/>
      <c r="FF34" s="3"/>
      <c r="FG34" s="3"/>
      <c r="FH34" s="3"/>
      <c r="FI34" s="3"/>
      <c r="FJ34" s="3"/>
      <c r="FK34" s="3"/>
      <c r="FL34" s="3"/>
      <c r="FM34" s="3"/>
      <c r="FN34" s="3"/>
      <c r="FO34" s="3"/>
      <c r="FP34" s="3"/>
      <c r="FQ34" s="3"/>
      <c r="FR34" s="3"/>
      <c r="FS34" s="3"/>
      <c r="FT34" s="3"/>
      <c r="FU34" s="3"/>
      <c r="FV34" s="3"/>
      <c r="FW34" s="3"/>
      <c r="FX34" s="3"/>
      <c r="FY34" s="3"/>
      <c r="FZ34" s="3"/>
      <c r="GA34" s="3"/>
      <c r="GB34" s="3"/>
      <c r="GC34" s="3"/>
      <c r="GD34" s="3"/>
      <c r="GE34" s="3"/>
      <c r="GF34" s="3"/>
      <c r="GG34" s="3"/>
      <c r="GH34" s="3"/>
      <c r="GI34" s="3"/>
      <c r="GJ34" s="3"/>
      <c r="GK34" s="3"/>
      <c r="GL34" s="3"/>
      <c r="GM34" s="3"/>
      <c r="GN34" s="3"/>
      <c r="GO34" s="3"/>
      <c r="GP34" s="3"/>
      <c r="GQ34" s="3"/>
      <c r="GR34" s="3"/>
      <c r="GS34" s="3"/>
      <c r="GT34" s="3"/>
      <c r="GU34" s="3"/>
      <c r="GV34" s="3"/>
      <c r="GW34" s="3"/>
      <c r="GX34" s="3"/>
    </row>
    <row r="35" spans="2:206" x14ac:dyDescent="0.2">
      <c r="D35" t="s">
        <v>6</v>
      </c>
      <c r="E35" t="s">
        <v>1</v>
      </c>
      <c r="F35">
        <f>COUNT(M35:GI35)</f>
        <v>100</v>
      </c>
      <c r="G35" s="3">
        <f>AVERAGE(M35:GI35)</f>
        <v>15.833510080000011</v>
      </c>
      <c r="H35" s="3">
        <f>MAX(M35:GI35)</f>
        <v>22.514648000000001</v>
      </c>
      <c r="I35" s="3">
        <f>MIN(M35:GI35)</f>
        <v>11.082744999999999</v>
      </c>
      <c r="J35" s="3">
        <f>_xlfn.STDEV.P(M35:GI35)</f>
        <v>1.9255399097423713</v>
      </c>
      <c r="K35" s="3">
        <f>_xlfn.VAR.S(M35:GI35)</f>
        <v>3.7451554990006888</v>
      </c>
      <c r="M35" s="3">
        <v>18.284925000000001</v>
      </c>
      <c r="N35" s="3">
        <v>17.638344</v>
      </c>
      <c r="O35" s="3">
        <v>18.079599000000002</v>
      </c>
      <c r="P35" s="3">
        <v>15.466784000000001</v>
      </c>
      <c r="Q35" s="3">
        <v>17.197019999999998</v>
      </c>
      <c r="R35" s="3">
        <v>16.138479</v>
      </c>
      <c r="S35" s="3">
        <v>16.359888000000002</v>
      </c>
      <c r="T35" s="3">
        <v>17.318693</v>
      </c>
      <c r="U35" s="3">
        <v>17.036304000000001</v>
      </c>
      <c r="V35" s="3">
        <v>15.253640000000001</v>
      </c>
      <c r="W35" s="3">
        <v>14.512668</v>
      </c>
      <c r="X35" s="3">
        <v>15.265464</v>
      </c>
      <c r="Y35" s="3">
        <v>12.482214000000001</v>
      </c>
      <c r="Z35" s="3">
        <v>12.759876</v>
      </c>
      <c r="AA35" s="3">
        <v>18.869668999999998</v>
      </c>
      <c r="AB35" s="3">
        <v>15.54049</v>
      </c>
      <c r="AC35" s="3">
        <v>15.855603</v>
      </c>
      <c r="AD35" s="3">
        <v>15.744769</v>
      </c>
      <c r="AE35" s="3">
        <v>15.011187</v>
      </c>
      <c r="AF35" s="3">
        <v>17.815847000000002</v>
      </c>
      <c r="AG35" s="3">
        <v>17.856822999999999</v>
      </c>
      <c r="AH35" s="3">
        <v>14.618917</v>
      </c>
      <c r="AI35" s="3">
        <v>22.514648000000001</v>
      </c>
      <c r="AJ35" s="3">
        <v>15.461845</v>
      </c>
      <c r="AK35" s="3">
        <v>15.737759</v>
      </c>
      <c r="AL35" s="3">
        <v>16.344346999999999</v>
      </c>
      <c r="AM35" s="3">
        <v>14.326117999999999</v>
      </c>
      <c r="AN35" s="3">
        <v>16.751390000000001</v>
      </c>
      <c r="AO35" s="3">
        <v>14.279956</v>
      </c>
      <c r="AP35" s="3">
        <v>19.278690000000001</v>
      </c>
      <c r="AQ35" s="3">
        <v>15.580848</v>
      </c>
      <c r="AR35" s="3">
        <v>13.189556</v>
      </c>
      <c r="AS35" s="3">
        <v>17.212600999999999</v>
      </c>
      <c r="AT35" s="3">
        <v>16.065449000000001</v>
      </c>
      <c r="AU35" s="3">
        <v>19.004840999999999</v>
      </c>
      <c r="AV35" s="3">
        <v>16.746300000000002</v>
      </c>
      <c r="AW35" s="3">
        <v>13.231505</v>
      </c>
      <c r="AX35" s="3">
        <v>14.470564</v>
      </c>
      <c r="AY35" s="3">
        <v>15.74586</v>
      </c>
      <c r="AZ35" s="3">
        <v>15.196714999999999</v>
      </c>
      <c r="BA35" s="3">
        <v>16.626987</v>
      </c>
      <c r="BB35" s="3">
        <v>11.082744999999999</v>
      </c>
      <c r="BC35" s="3">
        <v>15.076777</v>
      </c>
      <c r="BD35" s="3">
        <v>14.710819000000001</v>
      </c>
      <c r="BE35" s="3">
        <v>16.833576000000001</v>
      </c>
      <c r="BF35" s="3">
        <v>16.619329</v>
      </c>
      <c r="BG35" s="3">
        <v>13.903219999999999</v>
      </c>
      <c r="BH35" s="3">
        <v>16.033169000000001</v>
      </c>
      <c r="BI35" s="3">
        <v>13.035557000000001</v>
      </c>
      <c r="BJ35" s="3">
        <v>13.872595</v>
      </c>
      <c r="BK35" s="3">
        <v>16.144117000000001</v>
      </c>
      <c r="BL35" s="3">
        <v>16.487919000000002</v>
      </c>
      <c r="BM35" s="3">
        <v>14.748333000000001</v>
      </c>
      <c r="BN35" s="3">
        <v>15.155004999999999</v>
      </c>
      <c r="BO35" s="3">
        <v>19.215676999999999</v>
      </c>
      <c r="BP35" s="3">
        <v>14.522243</v>
      </c>
      <c r="BQ35" s="3">
        <v>13.449291000000001</v>
      </c>
      <c r="BR35" s="3">
        <v>13.403741999999999</v>
      </c>
      <c r="BS35" s="3">
        <v>14.407774</v>
      </c>
      <c r="BT35" s="3">
        <v>15.692698</v>
      </c>
      <c r="BU35" s="3">
        <v>13.834177</v>
      </c>
      <c r="BV35" s="3">
        <v>15.544207</v>
      </c>
      <c r="BW35" s="3">
        <v>14.814197999999999</v>
      </c>
      <c r="BX35" s="3">
        <v>18.057907</v>
      </c>
      <c r="BY35" s="3">
        <v>17.505776999999998</v>
      </c>
      <c r="BZ35" s="3">
        <v>13.535602000000001</v>
      </c>
      <c r="CA35" s="3">
        <v>15.924111</v>
      </c>
      <c r="CB35" s="3">
        <v>13.898758000000001</v>
      </c>
      <c r="CC35" s="3">
        <v>15.674398</v>
      </c>
      <c r="CD35" s="3">
        <v>16.125124</v>
      </c>
      <c r="CE35" s="3">
        <v>15.91957</v>
      </c>
      <c r="CF35" s="3">
        <v>14.080541</v>
      </c>
      <c r="CG35" s="3">
        <v>16.044861000000001</v>
      </c>
      <c r="CH35" s="3">
        <v>15.21325</v>
      </c>
      <c r="CI35" s="3">
        <v>15.39</v>
      </c>
      <c r="CJ35" s="3">
        <v>17.365832999999999</v>
      </c>
      <c r="CK35" s="3">
        <v>11.985962000000001</v>
      </c>
      <c r="CL35" s="3">
        <v>16.375233000000001</v>
      </c>
      <c r="CM35" s="3">
        <v>13.758533999999999</v>
      </c>
      <c r="CN35" s="3">
        <v>15.368207999999999</v>
      </c>
      <c r="CO35" s="3">
        <v>16.232821000000001</v>
      </c>
      <c r="CP35" s="3">
        <v>14.357587000000001</v>
      </c>
      <c r="CQ35" s="3">
        <v>13.719818</v>
      </c>
      <c r="CR35" s="3">
        <v>20.284645000000001</v>
      </c>
      <c r="CS35" s="3">
        <v>16.486713000000002</v>
      </c>
      <c r="CT35" s="3">
        <v>15.197143000000001</v>
      </c>
      <c r="CU35" s="3">
        <v>15.811226</v>
      </c>
      <c r="CV35" s="3">
        <v>17.133306999999999</v>
      </c>
      <c r="CW35" s="3">
        <v>15.890717</v>
      </c>
      <c r="CX35" s="3">
        <v>20.351154000000001</v>
      </c>
      <c r="CY35" s="3">
        <v>16.348354</v>
      </c>
      <c r="CZ35" s="3">
        <v>12.457832</v>
      </c>
      <c r="DA35" s="3">
        <v>17.091742</v>
      </c>
      <c r="DB35" s="3">
        <v>19.92351</v>
      </c>
      <c r="DC35" s="3">
        <v>16.647635999999999</v>
      </c>
      <c r="DD35" s="3">
        <v>18.372059</v>
      </c>
      <c r="DE35" s="3">
        <v>16.246131999999999</v>
      </c>
      <c r="DF35" s="3">
        <v>17.911501000000001</v>
      </c>
      <c r="DG35" s="3">
        <v>13.259612000000001</v>
      </c>
      <c r="DH35" s="3">
        <v>15.943479999999999</v>
      </c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/>
      <c r="ES35" s="3"/>
      <c r="ET35" s="3"/>
      <c r="EU35" s="3"/>
      <c r="EV35" s="3"/>
      <c r="EW35" s="3"/>
      <c r="EX35" s="3"/>
      <c r="EY35" s="3"/>
      <c r="EZ35" s="3"/>
      <c r="FA35" s="3"/>
      <c r="FB35" s="3"/>
      <c r="FC35" s="3"/>
      <c r="FD35" s="3"/>
      <c r="FE35" s="3"/>
      <c r="FF35" s="3"/>
      <c r="FG35" s="3"/>
      <c r="FH35" s="3"/>
      <c r="FI35" s="3"/>
      <c r="FJ35" s="3"/>
      <c r="FK35" s="3"/>
      <c r="FL35" s="3"/>
      <c r="FM35" s="3"/>
      <c r="FN35" s="3"/>
      <c r="FO35" s="3"/>
      <c r="FP35" s="3"/>
      <c r="FQ35" s="3"/>
      <c r="FR35" s="3"/>
      <c r="FS35" s="3"/>
      <c r="FT35" s="3"/>
      <c r="FU35" s="3"/>
      <c r="FV35" s="3"/>
      <c r="FW35" s="3"/>
      <c r="FX35" s="3"/>
      <c r="FY35" s="3"/>
      <c r="FZ35" s="3"/>
      <c r="GA35" s="3"/>
      <c r="GB35" s="3"/>
      <c r="GC35" s="3"/>
      <c r="GD35" s="3"/>
      <c r="GE35" s="3"/>
      <c r="GF35" s="3"/>
      <c r="GG35" s="3"/>
      <c r="GH35" s="3"/>
      <c r="GI35" s="3"/>
      <c r="GJ35" s="3"/>
      <c r="GK35" s="3"/>
      <c r="GL35" s="3"/>
      <c r="GM35" s="3"/>
      <c r="GN35" s="3"/>
      <c r="GO35" s="3"/>
      <c r="GP35" s="3"/>
      <c r="GQ35" s="3"/>
      <c r="GR35" s="3"/>
      <c r="GS35" s="3"/>
      <c r="GT35" s="3"/>
      <c r="GU35" s="3"/>
      <c r="GV35" s="3"/>
      <c r="GW35" s="3"/>
      <c r="GX35" s="3"/>
    </row>
    <row r="36" spans="2:206" x14ac:dyDescent="0.2">
      <c r="G36" s="3"/>
      <c r="H36" s="3"/>
      <c r="I36" s="3"/>
      <c r="J36" s="3"/>
      <c r="K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3"/>
      <c r="EQ36" s="3"/>
      <c r="ER36" s="3"/>
      <c r="ES36" s="3"/>
      <c r="ET36" s="3"/>
      <c r="EU36" s="3"/>
      <c r="EV36" s="3"/>
      <c r="EW36" s="3"/>
      <c r="EX36" s="3"/>
      <c r="EY36" s="3"/>
      <c r="EZ36" s="3"/>
      <c r="FA36" s="3"/>
      <c r="FB36" s="3"/>
      <c r="FC36" s="3"/>
      <c r="FD36" s="3"/>
      <c r="FE36" s="3"/>
      <c r="FF36" s="3"/>
      <c r="FG36" s="3"/>
      <c r="FH36" s="3"/>
      <c r="FI36" s="3"/>
      <c r="FJ36" s="3"/>
      <c r="FK36" s="3"/>
      <c r="FL36" s="3"/>
      <c r="FM36" s="3"/>
      <c r="FN36" s="3"/>
      <c r="FO36" s="3"/>
      <c r="FP36" s="3"/>
      <c r="FQ36" s="3"/>
      <c r="FR36" s="3"/>
      <c r="FS36" s="3"/>
      <c r="FT36" s="3"/>
      <c r="FU36" s="3"/>
      <c r="FV36" s="3"/>
      <c r="FW36" s="3"/>
      <c r="FX36" s="3"/>
      <c r="FY36" s="3"/>
      <c r="FZ36" s="3"/>
      <c r="GA36" s="3"/>
      <c r="GB36" s="3"/>
      <c r="GC36" s="3"/>
      <c r="GD36" s="3"/>
      <c r="GE36" s="3"/>
      <c r="GF36" s="3"/>
      <c r="GG36" s="3"/>
      <c r="GH36" s="3"/>
      <c r="GI36" s="3"/>
      <c r="GJ36" s="3"/>
      <c r="GK36" s="3"/>
      <c r="GL36" s="3"/>
      <c r="GM36" s="3"/>
      <c r="GN36" s="3"/>
      <c r="GO36" s="3"/>
      <c r="GP36" s="3"/>
      <c r="GQ36" s="3"/>
      <c r="GR36" s="3"/>
      <c r="GS36" s="3"/>
      <c r="GT36" s="3"/>
      <c r="GU36" s="3"/>
      <c r="GV36" s="3"/>
      <c r="GW36" s="3"/>
      <c r="GX36" s="3"/>
    </row>
    <row r="37" spans="2:206" x14ac:dyDescent="0.2"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  <c r="EN37" s="3"/>
      <c r="EO37" s="3"/>
      <c r="EP37" s="3"/>
      <c r="EQ37" s="3"/>
      <c r="ER37" s="3"/>
      <c r="ES37" s="3"/>
      <c r="ET37" s="3"/>
      <c r="EU37" s="3"/>
      <c r="EV37" s="3"/>
      <c r="EW37" s="3"/>
      <c r="EX37" s="3"/>
      <c r="EY37" s="3"/>
      <c r="EZ37" s="3"/>
      <c r="FA37" s="3"/>
      <c r="FB37" s="3"/>
      <c r="FC37" s="3"/>
      <c r="FD37" s="3"/>
      <c r="FE37" s="3"/>
      <c r="FF37" s="3"/>
      <c r="FG37" s="3"/>
      <c r="FH37" s="3"/>
      <c r="FI37" s="3"/>
      <c r="FJ37" s="3"/>
      <c r="FK37" s="3"/>
      <c r="FL37" s="3"/>
      <c r="FM37" s="3"/>
      <c r="FN37" s="3"/>
      <c r="FO37" s="3"/>
      <c r="FP37" s="3"/>
      <c r="FQ37" s="3"/>
      <c r="FR37" s="3"/>
      <c r="FS37" s="3"/>
      <c r="FT37" s="3"/>
      <c r="FU37" s="3"/>
      <c r="FV37" s="3"/>
      <c r="FW37" s="3"/>
      <c r="FX37" s="3"/>
      <c r="FY37" s="3"/>
      <c r="FZ37" s="3"/>
      <c r="GA37" s="3"/>
      <c r="GB37" s="3"/>
      <c r="GC37" s="3"/>
      <c r="GD37" s="3"/>
      <c r="GE37" s="3"/>
      <c r="GF37" s="3"/>
      <c r="GG37" s="3"/>
      <c r="GH37" s="3"/>
      <c r="GI37" s="3"/>
      <c r="GJ37" s="3"/>
      <c r="GK37" s="3"/>
      <c r="GL37" s="3"/>
      <c r="GM37" s="3"/>
      <c r="GN37" s="3"/>
      <c r="GO37" s="3"/>
      <c r="GP37" s="3"/>
      <c r="GQ37" s="3"/>
      <c r="GR37" s="3"/>
      <c r="GS37" s="3"/>
      <c r="GT37" s="3"/>
      <c r="GU37" s="3"/>
      <c r="GV37" s="3"/>
      <c r="GW37" s="3"/>
      <c r="GX37" s="3"/>
    </row>
    <row r="39" spans="2:206" x14ac:dyDescent="0.2">
      <c r="B39" t="s">
        <v>47</v>
      </c>
      <c r="D39" s="1" t="s">
        <v>29</v>
      </c>
    </row>
    <row r="40" spans="2:206" x14ac:dyDescent="0.2">
      <c r="B40" s="2" t="s">
        <v>26</v>
      </c>
      <c r="D40" t="s">
        <v>3</v>
      </c>
      <c r="E40" t="s">
        <v>1</v>
      </c>
      <c r="F40">
        <f>COUNT(M40:GI40)</f>
        <v>100</v>
      </c>
      <c r="G40" s="3">
        <f>AVERAGE(M40:GI40)</f>
        <v>17.264132719999996</v>
      </c>
      <c r="H40" s="3">
        <f>MAX(M40:GI40)</f>
        <v>22.713259000000001</v>
      </c>
      <c r="I40" s="3">
        <f>MIN(M40:GI40)</f>
        <v>13.913401</v>
      </c>
      <c r="J40" s="3">
        <f>_xlfn.STDEV.P(M40:GI40)</f>
        <v>1.6298410523946254</v>
      </c>
      <c r="K40" s="3">
        <f>_xlfn.VAR.S(M40:GI40)</f>
        <v>2.6832139960311312</v>
      </c>
      <c r="M40" s="3">
        <v>16.085051</v>
      </c>
      <c r="N40" s="3">
        <v>17.312142999999999</v>
      </c>
      <c r="O40" s="3">
        <v>17.66534</v>
      </c>
      <c r="P40" s="3">
        <v>22.055085999999999</v>
      </c>
      <c r="Q40" s="3">
        <v>16.268103</v>
      </c>
      <c r="R40" s="3">
        <v>22.713259000000001</v>
      </c>
      <c r="S40" s="3">
        <v>18.356000999999999</v>
      </c>
      <c r="T40" s="3">
        <v>16.915371</v>
      </c>
      <c r="U40" s="3">
        <v>17.377783000000001</v>
      </c>
      <c r="V40" s="3">
        <v>18.172160999999999</v>
      </c>
      <c r="W40" s="3">
        <v>17.271093</v>
      </c>
      <c r="X40" s="3">
        <v>16.200030999999999</v>
      </c>
      <c r="Y40" s="3">
        <v>17.496462000000001</v>
      </c>
      <c r="Z40" s="3">
        <v>17.796530000000001</v>
      </c>
      <c r="AA40" s="3">
        <v>17.150418999999999</v>
      </c>
      <c r="AB40" s="3">
        <v>17.661631</v>
      </c>
      <c r="AC40" s="3">
        <v>18.706817999999998</v>
      </c>
      <c r="AD40" s="3">
        <v>18.738914000000001</v>
      </c>
      <c r="AE40" s="3">
        <v>19.964127000000001</v>
      </c>
      <c r="AF40" s="3">
        <v>16.600549999999998</v>
      </c>
      <c r="AG40" s="3">
        <v>17.43581</v>
      </c>
      <c r="AH40" s="3">
        <v>16.859200000000001</v>
      </c>
      <c r="AI40" s="3">
        <v>17.515308000000001</v>
      </c>
      <c r="AJ40" s="3">
        <v>16.351130999999999</v>
      </c>
      <c r="AK40" s="3">
        <v>15.822442000000001</v>
      </c>
      <c r="AL40" s="3">
        <v>17.994133000000001</v>
      </c>
      <c r="AM40" s="3">
        <v>18.674005999999999</v>
      </c>
      <c r="AN40" s="3">
        <v>17.732191</v>
      </c>
      <c r="AO40" s="3">
        <v>19.865355000000001</v>
      </c>
      <c r="AP40" s="3">
        <v>16.570157999999999</v>
      </c>
      <c r="AQ40" s="3">
        <v>16.705759</v>
      </c>
      <c r="AR40" s="3">
        <v>16.905639999999998</v>
      </c>
      <c r="AS40" s="3">
        <v>18.990407999999999</v>
      </c>
      <c r="AT40" s="3">
        <v>18.825430000000001</v>
      </c>
      <c r="AU40" s="3">
        <v>19.391273000000002</v>
      </c>
      <c r="AV40" s="3">
        <v>20.839193000000002</v>
      </c>
      <c r="AW40" s="3">
        <v>18.80904</v>
      </c>
      <c r="AX40" s="3">
        <v>20.438334999999999</v>
      </c>
      <c r="AY40" s="3">
        <v>17.007180999999999</v>
      </c>
      <c r="AZ40" s="3">
        <v>16.944056</v>
      </c>
      <c r="BA40" s="3">
        <v>17.606770000000001</v>
      </c>
      <c r="BB40" s="3">
        <v>15.853999999999999</v>
      </c>
      <c r="BC40" s="3">
        <v>18.603876</v>
      </c>
      <c r="BD40" s="3">
        <v>20.152218000000001</v>
      </c>
      <c r="BE40" s="3">
        <v>16.883364</v>
      </c>
      <c r="BF40" s="3">
        <v>17.009024</v>
      </c>
      <c r="BG40" s="3">
        <v>17.568145999999999</v>
      </c>
      <c r="BH40" s="3">
        <v>18.185036</v>
      </c>
      <c r="BI40" s="3">
        <v>16.343810999999999</v>
      </c>
      <c r="BJ40" s="3">
        <v>16.552277</v>
      </c>
      <c r="BK40" s="3">
        <v>15.191274999999999</v>
      </c>
      <c r="BL40" s="3">
        <v>15.186068000000001</v>
      </c>
      <c r="BM40" s="3">
        <v>18.648907000000001</v>
      </c>
      <c r="BN40" s="3">
        <v>17.629950999999998</v>
      </c>
      <c r="BO40" s="3">
        <v>18.398909</v>
      </c>
      <c r="BP40" s="3">
        <v>18.427430999999999</v>
      </c>
      <c r="BQ40" s="3">
        <v>19.851012999999998</v>
      </c>
      <c r="BR40" s="3">
        <v>18.602177000000001</v>
      </c>
      <c r="BS40" s="3">
        <v>15.523524</v>
      </c>
      <c r="BT40" s="3">
        <v>16.046078000000001</v>
      </c>
      <c r="BU40" s="3">
        <v>21.266135999999999</v>
      </c>
      <c r="BV40" s="3">
        <v>19.043700999999999</v>
      </c>
      <c r="BW40" s="3">
        <v>18.533014000000001</v>
      </c>
      <c r="BX40" s="3">
        <v>15.292579</v>
      </c>
      <c r="BY40" s="3">
        <v>15.775191</v>
      </c>
      <c r="BZ40" s="3">
        <v>16.651955000000001</v>
      </c>
      <c r="CA40" s="3">
        <v>15.452245</v>
      </c>
      <c r="CB40" s="3">
        <v>17.573891</v>
      </c>
      <c r="CC40" s="3">
        <v>16.080891000000001</v>
      </c>
      <c r="CD40" s="3">
        <v>17.169550000000001</v>
      </c>
      <c r="CE40" s="3">
        <v>16.141708000000001</v>
      </c>
      <c r="CF40" s="3">
        <v>17.242450999999999</v>
      </c>
      <c r="CG40" s="3">
        <v>15.089207</v>
      </c>
      <c r="CH40" s="3">
        <v>17.190045999999999</v>
      </c>
      <c r="CI40" s="3">
        <v>17.911743000000001</v>
      </c>
      <c r="CJ40" s="3">
        <v>15.729965999999999</v>
      </c>
      <c r="CK40" s="3">
        <v>16.907229999999998</v>
      </c>
      <c r="CL40" s="3">
        <v>16.994416999999999</v>
      </c>
      <c r="CM40" s="3">
        <v>15.198383</v>
      </c>
      <c r="CN40" s="3">
        <v>14.517973</v>
      </c>
      <c r="CO40" s="3">
        <v>15.031199000000001</v>
      </c>
      <c r="CP40" s="3">
        <v>16.298566999999998</v>
      </c>
      <c r="CQ40" s="3">
        <v>16.555418</v>
      </c>
      <c r="CR40" s="3">
        <v>16.876072000000001</v>
      </c>
      <c r="CS40" s="3">
        <v>17.761703000000001</v>
      </c>
      <c r="CT40" s="3">
        <v>15.638309</v>
      </c>
      <c r="CU40" s="3">
        <v>14.709443</v>
      </c>
      <c r="CV40" s="3">
        <v>16.450703000000001</v>
      </c>
      <c r="CW40" s="3">
        <v>16.310503000000001</v>
      </c>
      <c r="CX40" s="3">
        <v>17.297066000000001</v>
      </c>
      <c r="CY40" s="3">
        <v>16.597624</v>
      </c>
      <c r="CZ40" s="3">
        <v>14.965806000000001</v>
      </c>
      <c r="DA40" s="3">
        <v>17.031790000000001</v>
      </c>
      <c r="DB40" s="3">
        <v>13.913401</v>
      </c>
      <c r="DC40" s="3">
        <v>14.80606</v>
      </c>
      <c r="DD40" s="3">
        <v>18.466684000000001</v>
      </c>
      <c r="DE40" s="3">
        <v>16.273508</v>
      </c>
      <c r="DF40" s="3">
        <v>16.414452000000001</v>
      </c>
      <c r="DG40" s="3">
        <v>16.158615000000001</v>
      </c>
      <c r="DH40" s="3">
        <v>14.647295</v>
      </c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3"/>
      <c r="DZ40" s="3"/>
      <c r="EA40" s="3"/>
      <c r="EB40" s="3"/>
      <c r="EC40" s="3"/>
      <c r="ED40" s="3"/>
      <c r="EE40" s="3"/>
      <c r="EF40" s="3"/>
      <c r="EG40" s="3"/>
      <c r="EH40" s="3"/>
      <c r="EI40" s="3"/>
      <c r="EJ40" s="3"/>
      <c r="EK40" s="3"/>
      <c r="EL40" s="3"/>
      <c r="EM40" s="3"/>
      <c r="EN40" s="3"/>
      <c r="EO40" s="3"/>
      <c r="EP40" s="3"/>
      <c r="EQ40" s="3"/>
      <c r="ER40" s="3"/>
      <c r="ES40" s="3"/>
      <c r="ET40" s="3"/>
      <c r="EU40" s="3"/>
      <c r="EV40" s="3"/>
      <c r="EW40" s="3"/>
      <c r="EX40" s="3"/>
      <c r="EY40" s="3"/>
      <c r="EZ40" s="3"/>
      <c r="FA40" s="3"/>
      <c r="FB40" s="3"/>
      <c r="FC40" s="3"/>
      <c r="FD40" s="3"/>
      <c r="FE40" s="3"/>
      <c r="FF40" s="3"/>
      <c r="FG40" s="3"/>
      <c r="FH40" s="3"/>
      <c r="FI40" s="3"/>
      <c r="FJ40" s="3"/>
      <c r="FK40" s="3"/>
      <c r="FL40" s="3"/>
      <c r="FM40" s="3"/>
      <c r="FN40" s="3"/>
      <c r="FO40" s="3"/>
      <c r="FP40" s="3"/>
      <c r="FQ40" s="3"/>
      <c r="FR40" s="3"/>
      <c r="FS40" s="3"/>
      <c r="FT40" s="3"/>
      <c r="FU40" s="3"/>
      <c r="FV40" s="3"/>
      <c r="FW40" s="3"/>
      <c r="FX40" s="3"/>
      <c r="FY40" s="3"/>
      <c r="FZ40" s="3"/>
      <c r="GA40" s="3"/>
      <c r="GB40" s="3"/>
      <c r="GC40" s="3"/>
      <c r="GD40" s="3"/>
      <c r="GE40" s="3"/>
      <c r="GF40" s="3"/>
      <c r="GG40" s="3"/>
      <c r="GH40" s="3"/>
      <c r="GI40" s="3"/>
      <c r="GJ40" s="3"/>
      <c r="GK40" s="3"/>
      <c r="GL40" s="3"/>
      <c r="GM40" s="3"/>
      <c r="GN40" s="3"/>
      <c r="GO40" s="3"/>
      <c r="GP40" s="3"/>
      <c r="GQ40" s="3"/>
      <c r="GR40" s="3"/>
      <c r="GS40" s="3"/>
      <c r="GT40" s="3"/>
      <c r="GU40" s="3"/>
      <c r="GV40" s="3"/>
      <c r="GW40" s="3"/>
      <c r="GX40" s="3"/>
    </row>
    <row r="41" spans="2:206" x14ac:dyDescent="0.2">
      <c r="B41" s="2" t="s">
        <v>27</v>
      </c>
      <c r="G41" s="3"/>
      <c r="H41" s="3"/>
      <c r="I41" s="3"/>
      <c r="J41" s="3"/>
      <c r="K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3"/>
      <c r="EA41" s="3"/>
      <c r="EB41" s="3"/>
      <c r="EC41" s="3"/>
      <c r="ED41" s="3"/>
      <c r="EE41" s="3"/>
      <c r="EF41" s="3"/>
      <c r="EG41" s="3"/>
      <c r="EH41" s="3"/>
      <c r="EI41" s="3"/>
      <c r="EJ41" s="3"/>
      <c r="EK41" s="3"/>
      <c r="EL41" s="3"/>
      <c r="EM41" s="3"/>
      <c r="EN41" s="3"/>
      <c r="EO41" s="3"/>
      <c r="EP41" s="3"/>
      <c r="EQ41" s="3"/>
      <c r="ER41" s="3"/>
      <c r="ES41" s="3"/>
      <c r="ET41" s="3"/>
      <c r="EU41" s="3"/>
      <c r="EV41" s="3"/>
      <c r="EW41" s="3"/>
      <c r="EX41" s="3"/>
      <c r="EY41" s="3"/>
      <c r="EZ41" s="3"/>
      <c r="FA41" s="3"/>
      <c r="FB41" s="3"/>
      <c r="FC41" s="3"/>
      <c r="FD41" s="3"/>
      <c r="FE41" s="3"/>
      <c r="FF41" s="3"/>
      <c r="FG41" s="3"/>
      <c r="FH41" s="3"/>
      <c r="FI41" s="3"/>
      <c r="FJ41" s="3"/>
      <c r="FK41" s="3"/>
      <c r="FL41" s="3"/>
      <c r="FM41" s="3"/>
      <c r="FN41" s="3"/>
      <c r="FO41" s="3"/>
      <c r="FP41" s="3"/>
      <c r="FQ41" s="3"/>
      <c r="FR41" s="3"/>
      <c r="FS41" s="3"/>
      <c r="FT41" s="3"/>
      <c r="FU41" s="3"/>
      <c r="FV41" s="3"/>
      <c r="FW41" s="3"/>
      <c r="FX41" s="3"/>
      <c r="FY41" s="3"/>
      <c r="FZ41" s="3"/>
      <c r="GA41" s="3"/>
      <c r="GB41" s="3"/>
      <c r="GC41" s="3"/>
      <c r="GD41" s="3"/>
      <c r="GE41" s="3"/>
      <c r="GF41" s="3"/>
      <c r="GG41" s="3"/>
      <c r="GH41" s="3"/>
      <c r="GI41" s="3"/>
      <c r="GJ41" s="3"/>
      <c r="GK41" s="3"/>
      <c r="GL41" s="3"/>
      <c r="GM41" s="3"/>
      <c r="GN41" s="3"/>
      <c r="GO41" s="3"/>
      <c r="GP41" s="3"/>
      <c r="GQ41" s="3"/>
      <c r="GR41" s="3"/>
      <c r="GS41" s="3"/>
      <c r="GT41" s="3"/>
      <c r="GU41" s="3"/>
      <c r="GV41" s="3"/>
      <c r="GW41" s="3"/>
      <c r="GX41" s="3"/>
    </row>
    <row r="42" spans="2:206" x14ac:dyDescent="0.2">
      <c r="B42" s="2" t="s">
        <v>28</v>
      </c>
      <c r="D42" t="s">
        <v>4</v>
      </c>
      <c r="E42" t="s">
        <v>1</v>
      </c>
      <c r="F42">
        <f>COUNT(M42:GI42)</f>
        <v>100</v>
      </c>
      <c r="G42" s="3">
        <f>AVERAGE(M42:GI42)</f>
        <v>10.677236629999999</v>
      </c>
      <c r="H42" s="3">
        <f>MAX(M42:GI42)</f>
        <v>18.294457999999999</v>
      </c>
      <c r="I42" s="3">
        <f>MIN(M42:GI42)</f>
        <v>7.394533</v>
      </c>
      <c r="J42" s="3">
        <f>_xlfn.STDEV.P(M42:GI42)</f>
        <v>1.7961198973866477</v>
      </c>
      <c r="K42" s="3">
        <f>_xlfn.VAR.S(M42:GI42)</f>
        <v>3.2586330159477011</v>
      </c>
      <c r="M42" s="3">
        <v>12.289996</v>
      </c>
      <c r="N42" s="3">
        <v>8.7730820000000005</v>
      </c>
      <c r="O42" s="3">
        <v>9.7709309999999991</v>
      </c>
      <c r="P42" s="3">
        <v>9.6330279999999995</v>
      </c>
      <c r="Q42" s="3">
        <v>10.401123</v>
      </c>
      <c r="R42" s="3">
        <v>8.6536030000000004</v>
      </c>
      <c r="S42" s="3">
        <v>10.851661</v>
      </c>
      <c r="T42" s="3">
        <v>10.354545</v>
      </c>
      <c r="U42" s="3">
        <v>8.4763929999999998</v>
      </c>
      <c r="V42" s="3">
        <v>9.9022590000000008</v>
      </c>
      <c r="W42" s="3">
        <v>10.778596</v>
      </c>
      <c r="X42" s="3">
        <v>9.3639759999999992</v>
      </c>
      <c r="Y42" s="3">
        <v>11.726350999999999</v>
      </c>
      <c r="Z42" s="3">
        <v>10.412352</v>
      </c>
      <c r="AA42" s="3">
        <v>12.069701</v>
      </c>
      <c r="AB42" s="3">
        <v>10.718508</v>
      </c>
      <c r="AC42" s="3">
        <v>13.047395</v>
      </c>
      <c r="AD42" s="3">
        <v>12.975835</v>
      </c>
      <c r="AE42" s="3">
        <v>11.316700000000001</v>
      </c>
      <c r="AF42" s="3">
        <v>13.066976</v>
      </c>
      <c r="AG42" s="3">
        <v>8.7859979999999993</v>
      </c>
      <c r="AH42" s="3">
        <v>8.7385900000000003</v>
      </c>
      <c r="AI42" s="3">
        <v>12.199078</v>
      </c>
      <c r="AJ42" s="3">
        <v>8.1959999999999997</v>
      </c>
      <c r="AK42" s="3">
        <v>9.0362740000000006</v>
      </c>
      <c r="AL42" s="3">
        <v>10.561151000000001</v>
      </c>
      <c r="AM42" s="3">
        <v>9.1077010000000005</v>
      </c>
      <c r="AN42" s="3">
        <v>9.4790209999999995</v>
      </c>
      <c r="AO42" s="3">
        <v>11.207758999999999</v>
      </c>
      <c r="AP42" s="3">
        <v>9.974297</v>
      </c>
      <c r="AQ42" s="3">
        <v>13.282664</v>
      </c>
      <c r="AR42" s="3">
        <v>9.7867339999999992</v>
      </c>
      <c r="AS42" s="3">
        <v>9.0182199999999995</v>
      </c>
      <c r="AT42" s="3">
        <v>12.055504000000001</v>
      </c>
      <c r="AU42" s="3">
        <v>12.553421</v>
      </c>
      <c r="AV42" s="3">
        <v>8.8815550000000005</v>
      </c>
      <c r="AW42" s="3">
        <v>11.319175</v>
      </c>
      <c r="AX42" s="3">
        <v>9.5868380000000002</v>
      </c>
      <c r="AY42" s="3">
        <v>11.279671</v>
      </c>
      <c r="AZ42" s="3">
        <v>9.6439360000000001</v>
      </c>
      <c r="BA42" s="3">
        <v>8.3073169999999994</v>
      </c>
      <c r="BB42" s="3">
        <v>12.866215</v>
      </c>
      <c r="BC42" s="3">
        <v>7.9261369999999998</v>
      </c>
      <c r="BD42" s="3">
        <v>10.153255</v>
      </c>
      <c r="BE42" s="3">
        <v>11.256535</v>
      </c>
      <c r="BF42" s="3">
        <v>10.839072</v>
      </c>
      <c r="BG42" s="3">
        <v>9.2159479999999991</v>
      </c>
      <c r="BH42" s="3">
        <v>10.254060000000001</v>
      </c>
      <c r="BI42" s="3">
        <v>12.310627</v>
      </c>
      <c r="BJ42" s="3">
        <v>11.606239</v>
      </c>
      <c r="BK42" s="3">
        <v>9.0223820000000003</v>
      </c>
      <c r="BL42" s="3">
        <v>13.119558</v>
      </c>
      <c r="BM42" s="3">
        <v>12.124407</v>
      </c>
      <c r="BN42" s="3">
        <v>8.4610950000000003</v>
      </c>
      <c r="BO42" s="3">
        <v>12.775671000000001</v>
      </c>
      <c r="BP42" s="3">
        <v>12.832993</v>
      </c>
      <c r="BQ42" s="3">
        <v>11.532667</v>
      </c>
      <c r="BR42" s="3">
        <v>10.303737999999999</v>
      </c>
      <c r="BS42" s="3">
        <v>12.349240999999999</v>
      </c>
      <c r="BT42" s="3">
        <v>9.3139450000000004</v>
      </c>
      <c r="BU42" s="3">
        <v>11.302649000000001</v>
      </c>
      <c r="BV42" s="3">
        <v>11.612705</v>
      </c>
      <c r="BW42" s="3">
        <v>9.4938800000000008</v>
      </c>
      <c r="BX42" s="3">
        <v>9.8014759999999992</v>
      </c>
      <c r="BY42" s="3">
        <v>10.388839000000001</v>
      </c>
      <c r="BZ42" s="3">
        <v>12.441984</v>
      </c>
      <c r="CA42" s="3">
        <v>10.859920000000001</v>
      </c>
      <c r="CB42" s="3">
        <v>13.193631</v>
      </c>
      <c r="CC42" s="3">
        <v>7.394533</v>
      </c>
      <c r="CD42" s="3">
        <v>10.547300999999999</v>
      </c>
      <c r="CE42" s="3">
        <v>9.3196960000000004</v>
      </c>
      <c r="CF42" s="3">
        <v>18.294457999999999</v>
      </c>
      <c r="CG42" s="3">
        <v>9.3204460000000005</v>
      </c>
      <c r="CH42" s="3">
        <v>11.064560999999999</v>
      </c>
      <c r="CI42" s="3">
        <v>7.4008450000000003</v>
      </c>
      <c r="CJ42" s="3">
        <v>8.5893200000000007</v>
      </c>
      <c r="CK42" s="3">
        <v>13.199291000000001</v>
      </c>
      <c r="CL42" s="3">
        <v>9.5426319999999993</v>
      </c>
      <c r="CM42" s="3">
        <v>8.9029930000000004</v>
      </c>
      <c r="CN42" s="3">
        <v>10.845186</v>
      </c>
      <c r="CO42" s="3">
        <v>8.8153839999999999</v>
      </c>
      <c r="CP42" s="3">
        <v>10.299685999999999</v>
      </c>
      <c r="CQ42" s="3">
        <v>10.420311</v>
      </c>
      <c r="CR42" s="3">
        <v>8.2960209999999996</v>
      </c>
      <c r="CS42" s="3">
        <v>11.192443000000001</v>
      </c>
      <c r="CT42" s="3">
        <v>10.494016999999999</v>
      </c>
      <c r="CU42" s="3">
        <v>11.624501</v>
      </c>
      <c r="CV42" s="3">
        <v>12.675318000000001</v>
      </c>
      <c r="CW42" s="3">
        <v>10.36711</v>
      </c>
      <c r="CX42" s="3">
        <v>11.084514</v>
      </c>
      <c r="CY42" s="3">
        <v>15.101354000000001</v>
      </c>
      <c r="CZ42" s="3">
        <v>9.7416820000000008</v>
      </c>
      <c r="DA42" s="3">
        <v>14.974955</v>
      </c>
      <c r="DB42" s="3">
        <v>10.263120000000001</v>
      </c>
      <c r="DC42" s="3">
        <v>12.377628</v>
      </c>
      <c r="DD42" s="3">
        <v>8.8391380000000002</v>
      </c>
      <c r="DE42" s="3">
        <v>10.880055</v>
      </c>
      <c r="DF42" s="3">
        <v>8.0328520000000001</v>
      </c>
      <c r="DG42" s="3">
        <v>12.662514</v>
      </c>
      <c r="DH42" s="3">
        <v>10.217014000000001</v>
      </c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  <c r="EN42" s="3"/>
      <c r="EO42" s="3"/>
      <c r="EP42" s="3"/>
      <c r="EQ42" s="3"/>
      <c r="ER42" s="3"/>
      <c r="ES42" s="3"/>
      <c r="ET42" s="3"/>
      <c r="EU42" s="3"/>
      <c r="EV42" s="3"/>
      <c r="EW42" s="3"/>
      <c r="EX42" s="3"/>
      <c r="EY42" s="3"/>
      <c r="EZ42" s="3"/>
      <c r="FA42" s="3"/>
      <c r="FB42" s="3"/>
      <c r="FC42" s="3"/>
      <c r="FD42" s="3"/>
      <c r="FE42" s="3"/>
      <c r="FF42" s="3"/>
      <c r="FG42" s="3"/>
      <c r="FH42" s="3"/>
      <c r="FI42" s="3"/>
      <c r="FJ42" s="3"/>
      <c r="FK42" s="3"/>
      <c r="FL42" s="3"/>
      <c r="FM42" s="3"/>
      <c r="FN42" s="3"/>
      <c r="FO42" s="3"/>
      <c r="FP42" s="3"/>
      <c r="FQ42" s="3"/>
      <c r="FR42" s="3"/>
      <c r="FS42" s="3"/>
      <c r="FT42" s="3"/>
      <c r="FU42" s="3"/>
      <c r="FV42" s="3"/>
      <c r="FW42" s="3"/>
      <c r="FX42" s="3"/>
      <c r="FY42" s="3"/>
      <c r="FZ42" s="3"/>
      <c r="GA42" s="3"/>
      <c r="GB42" s="3"/>
      <c r="GC42" s="3"/>
      <c r="GD42" s="3"/>
      <c r="GE42" s="3"/>
      <c r="GF42" s="3"/>
      <c r="GG42" s="3"/>
      <c r="GH42" s="3"/>
      <c r="GI42" s="3"/>
      <c r="GJ42" s="3"/>
      <c r="GK42" s="3"/>
      <c r="GL42" s="3"/>
      <c r="GM42" s="3"/>
      <c r="GN42" s="3"/>
      <c r="GO42" s="3"/>
      <c r="GP42" s="3"/>
      <c r="GQ42" s="3"/>
      <c r="GR42" s="3"/>
      <c r="GS42" s="3"/>
      <c r="GT42" s="3"/>
      <c r="GU42" s="3"/>
      <c r="GV42" s="3"/>
      <c r="GW42" s="3"/>
      <c r="GX42" s="3"/>
    </row>
    <row r="43" spans="2:206" x14ac:dyDescent="0.2">
      <c r="G43" s="3"/>
      <c r="H43" s="3"/>
      <c r="I43" s="3"/>
      <c r="J43" s="3"/>
      <c r="K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  <c r="DZ43" s="3"/>
      <c r="EA43" s="3"/>
      <c r="EB43" s="3"/>
      <c r="EC43" s="3"/>
      <c r="ED43" s="3"/>
      <c r="EE43" s="3"/>
      <c r="EF43" s="3"/>
      <c r="EG43" s="3"/>
      <c r="EH43" s="3"/>
      <c r="EI43" s="3"/>
      <c r="EJ43" s="3"/>
      <c r="EK43" s="3"/>
      <c r="EL43" s="3"/>
      <c r="EM43" s="3"/>
      <c r="EN43" s="3"/>
      <c r="EO43" s="3"/>
      <c r="EP43" s="3"/>
      <c r="EQ43" s="3"/>
      <c r="ER43" s="3"/>
      <c r="ES43" s="3"/>
      <c r="ET43" s="3"/>
      <c r="EU43" s="3"/>
      <c r="EV43" s="3"/>
      <c r="EW43" s="3"/>
      <c r="EX43" s="3"/>
      <c r="EY43" s="3"/>
      <c r="EZ43" s="3"/>
      <c r="FA43" s="3"/>
      <c r="FB43" s="3"/>
      <c r="FC43" s="3"/>
      <c r="FD43" s="3"/>
      <c r="FE43" s="3"/>
      <c r="FF43" s="3"/>
      <c r="FG43" s="3"/>
      <c r="FH43" s="3"/>
      <c r="FI43" s="3"/>
      <c r="FJ43" s="3"/>
      <c r="FK43" s="3"/>
      <c r="FL43" s="3"/>
      <c r="FM43" s="3"/>
      <c r="FN43" s="3"/>
      <c r="FO43" s="3"/>
      <c r="FP43" s="3"/>
      <c r="FQ43" s="3"/>
      <c r="FR43" s="3"/>
      <c r="FS43" s="3"/>
      <c r="FT43" s="3"/>
      <c r="FU43" s="3"/>
      <c r="FV43" s="3"/>
      <c r="FW43" s="3"/>
      <c r="FX43" s="3"/>
      <c r="FY43" s="3"/>
      <c r="FZ43" s="3"/>
      <c r="GA43" s="3"/>
      <c r="GB43" s="3"/>
      <c r="GC43" s="3"/>
      <c r="GD43" s="3"/>
      <c r="GE43" s="3"/>
      <c r="GF43" s="3"/>
      <c r="GG43" s="3"/>
      <c r="GH43" s="3"/>
      <c r="GI43" s="3"/>
      <c r="GJ43" s="3"/>
      <c r="GK43" s="3"/>
      <c r="GL43" s="3"/>
      <c r="GM43" s="3"/>
      <c r="GN43" s="3"/>
      <c r="GO43" s="3"/>
      <c r="GP43" s="3"/>
      <c r="GQ43" s="3"/>
      <c r="GR43" s="3"/>
      <c r="GS43" s="3"/>
      <c r="GT43" s="3"/>
      <c r="GU43" s="3"/>
      <c r="GV43" s="3"/>
      <c r="GW43" s="3"/>
      <c r="GX43" s="3"/>
    </row>
    <row r="44" spans="2:206" x14ac:dyDescent="0.2">
      <c r="D44" t="s">
        <v>2</v>
      </c>
      <c r="E44" t="s">
        <v>1</v>
      </c>
      <c r="F44">
        <f>COUNT(M44:GI44)</f>
        <v>100</v>
      </c>
      <c r="G44" s="3">
        <f>AVERAGE(M44:GI44)</f>
        <v>16.342569680000008</v>
      </c>
      <c r="H44" s="3">
        <f>MAX(M44:GI44)</f>
        <v>21.991018</v>
      </c>
      <c r="I44" s="3">
        <f>MIN(M44:GI44)</f>
        <v>13.504505</v>
      </c>
      <c r="J44" s="3">
        <f>_xlfn.STDEV.P(M44:GI44)</f>
        <v>1.3046780644732696</v>
      </c>
      <c r="K44" s="3">
        <f>_xlfn.VAR.S(M44:GI44)</f>
        <v>1.7193786383007243</v>
      </c>
      <c r="M44" s="3">
        <v>15.95875</v>
      </c>
      <c r="N44" s="3">
        <v>16.99991</v>
      </c>
      <c r="O44" s="3">
        <v>15.820569000000001</v>
      </c>
      <c r="P44" s="3">
        <v>15.247787000000001</v>
      </c>
      <c r="Q44" s="3">
        <v>16.332197000000001</v>
      </c>
      <c r="R44" s="3">
        <v>17.137903000000001</v>
      </c>
      <c r="S44" s="3">
        <v>16.821901</v>
      </c>
      <c r="T44" s="3">
        <v>17.099947</v>
      </c>
      <c r="U44" s="3">
        <v>14.982678999999999</v>
      </c>
      <c r="V44" s="3">
        <v>13.504505</v>
      </c>
      <c r="W44" s="3">
        <v>14.716290000000001</v>
      </c>
      <c r="X44" s="3">
        <v>21.991018</v>
      </c>
      <c r="Y44" s="3">
        <v>16.140678000000001</v>
      </c>
      <c r="Z44" s="3">
        <v>15.970034</v>
      </c>
      <c r="AA44" s="3">
        <v>14.614549</v>
      </c>
      <c r="AB44" s="3">
        <v>16.639896</v>
      </c>
      <c r="AC44" s="3">
        <v>15.748101</v>
      </c>
      <c r="AD44" s="3">
        <v>14.253778000000001</v>
      </c>
      <c r="AE44" s="3">
        <v>14.608126</v>
      </c>
      <c r="AF44" s="3">
        <v>15.075450999999999</v>
      </c>
      <c r="AG44" s="3">
        <v>15.637152</v>
      </c>
      <c r="AH44" s="3">
        <v>17.006305999999999</v>
      </c>
      <c r="AI44" s="3">
        <v>16.644169000000002</v>
      </c>
      <c r="AJ44" s="3">
        <v>18.054093999999999</v>
      </c>
      <c r="AK44" s="3">
        <v>16.233384999999998</v>
      </c>
      <c r="AL44" s="3">
        <v>16.502123000000001</v>
      </c>
      <c r="AM44" s="3">
        <v>17.269386000000001</v>
      </c>
      <c r="AN44" s="3">
        <v>13.987289000000001</v>
      </c>
      <c r="AO44" s="3">
        <v>19.441493999999999</v>
      </c>
      <c r="AP44" s="3">
        <v>16.2348</v>
      </c>
      <c r="AQ44" s="3">
        <v>16.426207000000002</v>
      </c>
      <c r="AR44" s="3">
        <v>15.200336999999999</v>
      </c>
      <c r="AS44" s="3">
        <v>16.842789</v>
      </c>
      <c r="AT44" s="3">
        <v>15.988407</v>
      </c>
      <c r="AU44" s="3">
        <v>18.454961999999998</v>
      </c>
      <c r="AV44" s="3">
        <v>16.522887999999998</v>
      </c>
      <c r="AW44" s="3">
        <v>17.461383999999999</v>
      </c>
      <c r="AX44" s="3">
        <v>14.323706</v>
      </c>
      <c r="AY44" s="3">
        <v>18.517426</v>
      </c>
      <c r="AZ44" s="3">
        <v>15.585789999999999</v>
      </c>
      <c r="BA44" s="3">
        <v>14.920671</v>
      </c>
      <c r="BB44" s="3">
        <v>14.688704</v>
      </c>
      <c r="BC44" s="3">
        <v>16.187819999999999</v>
      </c>
      <c r="BD44" s="3">
        <v>17.012325000000001</v>
      </c>
      <c r="BE44" s="3">
        <v>16.474875999999998</v>
      </c>
      <c r="BF44" s="3">
        <v>15.454853</v>
      </c>
      <c r="BG44" s="3">
        <v>16.567747000000001</v>
      </c>
      <c r="BH44" s="3">
        <v>16.075384</v>
      </c>
      <c r="BI44" s="3">
        <v>16.041031</v>
      </c>
      <c r="BJ44" s="3">
        <v>15.616600999999999</v>
      </c>
      <c r="BK44" s="3">
        <v>15.669802000000001</v>
      </c>
      <c r="BL44" s="3">
        <v>18.414473999999998</v>
      </c>
      <c r="BM44" s="3">
        <v>16.626144</v>
      </c>
      <c r="BN44" s="3">
        <v>15.944350999999999</v>
      </c>
      <c r="BO44" s="3">
        <v>16.693232999999999</v>
      </c>
      <c r="BP44" s="3">
        <v>18.046351999999999</v>
      </c>
      <c r="BQ44" s="3">
        <v>19.182426</v>
      </c>
      <c r="BR44" s="3">
        <v>17.501307000000001</v>
      </c>
      <c r="BS44" s="3">
        <v>15.751358</v>
      </c>
      <c r="BT44" s="3">
        <v>16.320550999999998</v>
      </c>
      <c r="BU44" s="3">
        <v>16.843456</v>
      </c>
      <c r="BV44" s="3">
        <v>16.986004000000001</v>
      </c>
      <c r="BW44" s="3">
        <v>15.141616000000001</v>
      </c>
      <c r="BX44" s="3">
        <v>14.305552</v>
      </c>
      <c r="BY44" s="3">
        <v>16.155660999999998</v>
      </c>
      <c r="BZ44" s="3">
        <v>17.575291</v>
      </c>
      <c r="CA44" s="3">
        <v>15.538061000000001</v>
      </c>
      <c r="CB44" s="3">
        <v>15.542747</v>
      </c>
      <c r="CC44" s="3">
        <v>15.519354</v>
      </c>
      <c r="CD44" s="3">
        <v>15.195148</v>
      </c>
      <c r="CE44" s="3">
        <v>16.333935</v>
      </c>
      <c r="CF44" s="3">
        <v>16.021723000000001</v>
      </c>
      <c r="CG44" s="3">
        <v>16.249271</v>
      </c>
      <c r="CH44" s="3">
        <v>15.601696</v>
      </c>
      <c r="CI44" s="3">
        <v>15.990733000000001</v>
      </c>
      <c r="CJ44" s="3">
        <v>15.203787999999999</v>
      </c>
      <c r="CK44" s="3">
        <v>16.163225000000001</v>
      </c>
      <c r="CL44" s="3">
        <v>13.709633999999999</v>
      </c>
      <c r="CM44" s="3">
        <v>18.192587</v>
      </c>
      <c r="CN44" s="3">
        <v>16.434933000000001</v>
      </c>
      <c r="CO44" s="3">
        <v>16.686924000000001</v>
      </c>
      <c r="CP44" s="3">
        <v>17.971491</v>
      </c>
      <c r="CQ44" s="3">
        <v>15.223598000000001</v>
      </c>
      <c r="CR44" s="3">
        <v>16.133337000000001</v>
      </c>
      <c r="CS44" s="3">
        <v>19.027151</v>
      </c>
      <c r="CT44" s="3">
        <v>17.480003</v>
      </c>
      <c r="CU44" s="3">
        <v>17.308005999999999</v>
      </c>
      <c r="CV44" s="3">
        <v>16.241865000000001</v>
      </c>
      <c r="CW44" s="3">
        <v>15.901507000000001</v>
      </c>
      <c r="CX44" s="3">
        <v>15.225377999999999</v>
      </c>
      <c r="CY44" s="3">
        <v>16.356826999999999</v>
      </c>
      <c r="CZ44" s="3">
        <v>15.511324</v>
      </c>
      <c r="DA44" s="3">
        <v>17.591282</v>
      </c>
      <c r="DB44" s="3">
        <v>16.595327000000001</v>
      </c>
      <c r="DC44" s="3">
        <v>14.87739</v>
      </c>
      <c r="DD44" s="3">
        <v>16.350643000000002</v>
      </c>
      <c r="DE44" s="3">
        <v>17.179846000000001</v>
      </c>
      <c r="DF44" s="3">
        <v>17.823008000000002</v>
      </c>
      <c r="DG44" s="3">
        <v>17.302626</v>
      </c>
      <c r="DH44" s="3">
        <v>17.576847000000001</v>
      </c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3"/>
      <c r="DZ44" s="3"/>
      <c r="EA44" s="3"/>
      <c r="EB44" s="3"/>
      <c r="EC44" s="3"/>
      <c r="ED44" s="3"/>
      <c r="EE44" s="3"/>
      <c r="EF44" s="3"/>
      <c r="EG44" s="3"/>
      <c r="EH44" s="3"/>
      <c r="EI44" s="3"/>
      <c r="EJ44" s="3"/>
      <c r="EK44" s="3"/>
      <c r="EL44" s="3"/>
      <c r="EM44" s="3"/>
      <c r="EN44" s="3"/>
      <c r="EO44" s="3"/>
      <c r="EP44" s="3"/>
      <c r="EQ44" s="3"/>
      <c r="ER44" s="3"/>
      <c r="ES44" s="3"/>
      <c r="ET44" s="3"/>
      <c r="EU44" s="3"/>
      <c r="EV44" s="3"/>
      <c r="EW44" s="3"/>
      <c r="EX44" s="3"/>
      <c r="EY44" s="3"/>
      <c r="EZ44" s="3"/>
      <c r="FA44" s="3"/>
      <c r="FB44" s="3"/>
      <c r="FC44" s="3"/>
      <c r="FD44" s="3"/>
      <c r="FE44" s="3"/>
      <c r="FF44" s="3"/>
      <c r="FG44" s="3"/>
      <c r="FH44" s="3"/>
      <c r="FI44" s="3"/>
      <c r="FJ44" s="3"/>
      <c r="FK44" s="3"/>
      <c r="FL44" s="3"/>
      <c r="FM44" s="3"/>
      <c r="FN44" s="3"/>
      <c r="FO44" s="3"/>
      <c r="FP44" s="3"/>
      <c r="FQ44" s="3"/>
      <c r="FR44" s="3"/>
      <c r="FS44" s="3"/>
      <c r="FT44" s="3"/>
      <c r="FU44" s="3"/>
      <c r="FV44" s="3"/>
      <c r="FW44" s="3"/>
      <c r="FX44" s="3"/>
      <c r="FY44" s="3"/>
      <c r="FZ44" s="3"/>
      <c r="GA44" s="3"/>
      <c r="GB44" s="3"/>
      <c r="GC44" s="3"/>
      <c r="GD44" s="3"/>
      <c r="GE44" s="3"/>
      <c r="GF44" s="3"/>
      <c r="GG44" s="3"/>
      <c r="GH44" s="3"/>
      <c r="GI44" s="3"/>
      <c r="GJ44" s="3"/>
      <c r="GK44" s="3"/>
      <c r="GL44" s="3"/>
      <c r="GM44" s="3"/>
      <c r="GN44" s="3"/>
      <c r="GO44" s="3"/>
      <c r="GP44" s="3"/>
      <c r="GQ44" s="3"/>
      <c r="GR44" s="3"/>
      <c r="GS44" s="3"/>
      <c r="GT44" s="3"/>
      <c r="GU44" s="3"/>
      <c r="GV44" s="3"/>
      <c r="GW44" s="3"/>
      <c r="GX44" s="3"/>
    </row>
    <row r="45" spans="2:206" x14ac:dyDescent="0.2">
      <c r="G45" s="3"/>
      <c r="H45" s="3"/>
      <c r="I45" s="3"/>
      <c r="J45" s="3"/>
      <c r="K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3"/>
      <c r="DY45" s="3"/>
      <c r="DZ45" s="3"/>
      <c r="EA45" s="3"/>
      <c r="EB45" s="3"/>
      <c r="EC45" s="3"/>
      <c r="ED45" s="3"/>
      <c r="EE45" s="3"/>
      <c r="EF45" s="3"/>
      <c r="EG45" s="3"/>
      <c r="EH45" s="3"/>
      <c r="EI45" s="3"/>
      <c r="EJ45" s="3"/>
      <c r="EK45" s="3"/>
      <c r="EL45" s="3"/>
      <c r="EM45" s="3"/>
      <c r="EN45" s="3"/>
      <c r="EO45" s="3"/>
      <c r="EP45" s="3"/>
      <c r="EQ45" s="3"/>
      <c r="ER45" s="3"/>
      <c r="ES45" s="3"/>
      <c r="ET45" s="3"/>
      <c r="EU45" s="3"/>
      <c r="EV45" s="3"/>
      <c r="EW45" s="3"/>
      <c r="EX45" s="3"/>
      <c r="EY45" s="3"/>
      <c r="EZ45" s="3"/>
      <c r="FA45" s="3"/>
      <c r="FB45" s="3"/>
      <c r="FC45" s="3"/>
      <c r="FD45" s="3"/>
      <c r="FE45" s="3"/>
      <c r="FF45" s="3"/>
      <c r="FG45" s="3"/>
      <c r="FH45" s="3"/>
      <c r="FI45" s="3"/>
      <c r="FJ45" s="3"/>
      <c r="FK45" s="3"/>
      <c r="FL45" s="3"/>
      <c r="FM45" s="3"/>
      <c r="FN45" s="3"/>
      <c r="FO45" s="3"/>
      <c r="FP45" s="3"/>
      <c r="FQ45" s="3"/>
      <c r="FR45" s="3"/>
      <c r="FS45" s="3"/>
      <c r="FT45" s="3"/>
      <c r="FU45" s="3"/>
      <c r="FV45" s="3"/>
      <c r="FW45" s="3"/>
      <c r="FX45" s="3"/>
      <c r="FY45" s="3"/>
      <c r="FZ45" s="3"/>
      <c r="GA45" s="3"/>
      <c r="GB45" s="3"/>
      <c r="GC45" s="3"/>
      <c r="GD45" s="3"/>
      <c r="GE45" s="3"/>
      <c r="GF45" s="3"/>
      <c r="GG45" s="3"/>
      <c r="GH45" s="3"/>
      <c r="GI45" s="3"/>
      <c r="GJ45" s="3"/>
      <c r="GK45" s="3"/>
      <c r="GL45" s="3"/>
      <c r="GM45" s="3"/>
      <c r="GN45" s="3"/>
      <c r="GO45" s="3"/>
      <c r="GP45" s="3"/>
      <c r="GQ45" s="3"/>
      <c r="GR45" s="3"/>
      <c r="GS45" s="3"/>
      <c r="GT45" s="3"/>
      <c r="GU45" s="3"/>
      <c r="GV45" s="3"/>
      <c r="GW45" s="3"/>
      <c r="GX45" s="3"/>
    </row>
    <row r="46" spans="2:206" x14ac:dyDescent="0.2">
      <c r="D46" t="s">
        <v>5</v>
      </c>
      <c r="E46" t="s">
        <v>1</v>
      </c>
      <c r="F46">
        <f>COUNT(M46:GI46)</f>
        <v>100</v>
      </c>
      <c r="G46" s="3">
        <f>AVERAGE(M46:GI46)</f>
        <v>15.697508079999999</v>
      </c>
      <c r="H46" s="3">
        <f>MAX(M46:GI46)</f>
        <v>17.674244000000002</v>
      </c>
      <c r="I46" s="3">
        <f>MIN(M46:GI46)</f>
        <v>13.958701</v>
      </c>
      <c r="J46" s="3">
        <f>_xlfn.STDEV.P(M46:GI46)</f>
        <v>0.86644569486307332</v>
      </c>
      <c r="K46" s="3">
        <f>_xlfn.VAR.S(M46:GI46)</f>
        <v>0.75831125469369098</v>
      </c>
      <c r="M46" s="3">
        <v>15.900411</v>
      </c>
      <c r="N46" s="3">
        <v>16.730373</v>
      </c>
      <c r="O46" s="3">
        <v>17.211079000000002</v>
      </c>
      <c r="P46" s="3">
        <v>15.344184</v>
      </c>
      <c r="Q46" s="3">
        <v>16.673107000000002</v>
      </c>
      <c r="R46" s="3">
        <v>17.674244000000002</v>
      </c>
      <c r="S46" s="3">
        <v>15.602394</v>
      </c>
      <c r="T46" s="3">
        <v>17.557538999999998</v>
      </c>
      <c r="U46" s="3">
        <v>15.926488000000001</v>
      </c>
      <c r="V46" s="3">
        <v>15.414199999999999</v>
      </c>
      <c r="W46" s="3">
        <v>15.788112999999999</v>
      </c>
      <c r="X46" s="3">
        <v>14.611753</v>
      </c>
      <c r="Y46" s="3">
        <v>16.722265</v>
      </c>
      <c r="Z46" s="3">
        <v>13.958701</v>
      </c>
      <c r="AA46" s="3">
        <v>17.044768999999999</v>
      </c>
      <c r="AB46" s="3">
        <v>16.948221</v>
      </c>
      <c r="AC46" s="3">
        <v>14.905925999999999</v>
      </c>
      <c r="AD46" s="3">
        <v>16.552731999999999</v>
      </c>
      <c r="AE46" s="3">
        <v>15.209663000000001</v>
      </c>
      <c r="AF46" s="3">
        <v>14.697628</v>
      </c>
      <c r="AG46" s="3">
        <v>16.954115000000002</v>
      </c>
      <c r="AH46" s="3">
        <v>16.179682</v>
      </c>
      <c r="AI46" s="3">
        <v>14.445344</v>
      </c>
      <c r="AJ46" s="3">
        <v>15.505357</v>
      </c>
      <c r="AK46" s="3">
        <v>15.434293</v>
      </c>
      <c r="AL46" s="3">
        <v>16.039539000000001</v>
      </c>
      <c r="AM46" s="3">
        <v>16.545736000000002</v>
      </c>
      <c r="AN46" s="3">
        <v>15.028902</v>
      </c>
      <c r="AO46" s="3">
        <v>16.270078999999999</v>
      </c>
      <c r="AP46" s="3">
        <v>16.083590999999998</v>
      </c>
      <c r="AQ46" s="3">
        <v>15.702847999999999</v>
      </c>
      <c r="AR46" s="3">
        <v>14.701441000000001</v>
      </c>
      <c r="AS46" s="3">
        <v>16.481165000000001</v>
      </c>
      <c r="AT46" s="3">
        <v>16.943878000000002</v>
      </c>
      <c r="AU46" s="3">
        <v>16.919734999999999</v>
      </c>
      <c r="AV46" s="3">
        <v>15.5716</v>
      </c>
      <c r="AW46" s="3">
        <v>15.717815999999999</v>
      </c>
      <c r="AX46" s="3">
        <v>16.383989</v>
      </c>
      <c r="AY46" s="3">
        <v>15.163198</v>
      </c>
      <c r="AZ46" s="3">
        <v>15.678952000000001</v>
      </c>
      <c r="BA46" s="3">
        <v>16.415413000000001</v>
      </c>
      <c r="BB46" s="3">
        <v>15.516906000000001</v>
      </c>
      <c r="BC46" s="3">
        <v>15.817598</v>
      </c>
      <c r="BD46" s="3">
        <v>15.526449</v>
      </c>
      <c r="BE46" s="3">
        <v>16.181450000000002</v>
      </c>
      <c r="BF46" s="3">
        <v>15.638119</v>
      </c>
      <c r="BG46" s="3">
        <v>16.076962000000002</v>
      </c>
      <c r="BH46" s="3">
        <v>14.190659999999999</v>
      </c>
      <c r="BI46" s="3">
        <v>14.532531000000001</v>
      </c>
      <c r="BJ46" s="3">
        <v>14.81603</v>
      </c>
      <c r="BK46" s="3">
        <v>16.551994000000001</v>
      </c>
      <c r="BL46" s="3">
        <v>15.799617</v>
      </c>
      <c r="BM46" s="3">
        <v>16.432323</v>
      </c>
      <c r="BN46" s="3">
        <v>14.155338</v>
      </c>
      <c r="BO46" s="3">
        <v>14.198858</v>
      </c>
      <c r="BP46" s="3">
        <v>15.724024</v>
      </c>
      <c r="BQ46" s="3">
        <v>16.070076</v>
      </c>
      <c r="BR46" s="3">
        <v>15.513085</v>
      </c>
      <c r="BS46" s="3">
        <v>14.192608999999999</v>
      </c>
      <c r="BT46" s="3">
        <v>16.224240999999999</v>
      </c>
      <c r="BU46" s="3">
        <v>15.988581999999999</v>
      </c>
      <c r="BV46" s="3">
        <v>14.739988</v>
      </c>
      <c r="BW46" s="3">
        <v>17.231361</v>
      </c>
      <c r="BX46" s="3">
        <v>15.703735999999999</v>
      </c>
      <c r="BY46" s="3">
        <v>15.569193</v>
      </c>
      <c r="BZ46" s="3">
        <v>14.660698</v>
      </c>
      <c r="CA46" s="3">
        <v>15.291828000000001</v>
      </c>
      <c r="CB46" s="3">
        <v>15.319383999999999</v>
      </c>
      <c r="CC46" s="3">
        <v>14.530621999999999</v>
      </c>
      <c r="CD46" s="3">
        <v>14.081037999999999</v>
      </c>
      <c r="CE46" s="3">
        <v>16.990608000000002</v>
      </c>
      <c r="CF46" s="3">
        <v>15.706936000000001</v>
      </c>
      <c r="CG46" s="3">
        <v>15.380083000000001</v>
      </c>
      <c r="CH46" s="3">
        <v>16.134058</v>
      </c>
      <c r="CI46" s="3">
        <v>17.382197999999999</v>
      </c>
      <c r="CJ46" s="3">
        <v>15.986255999999999</v>
      </c>
      <c r="CK46" s="3">
        <v>16.130272000000001</v>
      </c>
      <c r="CL46" s="3">
        <v>15.75338</v>
      </c>
      <c r="CM46" s="3">
        <v>15.655741000000001</v>
      </c>
      <c r="CN46" s="3">
        <v>16.14715</v>
      </c>
      <c r="CO46" s="3">
        <v>15.583373999999999</v>
      </c>
      <c r="CP46" s="3">
        <v>15.217613</v>
      </c>
      <c r="CQ46" s="3">
        <v>16.404869000000001</v>
      </c>
      <c r="CR46" s="3">
        <v>16.197883999999998</v>
      </c>
      <c r="CS46" s="3">
        <v>16.252203000000002</v>
      </c>
      <c r="CT46" s="3">
        <v>15.127693000000001</v>
      </c>
      <c r="CU46" s="3">
        <v>14.593565</v>
      </c>
      <c r="CV46" s="3">
        <v>14.596266</v>
      </c>
      <c r="CW46" s="3">
        <v>16.069396999999999</v>
      </c>
      <c r="CX46" s="3">
        <v>16.357050000000001</v>
      </c>
      <c r="CY46" s="3">
        <v>16.198145</v>
      </c>
      <c r="CZ46" s="3">
        <v>14.179872</v>
      </c>
      <c r="DA46" s="3">
        <v>14.731236000000001</v>
      </c>
      <c r="DB46" s="3">
        <v>16.358294999999998</v>
      </c>
      <c r="DC46" s="3">
        <v>15.350390000000001</v>
      </c>
      <c r="DD46" s="3">
        <v>15.186137</v>
      </c>
      <c r="DE46" s="3">
        <v>14.931129</v>
      </c>
      <c r="DF46" s="3">
        <v>15.526467</v>
      </c>
      <c r="DG46" s="3">
        <v>14.296919000000001</v>
      </c>
      <c r="DH46" s="3">
        <v>14.409859000000001</v>
      </c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/>
      <c r="DT46" s="3"/>
      <c r="DU46" s="3"/>
      <c r="DV46" s="3"/>
      <c r="DW46" s="3"/>
      <c r="DX46" s="3"/>
      <c r="DY46" s="3"/>
      <c r="DZ46" s="3"/>
      <c r="EA46" s="3"/>
      <c r="EB46" s="3"/>
      <c r="EC46" s="3"/>
      <c r="ED46" s="3"/>
      <c r="EE46" s="3"/>
      <c r="EF46" s="3"/>
      <c r="EG46" s="3"/>
      <c r="EH46" s="3"/>
      <c r="EI46" s="3"/>
      <c r="EJ46" s="3"/>
      <c r="EK46" s="3"/>
      <c r="EL46" s="3"/>
      <c r="EM46" s="3"/>
      <c r="EN46" s="3"/>
      <c r="EO46" s="3"/>
      <c r="EP46" s="3"/>
      <c r="EQ46" s="3"/>
      <c r="ER46" s="3"/>
      <c r="ES46" s="3"/>
      <c r="ET46" s="3"/>
      <c r="EU46" s="3"/>
      <c r="EV46" s="3"/>
      <c r="EW46" s="3"/>
      <c r="EX46" s="3"/>
      <c r="EY46" s="3"/>
      <c r="EZ46" s="3"/>
      <c r="FA46" s="3"/>
      <c r="FB46" s="3"/>
      <c r="FC46" s="3"/>
      <c r="FD46" s="3"/>
      <c r="FE46" s="3"/>
      <c r="FF46" s="3"/>
      <c r="FG46" s="3"/>
      <c r="FH46" s="3"/>
      <c r="FI46" s="3"/>
      <c r="FJ46" s="3"/>
      <c r="FK46" s="3"/>
      <c r="FL46" s="3"/>
      <c r="FM46" s="3"/>
      <c r="FN46" s="3"/>
      <c r="FO46" s="3"/>
      <c r="FP46" s="3"/>
      <c r="FQ46" s="3"/>
      <c r="FR46" s="3"/>
      <c r="FS46" s="3"/>
      <c r="FT46" s="3"/>
      <c r="FU46" s="3"/>
      <c r="FV46" s="3"/>
      <c r="FW46" s="3"/>
      <c r="FX46" s="3"/>
      <c r="FY46" s="3"/>
      <c r="FZ46" s="3"/>
      <c r="GA46" s="3"/>
      <c r="GB46" s="3"/>
      <c r="GC46" s="3"/>
      <c r="GD46" s="3"/>
      <c r="GE46" s="3"/>
      <c r="GF46" s="3"/>
      <c r="GG46" s="3"/>
      <c r="GH46" s="3"/>
      <c r="GI46" s="3"/>
      <c r="GJ46" s="3"/>
      <c r="GK46" s="3"/>
      <c r="GL46" s="3"/>
      <c r="GM46" s="3"/>
      <c r="GN46" s="3"/>
      <c r="GO46" s="3"/>
      <c r="GP46" s="3"/>
      <c r="GQ46" s="3"/>
      <c r="GR46" s="3"/>
      <c r="GS46" s="3"/>
      <c r="GT46" s="3"/>
      <c r="GU46" s="3"/>
      <c r="GV46" s="3"/>
      <c r="GW46" s="3"/>
      <c r="GX46" s="3"/>
    </row>
    <row r="47" spans="2:206" x14ac:dyDescent="0.2">
      <c r="G47" s="3"/>
      <c r="H47" s="3"/>
      <c r="I47" s="3"/>
      <c r="J47" s="3"/>
      <c r="K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3"/>
      <c r="DZ47" s="3"/>
      <c r="EA47" s="3"/>
      <c r="EB47" s="3"/>
      <c r="EC47" s="3"/>
      <c r="ED47" s="3"/>
      <c r="EE47" s="3"/>
      <c r="EF47" s="3"/>
      <c r="EG47" s="3"/>
      <c r="EH47" s="3"/>
      <c r="EI47" s="3"/>
      <c r="EJ47" s="3"/>
      <c r="EK47" s="3"/>
      <c r="EL47" s="3"/>
      <c r="EM47" s="3"/>
      <c r="EN47" s="3"/>
      <c r="EO47" s="3"/>
      <c r="EP47" s="3"/>
      <c r="EQ47" s="3"/>
      <c r="ER47" s="3"/>
      <c r="ES47" s="3"/>
      <c r="ET47" s="3"/>
      <c r="EU47" s="3"/>
      <c r="EV47" s="3"/>
      <c r="EW47" s="3"/>
      <c r="EX47" s="3"/>
      <c r="EY47" s="3"/>
      <c r="EZ47" s="3"/>
      <c r="FA47" s="3"/>
      <c r="FB47" s="3"/>
      <c r="FC47" s="3"/>
      <c r="FD47" s="3"/>
      <c r="FE47" s="3"/>
      <c r="FF47" s="3"/>
      <c r="FG47" s="3"/>
      <c r="FH47" s="3"/>
      <c r="FI47" s="3"/>
      <c r="FJ47" s="3"/>
      <c r="FK47" s="3"/>
      <c r="FL47" s="3"/>
      <c r="FM47" s="3"/>
      <c r="FN47" s="3"/>
      <c r="FO47" s="3"/>
      <c r="FP47" s="3"/>
      <c r="FQ47" s="3"/>
      <c r="FR47" s="3"/>
      <c r="FS47" s="3"/>
      <c r="FT47" s="3"/>
      <c r="FU47" s="3"/>
      <c r="FV47" s="3"/>
      <c r="FW47" s="3"/>
      <c r="FX47" s="3"/>
      <c r="FY47" s="3"/>
      <c r="FZ47" s="3"/>
      <c r="GA47" s="3"/>
      <c r="GB47" s="3"/>
      <c r="GC47" s="3"/>
      <c r="GD47" s="3"/>
      <c r="GE47" s="3"/>
      <c r="GF47" s="3"/>
      <c r="GG47" s="3"/>
      <c r="GH47" s="3"/>
      <c r="GI47" s="3"/>
      <c r="GJ47" s="3"/>
      <c r="GK47" s="3"/>
      <c r="GL47" s="3"/>
      <c r="GM47" s="3"/>
      <c r="GN47" s="3"/>
      <c r="GO47" s="3"/>
      <c r="GP47" s="3"/>
      <c r="GQ47" s="3"/>
      <c r="GR47" s="3"/>
      <c r="GS47" s="3"/>
      <c r="GT47" s="3"/>
      <c r="GU47" s="3"/>
      <c r="GV47" s="3"/>
      <c r="GW47" s="3"/>
      <c r="GX47" s="3"/>
    </row>
    <row r="48" spans="2:206" x14ac:dyDescent="0.2">
      <c r="D48" t="s">
        <v>6</v>
      </c>
      <c r="E48" t="s">
        <v>1</v>
      </c>
      <c r="F48">
        <f>COUNT(M48:GI48)</f>
        <v>100</v>
      </c>
      <c r="G48" s="3">
        <f>AVERAGE(M48:GI48)</f>
        <v>16.516611469999994</v>
      </c>
      <c r="H48" s="3">
        <f>MAX(M48:GI48)</f>
        <v>21.189450999999998</v>
      </c>
      <c r="I48" s="3">
        <f>MIN(M48:GI48)</f>
        <v>13.671711999999999</v>
      </c>
      <c r="J48" s="3">
        <f>_xlfn.STDEV.P(M48:GI48)</f>
        <v>1.2874554651690164</v>
      </c>
      <c r="K48" s="3">
        <f>_xlfn.VAR.S(M48:GI48)</f>
        <v>1.6742844189834027</v>
      </c>
      <c r="M48" s="3">
        <v>18.231527</v>
      </c>
      <c r="N48" s="3">
        <v>16.258682</v>
      </c>
      <c r="O48" s="3">
        <v>18.040918000000001</v>
      </c>
      <c r="P48" s="3">
        <v>15.829017</v>
      </c>
      <c r="Q48" s="3">
        <v>15.642659999999999</v>
      </c>
      <c r="R48" s="3">
        <v>16.136514999999999</v>
      </c>
      <c r="S48" s="3">
        <v>16.082581000000001</v>
      </c>
      <c r="T48" s="3">
        <v>16.944624000000001</v>
      </c>
      <c r="U48" s="3">
        <v>16.783215999999999</v>
      </c>
      <c r="V48" s="3">
        <v>15.490881999999999</v>
      </c>
      <c r="W48" s="3">
        <v>18.666205999999999</v>
      </c>
      <c r="X48" s="3">
        <v>16.72307</v>
      </c>
      <c r="Y48" s="3">
        <v>14.358898</v>
      </c>
      <c r="Z48" s="3">
        <v>15.835317999999999</v>
      </c>
      <c r="AA48" s="3">
        <v>17.023942999999999</v>
      </c>
      <c r="AB48" s="3">
        <v>17.655391999999999</v>
      </c>
      <c r="AC48" s="3">
        <v>16.708628000000001</v>
      </c>
      <c r="AD48" s="3">
        <v>14.929777</v>
      </c>
      <c r="AE48" s="3">
        <v>18.271729000000001</v>
      </c>
      <c r="AF48" s="3">
        <v>16.445847000000001</v>
      </c>
      <c r="AG48" s="3">
        <v>18.885114999999999</v>
      </c>
      <c r="AH48" s="3">
        <v>16.223538999999999</v>
      </c>
      <c r="AI48" s="3">
        <v>20.609062000000002</v>
      </c>
      <c r="AJ48" s="3">
        <v>17.126899999999999</v>
      </c>
      <c r="AK48" s="3">
        <v>17.381508</v>
      </c>
      <c r="AL48" s="3">
        <v>17.317263000000001</v>
      </c>
      <c r="AM48" s="3">
        <v>16.074724</v>
      </c>
      <c r="AN48" s="3">
        <v>17.072668</v>
      </c>
      <c r="AO48" s="3">
        <v>16.744019000000002</v>
      </c>
      <c r="AP48" s="3">
        <v>18.382277999999999</v>
      </c>
      <c r="AQ48" s="3">
        <v>16.393345</v>
      </c>
      <c r="AR48" s="3">
        <v>16.552616</v>
      </c>
      <c r="AS48" s="3">
        <v>15.443065000000001</v>
      </c>
      <c r="AT48" s="3">
        <v>16.828896</v>
      </c>
      <c r="AU48" s="3">
        <v>17.388864999999999</v>
      </c>
      <c r="AV48" s="3">
        <v>15.824028999999999</v>
      </c>
      <c r="AW48" s="3">
        <v>13.96749</v>
      </c>
      <c r="AX48" s="3">
        <v>17.384947</v>
      </c>
      <c r="AY48" s="3">
        <v>17.056851999999999</v>
      </c>
      <c r="AZ48" s="3">
        <v>15.486613999999999</v>
      </c>
      <c r="BA48" s="3">
        <v>14.739094</v>
      </c>
      <c r="BB48" s="3">
        <v>14.299170999999999</v>
      </c>
      <c r="BC48" s="3">
        <v>15.630174999999999</v>
      </c>
      <c r="BD48" s="3">
        <v>15.257985</v>
      </c>
      <c r="BE48" s="3">
        <v>17.693459000000001</v>
      </c>
      <c r="BF48" s="3">
        <v>16.221830000000001</v>
      </c>
      <c r="BG48" s="3">
        <v>13.671711999999999</v>
      </c>
      <c r="BH48" s="3">
        <v>16.866326999999998</v>
      </c>
      <c r="BI48" s="3">
        <v>14.216951999999999</v>
      </c>
      <c r="BJ48" s="3">
        <v>16.731217999999998</v>
      </c>
      <c r="BK48" s="3">
        <v>16.107458000000001</v>
      </c>
      <c r="BL48" s="3">
        <v>17.821736999999999</v>
      </c>
      <c r="BM48" s="3">
        <v>15.695375</v>
      </c>
      <c r="BN48" s="3">
        <v>16.510721</v>
      </c>
      <c r="BO48" s="3">
        <v>16.81362</v>
      </c>
      <c r="BP48" s="3">
        <v>15.832001999999999</v>
      </c>
      <c r="BQ48" s="3">
        <v>16.952428999999999</v>
      </c>
      <c r="BR48" s="3">
        <v>16.351164000000001</v>
      </c>
      <c r="BS48" s="3">
        <v>16.461224000000001</v>
      </c>
      <c r="BT48" s="3">
        <v>14.784347</v>
      </c>
      <c r="BU48" s="3">
        <v>15.078722000000001</v>
      </c>
      <c r="BV48" s="3">
        <v>16.308691</v>
      </c>
      <c r="BW48" s="3">
        <v>16.110683000000002</v>
      </c>
      <c r="BX48" s="3">
        <v>18.302603000000001</v>
      </c>
      <c r="BY48" s="3">
        <v>17.759758000000001</v>
      </c>
      <c r="BZ48" s="3">
        <v>15.208043999999999</v>
      </c>
      <c r="CA48" s="3">
        <v>16.776420999999999</v>
      </c>
      <c r="CB48" s="3">
        <v>15.261856999999999</v>
      </c>
      <c r="CC48" s="3">
        <v>18.14048</v>
      </c>
      <c r="CD48" s="3">
        <v>17.508773999999999</v>
      </c>
      <c r="CE48" s="3">
        <v>17.290697000000002</v>
      </c>
      <c r="CF48" s="3">
        <v>16.143328</v>
      </c>
      <c r="CG48" s="3">
        <v>16.719151</v>
      </c>
      <c r="CH48" s="3">
        <v>16.926552000000001</v>
      </c>
      <c r="CI48" s="3">
        <v>15.808483000000001</v>
      </c>
      <c r="CJ48" s="3">
        <v>16.994292999999999</v>
      </c>
      <c r="CK48" s="3">
        <v>16.438766000000001</v>
      </c>
      <c r="CL48" s="3">
        <v>17.369313999999999</v>
      </c>
      <c r="CM48" s="3">
        <v>15.142127</v>
      </c>
      <c r="CN48" s="3">
        <v>16.084633</v>
      </c>
      <c r="CO48" s="3">
        <v>15.298223</v>
      </c>
      <c r="CP48" s="3">
        <v>16.146685000000002</v>
      </c>
      <c r="CQ48" s="3">
        <v>14.002742</v>
      </c>
      <c r="CR48" s="3">
        <v>21.189450999999998</v>
      </c>
      <c r="CS48" s="3">
        <v>15.886464</v>
      </c>
      <c r="CT48" s="3">
        <v>16.171776000000001</v>
      </c>
      <c r="CU48" s="3">
        <v>15.525504</v>
      </c>
      <c r="CV48" s="3">
        <v>16.795560999999999</v>
      </c>
      <c r="CW48" s="3">
        <v>15.580712999999999</v>
      </c>
      <c r="CX48" s="3">
        <v>18.406970999999999</v>
      </c>
      <c r="CY48" s="3">
        <v>17.150615999999999</v>
      </c>
      <c r="CZ48" s="3">
        <v>15.203417</v>
      </c>
      <c r="DA48" s="3">
        <v>15.762276999999999</v>
      </c>
      <c r="DB48" s="3">
        <v>17.910924999999999</v>
      </c>
      <c r="DC48" s="3">
        <v>15.506774999999999</v>
      </c>
      <c r="DD48" s="3">
        <v>17.909839999999999</v>
      </c>
      <c r="DE48" s="3">
        <v>17.583825999999998</v>
      </c>
      <c r="DF48" s="3">
        <v>17.90476</v>
      </c>
      <c r="DG48" s="3">
        <v>14.462002</v>
      </c>
      <c r="DH48" s="3">
        <v>17.028016999999998</v>
      </c>
      <c r="DI48" s="3"/>
      <c r="DJ48" s="3"/>
      <c r="DK48" s="3"/>
      <c r="DL48" s="3"/>
      <c r="DM48" s="3"/>
      <c r="DN48" s="3"/>
      <c r="DO48" s="3"/>
      <c r="DP48" s="3"/>
      <c r="DQ48" s="3"/>
      <c r="DR48" s="3"/>
      <c r="DS48" s="3"/>
      <c r="DT48" s="3"/>
      <c r="DU48" s="3"/>
      <c r="DV48" s="3"/>
      <c r="DW48" s="3"/>
      <c r="DX48" s="3"/>
      <c r="DY48" s="3"/>
      <c r="DZ48" s="3"/>
      <c r="EA48" s="3"/>
      <c r="EB48" s="3"/>
      <c r="EC48" s="3"/>
      <c r="ED48" s="3"/>
      <c r="EE48" s="3"/>
      <c r="EF48" s="3"/>
      <c r="EG48" s="3"/>
      <c r="EH48" s="3"/>
      <c r="EI48" s="3"/>
      <c r="EJ48" s="3"/>
      <c r="EK48" s="3"/>
      <c r="EL48" s="3"/>
      <c r="EM48" s="3"/>
      <c r="EN48" s="3"/>
      <c r="EO48" s="3"/>
      <c r="EP48" s="3"/>
      <c r="EQ48" s="3"/>
      <c r="ER48" s="3"/>
      <c r="ES48" s="3"/>
      <c r="ET48" s="3"/>
      <c r="EU48" s="3"/>
      <c r="EV48" s="3"/>
      <c r="EW48" s="3"/>
      <c r="EX48" s="3"/>
      <c r="EY48" s="3"/>
      <c r="EZ48" s="3"/>
      <c r="FA48" s="3"/>
      <c r="FB48" s="3"/>
      <c r="FC48" s="3"/>
      <c r="FD48" s="3"/>
      <c r="FE48" s="3"/>
      <c r="FF48" s="3"/>
      <c r="FG48" s="3"/>
      <c r="FH48" s="3"/>
      <c r="FI48" s="3"/>
      <c r="FJ48" s="3"/>
      <c r="FK48" s="3"/>
      <c r="FL48" s="3"/>
      <c r="FM48" s="3"/>
      <c r="FN48" s="3"/>
      <c r="FO48" s="3"/>
      <c r="FP48" s="3"/>
      <c r="FQ48" s="3"/>
      <c r="FR48" s="3"/>
      <c r="FS48" s="3"/>
      <c r="FT48" s="3"/>
      <c r="FU48" s="3"/>
      <c r="FV48" s="3"/>
      <c r="FW48" s="3"/>
      <c r="FX48" s="3"/>
      <c r="FY48" s="3"/>
      <c r="FZ48" s="3"/>
      <c r="GA48" s="3"/>
      <c r="GB48" s="3"/>
      <c r="GC48" s="3"/>
      <c r="GD48" s="3"/>
      <c r="GE48" s="3"/>
      <c r="GF48" s="3"/>
      <c r="GG48" s="3"/>
      <c r="GH48" s="3"/>
      <c r="GI48" s="3"/>
      <c r="GJ48" s="3"/>
      <c r="GK48" s="3"/>
      <c r="GL48" s="3"/>
      <c r="GM48" s="3"/>
      <c r="GN48" s="3"/>
      <c r="GO48" s="3"/>
      <c r="GP48" s="3"/>
      <c r="GQ48" s="3"/>
      <c r="GR48" s="3"/>
      <c r="GS48" s="3"/>
      <c r="GT48" s="3"/>
      <c r="GU48" s="3"/>
      <c r="GV48" s="3"/>
      <c r="GW48" s="3"/>
      <c r="GX48" s="3"/>
    </row>
    <row r="49" spans="2:206" x14ac:dyDescent="0.2">
      <c r="G49" s="3"/>
      <c r="H49" s="3"/>
      <c r="I49" s="3"/>
      <c r="J49" s="3"/>
      <c r="K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J49" s="3"/>
      <c r="DK49" s="3"/>
      <c r="DL49" s="3"/>
      <c r="DM49" s="3"/>
      <c r="DN49" s="3"/>
      <c r="DO49" s="3"/>
      <c r="DP49" s="3"/>
      <c r="DQ49" s="3"/>
      <c r="DR49" s="3"/>
      <c r="DS49" s="3"/>
      <c r="DT49" s="3"/>
      <c r="DU49" s="3"/>
      <c r="DV49" s="3"/>
      <c r="DW49" s="3"/>
      <c r="DX49" s="3"/>
      <c r="DY49" s="3"/>
      <c r="DZ49" s="3"/>
      <c r="EA49" s="3"/>
      <c r="EB49" s="3"/>
      <c r="EC49" s="3"/>
      <c r="ED49" s="3"/>
      <c r="EE49" s="3"/>
      <c r="EF49" s="3"/>
      <c r="EG49" s="3"/>
      <c r="EH49" s="3"/>
      <c r="EI49" s="3"/>
      <c r="EJ49" s="3"/>
      <c r="EK49" s="3"/>
      <c r="EL49" s="3"/>
      <c r="EM49" s="3"/>
      <c r="EN49" s="3"/>
      <c r="EO49" s="3"/>
      <c r="EP49" s="3"/>
      <c r="EQ49" s="3"/>
      <c r="ER49" s="3"/>
      <c r="ES49" s="3"/>
      <c r="ET49" s="3"/>
      <c r="EU49" s="3"/>
      <c r="EV49" s="3"/>
      <c r="EW49" s="3"/>
      <c r="EX49" s="3"/>
      <c r="EY49" s="3"/>
      <c r="EZ49" s="3"/>
      <c r="FA49" s="3"/>
      <c r="FB49" s="3"/>
      <c r="FC49" s="3"/>
      <c r="FD49" s="3"/>
      <c r="FE49" s="3"/>
      <c r="FF49" s="3"/>
      <c r="FG49" s="3"/>
      <c r="FH49" s="3"/>
      <c r="FI49" s="3"/>
      <c r="FJ49" s="3"/>
      <c r="FK49" s="3"/>
      <c r="FL49" s="3"/>
      <c r="FM49" s="3"/>
      <c r="FN49" s="3"/>
      <c r="FO49" s="3"/>
      <c r="FP49" s="3"/>
      <c r="FQ49" s="3"/>
      <c r="FR49" s="3"/>
      <c r="FS49" s="3"/>
      <c r="FT49" s="3"/>
      <c r="FU49" s="3"/>
      <c r="FV49" s="3"/>
      <c r="FW49" s="3"/>
      <c r="FX49" s="3"/>
      <c r="FY49" s="3"/>
      <c r="FZ49" s="3"/>
      <c r="GA49" s="3"/>
      <c r="GB49" s="3"/>
      <c r="GC49" s="3"/>
      <c r="GD49" s="3"/>
      <c r="GE49" s="3"/>
      <c r="GF49" s="3"/>
      <c r="GG49" s="3"/>
      <c r="GH49" s="3"/>
      <c r="GI49" s="3"/>
      <c r="GJ49" s="3"/>
      <c r="GK49" s="3"/>
      <c r="GL49" s="3"/>
      <c r="GM49" s="3"/>
      <c r="GN49" s="3"/>
      <c r="GO49" s="3"/>
      <c r="GP49" s="3"/>
      <c r="GQ49" s="3"/>
      <c r="GR49" s="3"/>
      <c r="GS49" s="3"/>
      <c r="GT49" s="3"/>
      <c r="GU49" s="3"/>
      <c r="GV49" s="3"/>
      <c r="GW49" s="3"/>
      <c r="GX49" s="3"/>
    </row>
    <row r="50" spans="2:206" x14ac:dyDescent="0.2"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</row>
    <row r="51" spans="2:206" x14ac:dyDescent="0.2">
      <c r="D51" s="1"/>
    </row>
    <row r="52" spans="2:206" x14ac:dyDescent="0.2">
      <c r="D52" s="1"/>
    </row>
    <row r="53" spans="2:206" x14ac:dyDescent="0.2">
      <c r="B53" s="2"/>
      <c r="G53" s="3"/>
      <c r="H53" s="3"/>
      <c r="I53" s="3"/>
      <c r="J53" s="3"/>
      <c r="K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3"/>
      <c r="DS53" s="3"/>
      <c r="DT53" s="3"/>
      <c r="DU53" s="3"/>
      <c r="DV53" s="3"/>
      <c r="DW53" s="3"/>
      <c r="DX53" s="3"/>
      <c r="DY53" s="3"/>
      <c r="DZ53" s="3"/>
      <c r="EA53" s="3"/>
      <c r="EB53" s="3"/>
      <c r="EC53" s="3"/>
      <c r="ED53" s="3"/>
      <c r="EE53" s="3"/>
      <c r="EF53" s="3"/>
      <c r="EG53" s="3"/>
      <c r="EH53" s="3"/>
      <c r="EI53" s="3"/>
      <c r="EJ53" s="3"/>
      <c r="EK53" s="3"/>
      <c r="EL53" s="3"/>
      <c r="EM53" s="3"/>
      <c r="EN53" s="3"/>
      <c r="EO53" s="3"/>
      <c r="EP53" s="3"/>
      <c r="EQ53" s="3"/>
      <c r="ER53" s="3"/>
      <c r="ES53" s="3"/>
      <c r="ET53" s="3"/>
      <c r="EU53" s="3"/>
      <c r="EV53" s="3"/>
      <c r="EW53" s="3"/>
      <c r="EX53" s="3"/>
      <c r="EY53" s="3"/>
      <c r="EZ53" s="3"/>
      <c r="FA53" s="3"/>
      <c r="FB53" s="3"/>
      <c r="FC53" s="3"/>
      <c r="FD53" s="3"/>
      <c r="FE53" s="3"/>
      <c r="FF53" s="3"/>
      <c r="FG53" s="3"/>
      <c r="FH53" s="3"/>
      <c r="FI53" s="3"/>
      <c r="FJ53" s="3"/>
      <c r="FK53" s="3"/>
      <c r="FL53" s="3"/>
      <c r="FM53" s="3"/>
      <c r="FN53" s="3"/>
      <c r="FO53" s="3"/>
      <c r="FP53" s="3"/>
      <c r="FQ53" s="3"/>
      <c r="FR53" s="3"/>
      <c r="FS53" s="3"/>
      <c r="FT53" s="3"/>
      <c r="FU53" s="3"/>
      <c r="FV53" s="3"/>
      <c r="FW53" s="3"/>
      <c r="FX53" s="3"/>
      <c r="FY53" s="3"/>
      <c r="FZ53" s="3"/>
      <c r="GA53" s="3"/>
      <c r="GB53" s="3"/>
      <c r="GC53" s="3"/>
      <c r="GD53" s="3"/>
      <c r="GE53" s="3"/>
      <c r="GF53" s="3"/>
      <c r="GG53" s="3"/>
      <c r="GH53" s="3"/>
      <c r="GI53" s="3"/>
      <c r="GJ53" s="3"/>
      <c r="GK53" s="3"/>
      <c r="GL53" s="3"/>
      <c r="GM53" s="3"/>
      <c r="GN53" s="3"/>
      <c r="GO53" s="3"/>
      <c r="GP53" s="3"/>
      <c r="GQ53" s="3"/>
      <c r="GR53" s="3"/>
      <c r="GS53" s="3"/>
      <c r="GT53" s="3"/>
      <c r="GU53" s="3"/>
      <c r="GV53" s="3"/>
      <c r="GW53" s="3"/>
      <c r="GX53" s="3"/>
    </row>
    <row r="54" spans="2:206" x14ac:dyDescent="0.2">
      <c r="B54" s="2"/>
      <c r="G54" s="3"/>
      <c r="H54" s="3"/>
      <c r="I54" s="3"/>
      <c r="J54" s="3"/>
      <c r="K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  <c r="DO54" s="3"/>
      <c r="DP54" s="3"/>
      <c r="DQ54" s="3"/>
      <c r="DR54" s="3"/>
      <c r="DS54" s="3"/>
      <c r="DT54" s="3"/>
      <c r="DU54" s="3"/>
      <c r="DV54" s="3"/>
      <c r="DW54" s="3"/>
      <c r="DX54" s="3"/>
      <c r="DY54" s="3"/>
      <c r="DZ54" s="3"/>
      <c r="EA54" s="3"/>
      <c r="EB54" s="3"/>
      <c r="EC54" s="3"/>
      <c r="ED54" s="3"/>
      <c r="EE54" s="3"/>
      <c r="EF54" s="3"/>
      <c r="EG54" s="3"/>
      <c r="EH54" s="3"/>
      <c r="EI54" s="3"/>
      <c r="EJ54" s="3"/>
      <c r="EK54" s="3"/>
      <c r="EL54" s="3"/>
      <c r="EM54" s="3"/>
      <c r="EN54" s="3"/>
      <c r="EO54" s="3"/>
      <c r="EP54" s="3"/>
      <c r="EQ54" s="3"/>
      <c r="ER54" s="3"/>
      <c r="ES54" s="3"/>
      <c r="ET54" s="3"/>
      <c r="EU54" s="3"/>
      <c r="EV54" s="3"/>
      <c r="EW54" s="3"/>
      <c r="EX54" s="3"/>
      <c r="EY54" s="3"/>
      <c r="EZ54" s="3"/>
      <c r="FA54" s="3"/>
      <c r="FB54" s="3"/>
      <c r="FC54" s="3"/>
      <c r="FD54" s="3"/>
      <c r="FE54" s="3"/>
      <c r="FF54" s="3"/>
      <c r="FG54" s="3"/>
      <c r="FH54" s="3"/>
      <c r="FI54" s="3"/>
      <c r="FJ54" s="3"/>
      <c r="FK54" s="3"/>
      <c r="FL54" s="3"/>
      <c r="FM54" s="3"/>
      <c r="FN54" s="3"/>
      <c r="FO54" s="3"/>
      <c r="FP54" s="3"/>
      <c r="FQ54" s="3"/>
      <c r="FR54" s="3"/>
      <c r="FS54" s="3"/>
      <c r="FT54" s="3"/>
      <c r="FU54" s="3"/>
      <c r="FV54" s="3"/>
      <c r="FW54" s="3"/>
      <c r="FX54" s="3"/>
      <c r="FY54" s="3"/>
      <c r="FZ54" s="3"/>
      <c r="GA54" s="3"/>
      <c r="GB54" s="3"/>
      <c r="GC54" s="3"/>
      <c r="GD54" s="3"/>
      <c r="GE54" s="3"/>
      <c r="GF54" s="3"/>
      <c r="GG54" s="3"/>
      <c r="GH54" s="3"/>
      <c r="GI54" s="3"/>
      <c r="GJ54" s="3"/>
      <c r="GK54" s="3"/>
      <c r="GL54" s="3"/>
      <c r="GM54" s="3"/>
      <c r="GN54" s="3"/>
      <c r="GO54" s="3"/>
      <c r="GP54" s="3"/>
      <c r="GQ54" s="3"/>
      <c r="GR54" s="3"/>
      <c r="GS54" s="3"/>
      <c r="GT54" s="3"/>
      <c r="GU54" s="3"/>
      <c r="GV54" s="3"/>
      <c r="GW54" s="3"/>
      <c r="GX54" s="3"/>
    </row>
    <row r="55" spans="2:206" x14ac:dyDescent="0.2">
      <c r="B55" s="2"/>
      <c r="G55" s="3"/>
      <c r="H55" s="3"/>
      <c r="I55" s="3"/>
      <c r="J55" s="3"/>
      <c r="K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/>
      <c r="DT55" s="3"/>
      <c r="DU55" s="3"/>
      <c r="DV55" s="3"/>
      <c r="DW55" s="3"/>
      <c r="DX55" s="3"/>
      <c r="DY55" s="3"/>
      <c r="DZ55" s="3"/>
      <c r="EA55" s="3"/>
      <c r="EB55" s="3"/>
      <c r="EC55" s="3"/>
      <c r="ED55" s="3"/>
      <c r="EE55" s="3"/>
      <c r="EF55" s="3"/>
      <c r="EG55" s="3"/>
      <c r="EH55" s="3"/>
      <c r="EI55" s="3"/>
      <c r="EJ55" s="3"/>
      <c r="EK55" s="3"/>
      <c r="EL55" s="3"/>
      <c r="EM55" s="3"/>
      <c r="EN55" s="3"/>
      <c r="EO55" s="3"/>
      <c r="EP55" s="3"/>
      <c r="EQ55" s="3"/>
      <c r="ER55" s="3"/>
      <c r="ES55" s="3"/>
      <c r="ET55" s="3"/>
      <c r="EU55" s="3"/>
      <c r="EV55" s="3"/>
      <c r="EW55" s="3"/>
      <c r="EX55" s="3"/>
      <c r="EY55" s="3"/>
      <c r="EZ55" s="3"/>
      <c r="FA55" s="3"/>
      <c r="FB55" s="3"/>
      <c r="FC55" s="3"/>
      <c r="FD55" s="3"/>
      <c r="FE55" s="3"/>
      <c r="FF55" s="3"/>
      <c r="FG55" s="3"/>
      <c r="FH55" s="3"/>
      <c r="FI55" s="3"/>
      <c r="FJ55" s="3"/>
      <c r="FK55" s="3"/>
      <c r="FL55" s="3"/>
      <c r="FM55" s="3"/>
      <c r="FN55" s="3"/>
      <c r="FO55" s="3"/>
      <c r="FP55" s="3"/>
      <c r="FQ55" s="3"/>
      <c r="FR55" s="3"/>
      <c r="FS55" s="3"/>
      <c r="FT55" s="3"/>
      <c r="FU55" s="3"/>
      <c r="FV55" s="3"/>
      <c r="FW55" s="3"/>
      <c r="FX55" s="3"/>
      <c r="FY55" s="3"/>
      <c r="FZ55" s="3"/>
      <c r="GA55" s="3"/>
      <c r="GB55" s="3"/>
      <c r="GC55" s="3"/>
      <c r="GD55" s="3"/>
      <c r="GE55" s="3"/>
      <c r="GF55" s="3"/>
      <c r="GG55" s="3"/>
      <c r="GH55" s="3"/>
      <c r="GI55" s="3"/>
      <c r="GJ55" s="3"/>
      <c r="GK55" s="3"/>
      <c r="GL55" s="3"/>
      <c r="GM55" s="3"/>
      <c r="GN55" s="3"/>
      <c r="GO55" s="3"/>
      <c r="GP55" s="3"/>
      <c r="GQ55" s="3"/>
      <c r="GR55" s="3"/>
      <c r="GS55" s="3"/>
      <c r="GT55" s="3"/>
      <c r="GU55" s="3"/>
      <c r="GV55" s="3"/>
      <c r="GW55" s="3"/>
      <c r="GX55" s="3"/>
    </row>
    <row r="56" spans="2:206" x14ac:dyDescent="0.2">
      <c r="G56" s="3"/>
      <c r="H56" s="3"/>
      <c r="I56" s="3"/>
      <c r="J56" s="3"/>
      <c r="K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3"/>
      <c r="DP56" s="3"/>
      <c r="DQ56" s="3"/>
      <c r="DR56" s="3"/>
      <c r="DS56" s="3"/>
      <c r="DT56" s="3"/>
      <c r="DU56" s="3"/>
      <c r="DV56" s="3"/>
      <c r="DW56" s="3"/>
      <c r="DX56" s="3"/>
      <c r="DY56" s="3"/>
      <c r="DZ56" s="3"/>
      <c r="EA56" s="3"/>
      <c r="EB56" s="3"/>
      <c r="EC56" s="3"/>
      <c r="ED56" s="3"/>
      <c r="EE56" s="3"/>
      <c r="EF56" s="3"/>
      <c r="EG56" s="3"/>
      <c r="EH56" s="3"/>
      <c r="EI56" s="3"/>
      <c r="EJ56" s="3"/>
      <c r="EK56" s="3"/>
      <c r="EL56" s="3"/>
      <c r="EM56" s="3"/>
      <c r="EN56" s="3"/>
      <c r="EO56" s="3"/>
      <c r="EP56" s="3"/>
      <c r="EQ56" s="3"/>
      <c r="ER56" s="3"/>
      <c r="ES56" s="3"/>
      <c r="ET56" s="3"/>
      <c r="EU56" s="3"/>
      <c r="EV56" s="3"/>
      <c r="EW56" s="3"/>
      <c r="EX56" s="3"/>
      <c r="EY56" s="3"/>
      <c r="EZ56" s="3"/>
      <c r="FA56" s="3"/>
      <c r="FB56" s="3"/>
      <c r="FC56" s="3"/>
      <c r="FD56" s="3"/>
      <c r="FE56" s="3"/>
      <c r="FF56" s="3"/>
      <c r="FG56" s="3"/>
      <c r="FH56" s="3"/>
      <c r="FI56" s="3"/>
      <c r="FJ56" s="3"/>
      <c r="FK56" s="3"/>
      <c r="FL56" s="3"/>
      <c r="FM56" s="3"/>
      <c r="FN56" s="3"/>
      <c r="FO56" s="3"/>
      <c r="FP56" s="3"/>
      <c r="FQ56" s="3"/>
      <c r="FR56" s="3"/>
      <c r="FS56" s="3"/>
      <c r="FT56" s="3"/>
      <c r="FU56" s="3"/>
      <c r="FV56" s="3"/>
      <c r="FW56" s="3"/>
      <c r="FX56" s="3"/>
      <c r="FY56" s="3"/>
      <c r="FZ56" s="3"/>
      <c r="GA56" s="3"/>
      <c r="GB56" s="3"/>
      <c r="GC56" s="3"/>
      <c r="GD56" s="3"/>
      <c r="GE56" s="3"/>
      <c r="GF56" s="3"/>
      <c r="GG56" s="3"/>
      <c r="GH56" s="3"/>
      <c r="GI56" s="3"/>
      <c r="GJ56" s="3"/>
      <c r="GK56" s="3"/>
      <c r="GL56" s="3"/>
      <c r="GM56" s="3"/>
      <c r="GN56" s="3"/>
      <c r="GO56" s="3"/>
      <c r="GP56" s="3"/>
      <c r="GQ56" s="3"/>
      <c r="GR56" s="3"/>
      <c r="GS56" s="3"/>
      <c r="GT56" s="3"/>
      <c r="GU56" s="3"/>
      <c r="GV56" s="3"/>
      <c r="GW56" s="3"/>
      <c r="GX56" s="3"/>
    </row>
    <row r="57" spans="2:206" x14ac:dyDescent="0.2">
      <c r="G57" s="3"/>
      <c r="H57" s="3"/>
      <c r="I57" s="3"/>
      <c r="J57" s="3"/>
      <c r="K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  <c r="DS57" s="3"/>
      <c r="DT57" s="3"/>
      <c r="DU57" s="3"/>
      <c r="DV57" s="3"/>
      <c r="DW57" s="3"/>
      <c r="DX57" s="3"/>
      <c r="DY57" s="3"/>
      <c r="DZ57" s="3"/>
      <c r="EA57" s="3"/>
      <c r="EB57" s="3"/>
      <c r="EC57" s="3"/>
      <c r="ED57" s="3"/>
      <c r="EE57" s="3"/>
      <c r="EF57" s="3"/>
      <c r="EG57" s="3"/>
      <c r="EH57" s="3"/>
      <c r="EI57" s="3"/>
      <c r="EJ57" s="3"/>
      <c r="EK57" s="3"/>
      <c r="EL57" s="3"/>
      <c r="EM57" s="3"/>
      <c r="EN57" s="3"/>
      <c r="EO57" s="3"/>
      <c r="EP57" s="3"/>
      <c r="EQ57" s="3"/>
      <c r="ER57" s="3"/>
      <c r="ES57" s="3"/>
      <c r="ET57" s="3"/>
      <c r="EU57" s="3"/>
      <c r="EV57" s="3"/>
      <c r="EW57" s="3"/>
      <c r="EX57" s="3"/>
      <c r="EY57" s="3"/>
      <c r="EZ57" s="3"/>
      <c r="FA57" s="3"/>
      <c r="FB57" s="3"/>
      <c r="FC57" s="3"/>
      <c r="FD57" s="3"/>
      <c r="FE57" s="3"/>
      <c r="FF57" s="3"/>
      <c r="FG57" s="3"/>
      <c r="FH57" s="3"/>
      <c r="FI57" s="3"/>
      <c r="FJ57" s="3"/>
      <c r="FK57" s="3"/>
      <c r="FL57" s="3"/>
      <c r="FM57" s="3"/>
      <c r="FN57" s="3"/>
      <c r="FO57" s="3"/>
      <c r="FP57" s="3"/>
      <c r="FQ57" s="3"/>
      <c r="FR57" s="3"/>
      <c r="FS57" s="3"/>
      <c r="FT57" s="3"/>
      <c r="FU57" s="3"/>
      <c r="FV57" s="3"/>
      <c r="FW57" s="3"/>
      <c r="FX57" s="3"/>
      <c r="FY57" s="3"/>
      <c r="FZ57" s="3"/>
      <c r="GA57" s="3"/>
      <c r="GB57" s="3"/>
      <c r="GC57" s="3"/>
      <c r="GD57" s="3"/>
      <c r="GE57" s="3"/>
      <c r="GF57" s="3"/>
      <c r="GG57" s="3"/>
      <c r="GH57" s="3"/>
      <c r="GI57" s="3"/>
      <c r="GJ57" s="3"/>
      <c r="GK57" s="3"/>
      <c r="GL57" s="3"/>
      <c r="GM57" s="3"/>
      <c r="GN57" s="3"/>
      <c r="GO57" s="3"/>
      <c r="GP57" s="3"/>
      <c r="GQ57" s="3"/>
      <c r="GR57" s="3"/>
      <c r="GS57" s="3"/>
      <c r="GT57" s="3"/>
      <c r="GU57" s="3"/>
      <c r="GV57" s="3"/>
      <c r="GW57" s="3"/>
      <c r="GX57" s="3"/>
    </row>
    <row r="58" spans="2:206" x14ac:dyDescent="0.2">
      <c r="G58" s="3"/>
      <c r="H58" s="3"/>
      <c r="I58" s="3"/>
      <c r="J58" s="3"/>
      <c r="K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3"/>
      <c r="DP58" s="3"/>
      <c r="DQ58" s="3"/>
      <c r="DR58" s="3"/>
      <c r="DS58" s="3"/>
      <c r="DT58" s="3"/>
      <c r="DU58" s="3"/>
      <c r="DV58" s="3"/>
      <c r="DW58" s="3"/>
      <c r="DX58" s="3"/>
      <c r="DY58" s="3"/>
      <c r="DZ58" s="3"/>
      <c r="EA58" s="3"/>
      <c r="EB58" s="3"/>
      <c r="EC58" s="3"/>
      <c r="ED58" s="3"/>
      <c r="EE58" s="3"/>
      <c r="EF58" s="3"/>
      <c r="EG58" s="3"/>
      <c r="EH58" s="3"/>
      <c r="EI58" s="3"/>
      <c r="EJ58" s="3"/>
      <c r="EK58" s="3"/>
      <c r="EL58" s="3"/>
      <c r="EM58" s="3"/>
      <c r="EN58" s="3"/>
      <c r="EO58" s="3"/>
      <c r="EP58" s="3"/>
      <c r="EQ58" s="3"/>
      <c r="ER58" s="3"/>
      <c r="ES58" s="3"/>
      <c r="ET58" s="3"/>
      <c r="EU58" s="3"/>
      <c r="EV58" s="3"/>
      <c r="EW58" s="3"/>
      <c r="EX58" s="3"/>
      <c r="EY58" s="3"/>
      <c r="EZ58" s="3"/>
      <c r="FA58" s="3"/>
      <c r="FB58" s="3"/>
      <c r="FC58" s="3"/>
      <c r="FD58" s="3"/>
      <c r="FE58" s="3"/>
      <c r="FF58" s="3"/>
      <c r="FG58" s="3"/>
      <c r="FH58" s="3"/>
      <c r="FI58" s="3"/>
      <c r="FJ58" s="3"/>
      <c r="FK58" s="3"/>
      <c r="FL58" s="3"/>
      <c r="FM58" s="3"/>
      <c r="FN58" s="3"/>
      <c r="FO58" s="3"/>
      <c r="FP58" s="3"/>
      <c r="FQ58" s="3"/>
      <c r="FR58" s="3"/>
      <c r="FS58" s="3"/>
      <c r="FT58" s="3"/>
      <c r="FU58" s="3"/>
      <c r="FV58" s="3"/>
      <c r="FW58" s="3"/>
      <c r="FX58" s="3"/>
      <c r="FY58" s="3"/>
      <c r="FZ58" s="3"/>
      <c r="GA58" s="3"/>
      <c r="GB58" s="3"/>
      <c r="GC58" s="3"/>
      <c r="GD58" s="3"/>
      <c r="GE58" s="3"/>
      <c r="GF58" s="3"/>
      <c r="GG58" s="3"/>
      <c r="GH58" s="3"/>
      <c r="GI58" s="3"/>
      <c r="GJ58" s="3"/>
      <c r="GK58" s="3"/>
      <c r="GL58" s="3"/>
      <c r="GM58" s="3"/>
      <c r="GN58" s="3"/>
      <c r="GO58" s="3"/>
      <c r="GP58" s="3"/>
      <c r="GQ58" s="3"/>
      <c r="GR58" s="3"/>
      <c r="GS58" s="3"/>
      <c r="GT58" s="3"/>
      <c r="GU58" s="3"/>
      <c r="GV58" s="3"/>
      <c r="GW58" s="3"/>
      <c r="GX58" s="3"/>
    </row>
    <row r="59" spans="2:206" x14ac:dyDescent="0.2">
      <c r="G59" s="3"/>
      <c r="H59" s="3"/>
      <c r="I59" s="3"/>
      <c r="J59" s="3"/>
      <c r="K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  <c r="DR59" s="3"/>
      <c r="DS59" s="3"/>
      <c r="DT59" s="3"/>
      <c r="DU59" s="3"/>
      <c r="DV59" s="3"/>
      <c r="DW59" s="3"/>
      <c r="DX59" s="3"/>
      <c r="DY59" s="3"/>
      <c r="DZ59" s="3"/>
      <c r="EA59" s="3"/>
      <c r="EB59" s="3"/>
      <c r="EC59" s="3"/>
      <c r="ED59" s="3"/>
      <c r="EE59" s="3"/>
      <c r="EF59" s="3"/>
      <c r="EG59" s="3"/>
      <c r="EH59" s="3"/>
      <c r="EI59" s="3"/>
      <c r="EJ59" s="3"/>
      <c r="EK59" s="3"/>
      <c r="EL59" s="3"/>
      <c r="EM59" s="3"/>
      <c r="EN59" s="3"/>
      <c r="EO59" s="3"/>
      <c r="EP59" s="3"/>
      <c r="EQ59" s="3"/>
      <c r="ER59" s="3"/>
      <c r="ES59" s="3"/>
      <c r="ET59" s="3"/>
      <c r="EU59" s="3"/>
      <c r="EV59" s="3"/>
      <c r="EW59" s="3"/>
      <c r="EX59" s="3"/>
      <c r="EY59" s="3"/>
      <c r="EZ59" s="3"/>
      <c r="FA59" s="3"/>
      <c r="FB59" s="3"/>
      <c r="FC59" s="3"/>
      <c r="FD59" s="3"/>
      <c r="FE59" s="3"/>
      <c r="FF59" s="3"/>
      <c r="FG59" s="3"/>
      <c r="FH59" s="3"/>
      <c r="FI59" s="3"/>
      <c r="FJ59" s="3"/>
      <c r="FK59" s="3"/>
      <c r="FL59" s="3"/>
      <c r="FM59" s="3"/>
      <c r="FN59" s="3"/>
      <c r="FO59" s="3"/>
      <c r="FP59" s="3"/>
      <c r="FQ59" s="3"/>
      <c r="FR59" s="3"/>
      <c r="FS59" s="3"/>
      <c r="FT59" s="3"/>
      <c r="FU59" s="3"/>
      <c r="FV59" s="3"/>
      <c r="FW59" s="3"/>
      <c r="FX59" s="3"/>
      <c r="FY59" s="3"/>
      <c r="FZ59" s="3"/>
      <c r="GA59" s="3"/>
      <c r="GB59" s="3"/>
      <c r="GC59" s="3"/>
      <c r="GD59" s="3"/>
      <c r="GE59" s="3"/>
      <c r="GF59" s="3"/>
      <c r="GG59" s="3"/>
      <c r="GH59" s="3"/>
      <c r="GI59" s="3"/>
      <c r="GJ59" s="3"/>
      <c r="GK59" s="3"/>
      <c r="GL59" s="3"/>
      <c r="GM59" s="3"/>
      <c r="GN59" s="3"/>
      <c r="GO59" s="3"/>
      <c r="GP59" s="3"/>
      <c r="GQ59" s="3"/>
      <c r="GR59" s="3"/>
      <c r="GS59" s="3"/>
      <c r="GT59" s="3"/>
      <c r="GU59" s="3"/>
      <c r="GV59" s="3"/>
      <c r="GW59" s="3"/>
      <c r="GX59" s="3"/>
    </row>
    <row r="60" spans="2:206" x14ac:dyDescent="0.2">
      <c r="G60" s="3"/>
      <c r="H60" s="3"/>
      <c r="I60" s="3"/>
      <c r="J60" s="3"/>
      <c r="K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3"/>
      <c r="DP60" s="3"/>
      <c r="DQ60" s="3"/>
      <c r="DR60" s="3"/>
      <c r="DS60" s="3"/>
      <c r="DT60" s="3"/>
      <c r="DU60" s="3"/>
      <c r="DV60" s="3"/>
      <c r="DW60" s="3"/>
      <c r="DX60" s="3"/>
      <c r="DY60" s="3"/>
      <c r="DZ60" s="3"/>
      <c r="EA60" s="3"/>
      <c r="EB60" s="3"/>
      <c r="EC60" s="3"/>
      <c r="ED60" s="3"/>
      <c r="EE60" s="3"/>
      <c r="EF60" s="3"/>
      <c r="EG60" s="3"/>
      <c r="EH60" s="3"/>
      <c r="EI60" s="3"/>
      <c r="EJ60" s="3"/>
      <c r="EK60" s="3"/>
      <c r="EL60" s="3"/>
      <c r="EM60" s="3"/>
      <c r="EN60" s="3"/>
      <c r="EO60" s="3"/>
      <c r="EP60" s="3"/>
      <c r="EQ60" s="3"/>
      <c r="ER60" s="3"/>
      <c r="ES60" s="3"/>
      <c r="ET60" s="3"/>
      <c r="EU60" s="3"/>
      <c r="EV60" s="3"/>
      <c r="EW60" s="3"/>
      <c r="EX60" s="3"/>
      <c r="EY60" s="3"/>
      <c r="EZ60" s="3"/>
      <c r="FA60" s="3"/>
      <c r="FB60" s="3"/>
      <c r="FC60" s="3"/>
      <c r="FD60" s="3"/>
      <c r="FE60" s="3"/>
      <c r="FF60" s="3"/>
      <c r="FG60" s="3"/>
      <c r="FH60" s="3"/>
      <c r="FI60" s="3"/>
      <c r="FJ60" s="3"/>
      <c r="FK60" s="3"/>
      <c r="FL60" s="3"/>
      <c r="FM60" s="3"/>
      <c r="FN60" s="3"/>
      <c r="FO60" s="3"/>
      <c r="FP60" s="3"/>
      <c r="FQ60" s="3"/>
      <c r="FR60" s="3"/>
      <c r="FS60" s="3"/>
      <c r="FT60" s="3"/>
      <c r="FU60" s="3"/>
      <c r="FV60" s="3"/>
      <c r="FW60" s="3"/>
      <c r="FX60" s="3"/>
      <c r="FY60" s="3"/>
      <c r="FZ60" s="3"/>
      <c r="GA60" s="3"/>
      <c r="GB60" s="3"/>
      <c r="GC60" s="3"/>
      <c r="GD60" s="3"/>
      <c r="GE60" s="3"/>
      <c r="GF60" s="3"/>
      <c r="GG60" s="3"/>
      <c r="GH60" s="3"/>
      <c r="GI60" s="3"/>
      <c r="GJ60" s="3"/>
      <c r="GK60" s="3"/>
      <c r="GL60" s="3"/>
      <c r="GM60" s="3"/>
      <c r="GN60" s="3"/>
      <c r="GO60" s="3"/>
      <c r="GP60" s="3"/>
      <c r="GQ60" s="3"/>
      <c r="GR60" s="3"/>
      <c r="GS60" s="3"/>
      <c r="GT60" s="3"/>
      <c r="GU60" s="3"/>
      <c r="GV60" s="3"/>
      <c r="GW60" s="3"/>
      <c r="GX60" s="3"/>
    </row>
    <row r="61" spans="2:206" x14ac:dyDescent="0.2">
      <c r="G61" s="3"/>
      <c r="H61" s="3"/>
      <c r="I61" s="3"/>
      <c r="J61" s="3"/>
      <c r="K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3"/>
      <c r="DP61" s="3"/>
      <c r="DQ61" s="3"/>
      <c r="DR61" s="3"/>
      <c r="DS61" s="3"/>
      <c r="DT61" s="3"/>
      <c r="DU61" s="3"/>
      <c r="DV61" s="3"/>
      <c r="DW61" s="3"/>
      <c r="DX61" s="3"/>
      <c r="DY61" s="3"/>
      <c r="DZ61" s="3"/>
      <c r="EA61" s="3"/>
      <c r="EB61" s="3"/>
      <c r="EC61" s="3"/>
      <c r="ED61" s="3"/>
      <c r="EE61" s="3"/>
      <c r="EF61" s="3"/>
      <c r="EG61" s="3"/>
      <c r="EH61" s="3"/>
      <c r="EI61" s="3"/>
      <c r="EJ61" s="3"/>
      <c r="EK61" s="3"/>
      <c r="EL61" s="3"/>
      <c r="EM61" s="3"/>
      <c r="EN61" s="3"/>
      <c r="EO61" s="3"/>
      <c r="EP61" s="3"/>
      <c r="EQ61" s="3"/>
      <c r="ER61" s="3"/>
      <c r="ES61" s="3"/>
      <c r="ET61" s="3"/>
      <c r="EU61" s="3"/>
      <c r="EV61" s="3"/>
      <c r="EW61" s="3"/>
      <c r="EX61" s="3"/>
      <c r="EY61" s="3"/>
      <c r="EZ61" s="3"/>
      <c r="FA61" s="3"/>
      <c r="FB61" s="3"/>
      <c r="FC61" s="3"/>
      <c r="FD61" s="3"/>
      <c r="FE61" s="3"/>
      <c r="FF61" s="3"/>
      <c r="FG61" s="3"/>
      <c r="FH61" s="3"/>
      <c r="FI61" s="3"/>
      <c r="FJ61" s="3"/>
      <c r="FK61" s="3"/>
      <c r="FL61" s="3"/>
      <c r="FM61" s="3"/>
      <c r="FN61" s="3"/>
      <c r="FO61" s="3"/>
      <c r="FP61" s="3"/>
      <c r="FQ61" s="3"/>
      <c r="FR61" s="3"/>
      <c r="FS61" s="3"/>
      <c r="FT61" s="3"/>
      <c r="FU61" s="3"/>
      <c r="FV61" s="3"/>
      <c r="FW61" s="3"/>
      <c r="FX61" s="3"/>
      <c r="FY61" s="3"/>
      <c r="FZ61" s="3"/>
      <c r="GA61" s="3"/>
      <c r="GB61" s="3"/>
      <c r="GC61" s="3"/>
      <c r="GD61" s="3"/>
      <c r="GE61" s="3"/>
      <c r="GF61" s="3"/>
      <c r="GG61" s="3"/>
      <c r="GH61" s="3"/>
      <c r="GI61" s="3"/>
      <c r="GJ61" s="3"/>
      <c r="GK61" s="3"/>
      <c r="GL61" s="3"/>
      <c r="GM61" s="3"/>
      <c r="GN61" s="3"/>
      <c r="GO61" s="3"/>
      <c r="GP61" s="3"/>
      <c r="GQ61" s="3"/>
      <c r="GR61" s="3"/>
      <c r="GS61" s="3"/>
      <c r="GT61" s="3"/>
      <c r="GU61" s="3"/>
      <c r="GV61" s="3"/>
      <c r="GW61" s="3"/>
      <c r="GX61" s="3"/>
    </row>
    <row r="62" spans="2:206" x14ac:dyDescent="0.2">
      <c r="G62" s="3"/>
      <c r="H62" s="3"/>
      <c r="I62" s="3"/>
      <c r="J62" s="3"/>
      <c r="K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3"/>
      <c r="DP62" s="3"/>
      <c r="DQ62" s="3"/>
      <c r="DR62" s="3"/>
      <c r="DS62" s="3"/>
      <c r="DT62" s="3"/>
      <c r="DU62" s="3"/>
      <c r="DV62" s="3"/>
      <c r="DW62" s="3"/>
      <c r="DX62" s="3"/>
      <c r="DY62" s="3"/>
      <c r="DZ62" s="3"/>
      <c r="EA62" s="3"/>
      <c r="EB62" s="3"/>
      <c r="EC62" s="3"/>
      <c r="ED62" s="3"/>
      <c r="EE62" s="3"/>
      <c r="EF62" s="3"/>
      <c r="EG62" s="3"/>
      <c r="EH62" s="3"/>
      <c r="EI62" s="3"/>
      <c r="EJ62" s="3"/>
      <c r="EK62" s="3"/>
      <c r="EL62" s="3"/>
      <c r="EM62" s="3"/>
      <c r="EN62" s="3"/>
      <c r="EO62" s="3"/>
      <c r="EP62" s="3"/>
      <c r="EQ62" s="3"/>
      <c r="ER62" s="3"/>
      <c r="ES62" s="3"/>
      <c r="ET62" s="3"/>
      <c r="EU62" s="3"/>
      <c r="EV62" s="3"/>
      <c r="EW62" s="3"/>
      <c r="EX62" s="3"/>
      <c r="EY62" s="3"/>
      <c r="EZ62" s="3"/>
      <c r="FA62" s="3"/>
      <c r="FB62" s="3"/>
      <c r="FC62" s="3"/>
      <c r="FD62" s="3"/>
      <c r="FE62" s="3"/>
      <c r="FF62" s="3"/>
      <c r="FG62" s="3"/>
      <c r="FH62" s="3"/>
      <c r="FI62" s="3"/>
      <c r="FJ62" s="3"/>
      <c r="FK62" s="3"/>
      <c r="FL62" s="3"/>
      <c r="FM62" s="3"/>
      <c r="FN62" s="3"/>
      <c r="FO62" s="3"/>
      <c r="FP62" s="3"/>
      <c r="FQ62" s="3"/>
      <c r="FR62" s="3"/>
      <c r="FS62" s="3"/>
      <c r="FT62" s="3"/>
      <c r="FU62" s="3"/>
      <c r="FV62" s="3"/>
      <c r="FW62" s="3"/>
      <c r="FX62" s="3"/>
      <c r="FY62" s="3"/>
      <c r="FZ62" s="3"/>
      <c r="GA62" s="3"/>
      <c r="GB62" s="3"/>
      <c r="GC62" s="3"/>
      <c r="GD62" s="3"/>
      <c r="GE62" s="3"/>
      <c r="GF62" s="3"/>
      <c r="GG62" s="3"/>
      <c r="GH62" s="3"/>
      <c r="GI62" s="3"/>
      <c r="GJ62" s="3"/>
      <c r="GK62" s="3"/>
      <c r="GL62" s="3"/>
      <c r="GM62" s="3"/>
      <c r="GN62" s="3"/>
      <c r="GO62" s="3"/>
      <c r="GP62" s="3"/>
      <c r="GQ62" s="3"/>
      <c r="GR62" s="3"/>
      <c r="GS62" s="3"/>
      <c r="GT62" s="3"/>
      <c r="GU62" s="3"/>
      <c r="GV62" s="3"/>
      <c r="GW62" s="3"/>
      <c r="GX62" s="3"/>
    </row>
    <row r="63" spans="2:206" x14ac:dyDescent="0.2">
      <c r="G63" s="3"/>
      <c r="H63" s="3"/>
      <c r="I63" s="3"/>
      <c r="J63" s="3"/>
      <c r="K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3"/>
      <c r="DP63" s="3"/>
      <c r="DQ63" s="3"/>
      <c r="DR63" s="3"/>
      <c r="DS63" s="3"/>
      <c r="DT63" s="3"/>
      <c r="DU63" s="3"/>
      <c r="DV63" s="3"/>
      <c r="DW63" s="3"/>
      <c r="DX63" s="3"/>
      <c r="DY63" s="3"/>
      <c r="DZ63" s="3"/>
      <c r="EA63" s="3"/>
      <c r="EB63" s="3"/>
      <c r="EC63" s="3"/>
      <c r="ED63" s="3"/>
      <c r="EE63" s="3"/>
      <c r="EF63" s="3"/>
      <c r="EG63" s="3"/>
      <c r="EH63" s="3"/>
      <c r="EI63" s="3"/>
      <c r="EJ63" s="3"/>
      <c r="EK63" s="3"/>
      <c r="EL63" s="3"/>
      <c r="EM63" s="3"/>
      <c r="EN63" s="3"/>
      <c r="EO63" s="3"/>
      <c r="EP63" s="3"/>
      <c r="EQ63" s="3"/>
      <c r="ER63" s="3"/>
      <c r="ES63" s="3"/>
      <c r="ET63" s="3"/>
      <c r="EU63" s="3"/>
      <c r="EV63" s="3"/>
      <c r="EW63" s="3"/>
      <c r="EX63" s="3"/>
      <c r="EY63" s="3"/>
      <c r="EZ63" s="3"/>
      <c r="FA63" s="3"/>
      <c r="FB63" s="3"/>
      <c r="FC63" s="3"/>
      <c r="FD63" s="3"/>
      <c r="FE63" s="3"/>
      <c r="FF63" s="3"/>
      <c r="FG63" s="3"/>
      <c r="FH63" s="3"/>
      <c r="FI63" s="3"/>
      <c r="FJ63" s="3"/>
      <c r="FK63" s="3"/>
      <c r="FL63" s="3"/>
      <c r="FM63" s="3"/>
      <c r="FN63" s="3"/>
      <c r="FO63" s="3"/>
      <c r="FP63" s="3"/>
      <c r="FQ63" s="3"/>
      <c r="FR63" s="3"/>
      <c r="FS63" s="3"/>
      <c r="FT63" s="3"/>
      <c r="FU63" s="3"/>
      <c r="FV63" s="3"/>
      <c r="FW63" s="3"/>
      <c r="FX63" s="3"/>
      <c r="FY63" s="3"/>
      <c r="FZ63" s="3"/>
      <c r="GA63" s="3"/>
      <c r="GB63" s="3"/>
      <c r="GC63" s="3"/>
      <c r="GD63" s="3"/>
      <c r="GE63" s="3"/>
      <c r="GF63" s="3"/>
      <c r="GG63" s="3"/>
      <c r="GH63" s="3"/>
      <c r="GI63" s="3"/>
      <c r="GJ63" s="3"/>
      <c r="GK63" s="3"/>
      <c r="GL63" s="3"/>
      <c r="GM63" s="3"/>
      <c r="GN63" s="3"/>
      <c r="GO63" s="3"/>
      <c r="GP63" s="3"/>
      <c r="GQ63" s="3"/>
      <c r="GR63" s="3"/>
      <c r="GS63" s="3"/>
      <c r="GT63" s="3"/>
      <c r="GU63" s="3"/>
      <c r="GV63" s="3"/>
      <c r="GW63" s="3"/>
      <c r="GX63" s="3"/>
    </row>
    <row r="64" spans="2:206" x14ac:dyDescent="0.2">
      <c r="G64" s="3"/>
      <c r="H64" s="3"/>
      <c r="I64" s="3"/>
      <c r="J64" s="3"/>
      <c r="K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  <c r="DN64" s="3"/>
      <c r="DO64" s="3"/>
      <c r="DP64" s="3"/>
      <c r="DQ64" s="3"/>
      <c r="DR64" s="3"/>
      <c r="DS64" s="3"/>
      <c r="DT64" s="3"/>
      <c r="DU64" s="3"/>
      <c r="DV64" s="3"/>
      <c r="DW64" s="3"/>
      <c r="DX64" s="3"/>
      <c r="DY64" s="3"/>
      <c r="DZ64" s="3"/>
      <c r="EA64" s="3"/>
      <c r="EB64" s="3"/>
      <c r="EC64" s="3"/>
      <c r="ED64" s="3"/>
      <c r="EE64" s="3"/>
      <c r="EF64" s="3"/>
      <c r="EG64" s="3"/>
      <c r="EH64" s="3"/>
      <c r="EI64" s="3"/>
      <c r="EJ64" s="3"/>
      <c r="EK64" s="3"/>
      <c r="EL64" s="3"/>
      <c r="EM64" s="3"/>
      <c r="EN64" s="3"/>
      <c r="EO64" s="3"/>
      <c r="EP64" s="3"/>
      <c r="EQ64" s="3"/>
      <c r="ER64" s="3"/>
      <c r="ES64" s="3"/>
      <c r="ET64" s="3"/>
      <c r="EU64" s="3"/>
      <c r="EV64" s="3"/>
      <c r="EW64" s="3"/>
      <c r="EX64" s="3"/>
      <c r="EY64" s="3"/>
      <c r="EZ64" s="3"/>
      <c r="FA64" s="3"/>
      <c r="FB64" s="3"/>
      <c r="FC64" s="3"/>
      <c r="FD64" s="3"/>
      <c r="FE64" s="3"/>
      <c r="FF64" s="3"/>
      <c r="FG64" s="3"/>
      <c r="FH64" s="3"/>
      <c r="FI64" s="3"/>
      <c r="FJ64" s="3"/>
      <c r="FK64" s="3"/>
      <c r="FL64" s="3"/>
      <c r="FM64" s="3"/>
      <c r="FN64" s="3"/>
      <c r="FO64" s="3"/>
      <c r="FP64" s="3"/>
      <c r="FQ64" s="3"/>
      <c r="FR64" s="3"/>
      <c r="FS64" s="3"/>
      <c r="FT64" s="3"/>
      <c r="FU64" s="3"/>
      <c r="FV64" s="3"/>
      <c r="FW64" s="3"/>
      <c r="FX64" s="3"/>
      <c r="FY64" s="3"/>
      <c r="FZ64" s="3"/>
      <c r="GA64" s="3"/>
      <c r="GB64" s="3"/>
      <c r="GC64" s="3"/>
      <c r="GD64" s="3"/>
      <c r="GE64" s="3"/>
      <c r="GF64" s="3"/>
      <c r="GG64" s="3"/>
      <c r="GH64" s="3"/>
      <c r="GI64" s="3"/>
      <c r="GJ64" s="3"/>
      <c r="GK64" s="3"/>
      <c r="GL64" s="3"/>
      <c r="GM64" s="3"/>
      <c r="GN64" s="3"/>
      <c r="GO64" s="3"/>
      <c r="GP64" s="3"/>
      <c r="GQ64" s="3"/>
      <c r="GR64" s="3"/>
      <c r="GS64" s="3"/>
      <c r="GT64" s="3"/>
      <c r="GU64" s="3"/>
      <c r="GV64" s="3"/>
      <c r="GW64" s="3"/>
      <c r="GX64" s="3"/>
    </row>
    <row r="65" spans="2:206" x14ac:dyDescent="0.2">
      <c r="G65" s="3"/>
      <c r="H65" s="3"/>
      <c r="I65" s="3"/>
      <c r="J65" s="3"/>
      <c r="K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  <c r="DO65" s="3"/>
      <c r="DP65" s="3"/>
      <c r="DQ65" s="3"/>
      <c r="DR65" s="3"/>
      <c r="DS65" s="3"/>
      <c r="DT65" s="3"/>
      <c r="DU65" s="3"/>
      <c r="DV65" s="3"/>
      <c r="DW65" s="3"/>
      <c r="DX65" s="3"/>
      <c r="DY65" s="3"/>
      <c r="DZ65" s="3"/>
      <c r="EA65" s="3"/>
      <c r="EB65" s="3"/>
      <c r="EC65" s="3"/>
      <c r="ED65" s="3"/>
      <c r="EE65" s="3"/>
      <c r="EF65" s="3"/>
      <c r="EG65" s="3"/>
      <c r="EH65" s="3"/>
      <c r="EI65" s="3"/>
      <c r="EJ65" s="3"/>
      <c r="EK65" s="3"/>
      <c r="EL65" s="3"/>
      <c r="EM65" s="3"/>
      <c r="EN65" s="3"/>
      <c r="EO65" s="3"/>
      <c r="EP65" s="3"/>
      <c r="EQ65" s="3"/>
      <c r="ER65" s="3"/>
      <c r="ES65" s="3"/>
      <c r="ET65" s="3"/>
      <c r="EU65" s="3"/>
      <c r="EV65" s="3"/>
      <c r="EW65" s="3"/>
      <c r="EX65" s="3"/>
      <c r="EY65" s="3"/>
      <c r="EZ65" s="3"/>
      <c r="FA65" s="3"/>
      <c r="FB65" s="3"/>
      <c r="FC65" s="3"/>
      <c r="FD65" s="3"/>
      <c r="FE65" s="3"/>
      <c r="FF65" s="3"/>
      <c r="FG65" s="3"/>
      <c r="FH65" s="3"/>
      <c r="FI65" s="3"/>
      <c r="FJ65" s="3"/>
      <c r="FK65" s="3"/>
      <c r="FL65" s="3"/>
      <c r="FM65" s="3"/>
      <c r="FN65" s="3"/>
      <c r="FO65" s="3"/>
      <c r="FP65" s="3"/>
      <c r="FQ65" s="3"/>
      <c r="FR65" s="3"/>
      <c r="FS65" s="3"/>
      <c r="FT65" s="3"/>
      <c r="FU65" s="3"/>
      <c r="FV65" s="3"/>
      <c r="FW65" s="3"/>
      <c r="FX65" s="3"/>
      <c r="FY65" s="3"/>
      <c r="FZ65" s="3"/>
      <c r="GA65" s="3"/>
      <c r="GB65" s="3"/>
      <c r="GC65" s="3"/>
      <c r="GD65" s="3"/>
      <c r="GE65" s="3"/>
      <c r="GF65" s="3"/>
      <c r="GG65" s="3"/>
      <c r="GH65" s="3"/>
      <c r="GI65" s="3"/>
      <c r="GJ65" s="3"/>
      <c r="GK65" s="3"/>
      <c r="GL65" s="3"/>
      <c r="GM65" s="3"/>
      <c r="GN65" s="3"/>
      <c r="GO65" s="3"/>
      <c r="GP65" s="3"/>
      <c r="GQ65" s="3"/>
      <c r="GR65" s="3"/>
      <c r="GS65" s="3"/>
      <c r="GT65" s="3"/>
      <c r="GU65" s="3"/>
      <c r="GV65" s="3"/>
      <c r="GW65" s="3"/>
      <c r="GX65" s="3"/>
    </row>
    <row r="66" spans="2:206" x14ac:dyDescent="0.2">
      <c r="G66" s="3"/>
      <c r="H66" s="3"/>
      <c r="I66" s="3"/>
      <c r="J66" s="3"/>
      <c r="K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  <c r="DN66" s="3"/>
      <c r="DO66" s="3"/>
      <c r="DP66" s="3"/>
      <c r="DQ66" s="3"/>
      <c r="DR66" s="3"/>
      <c r="DS66" s="3"/>
      <c r="DT66" s="3"/>
      <c r="DU66" s="3"/>
      <c r="DV66" s="3"/>
      <c r="DW66" s="3"/>
      <c r="DX66" s="3"/>
      <c r="DY66" s="3"/>
      <c r="DZ66" s="3"/>
      <c r="EA66" s="3"/>
      <c r="EB66" s="3"/>
      <c r="EC66" s="3"/>
      <c r="ED66" s="3"/>
      <c r="EE66" s="3"/>
      <c r="EF66" s="3"/>
      <c r="EG66" s="3"/>
      <c r="EH66" s="3"/>
      <c r="EI66" s="3"/>
      <c r="EJ66" s="3"/>
      <c r="EK66" s="3"/>
      <c r="EL66" s="3"/>
      <c r="EM66" s="3"/>
      <c r="EN66" s="3"/>
      <c r="EO66" s="3"/>
      <c r="EP66" s="3"/>
      <c r="EQ66" s="3"/>
      <c r="ER66" s="3"/>
      <c r="ES66" s="3"/>
      <c r="ET66" s="3"/>
      <c r="EU66" s="3"/>
      <c r="EV66" s="3"/>
      <c r="EW66" s="3"/>
      <c r="EX66" s="3"/>
      <c r="EY66" s="3"/>
      <c r="EZ66" s="3"/>
      <c r="FA66" s="3"/>
      <c r="FB66" s="3"/>
      <c r="FC66" s="3"/>
      <c r="FD66" s="3"/>
      <c r="FE66" s="3"/>
      <c r="FF66" s="3"/>
      <c r="FG66" s="3"/>
      <c r="FH66" s="3"/>
      <c r="FI66" s="3"/>
      <c r="FJ66" s="3"/>
      <c r="FK66" s="3"/>
      <c r="FL66" s="3"/>
      <c r="FM66" s="3"/>
      <c r="FN66" s="3"/>
      <c r="FO66" s="3"/>
      <c r="FP66" s="3"/>
      <c r="FQ66" s="3"/>
      <c r="FR66" s="3"/>
      <c r="FS66" s="3"/>
      <c r="FT66" s="3"/>
      <c r="FU66" s="3"/>
      <c r="FV66" s="3"/>
      <c r="FW66" s="3"/>
      <c r="FX66" s="3"/>
      <c r="FY66" s="3"/>
      <c r="FZ66" s="3"/>
      <c r="GA66" s="3"/>
      <c r="GB66" s="3"/>
      <c r="GC66" s="3"/>
      <c r="GD66" s="3"/>
      <c r="GE66" s="3"/>
      <c r="GF66" s="3"/>
      <c r="GG66" s="3"/>
      <c r="GH66" s="3"/>
      <c r="GI66" s="3"/>
      <c r="GJ66" s="3"/>
      <c r="GK66" s="3"/>
      <c r="GL66" s="3"/>
      <c r="GM66" s="3"/>
      <c r="GN66" s="3"/>
      <c r="GO66" s="3"/>
      <c r="GP66" s="3"/>
      <c r="GQ66" s="3"/>
      <c r="GR66" s="3"/>
      <c r="GS66" s="3"/>
      <c r="GT66" s="3"/>
      <c r="GU66" s="3"/>
      <c r="GV66" s="3"/>
      <c r="GW66" s="3"/>
      <c r="GX66" s="3"/>
    </row>
    <row r="67" spans="2:206" x14ac:dyDescent="0.2"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</row>
    <row r="68" spans="2:206" x14ac:dyDescent="0.2"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</row>
    <row r="70" spans="2:206" x14ac:dyDescent="0.2">
      <c r="D70" s="1"/>
    </row>
    <row r="71" spans="2:206" x14ac:dyDescent="0.2">
      <c r="B71" s="2"/>
      <c r="G71" s="3"/>
      <c r="H71" s="3"/>
      <c r="I71" s="3"/>
      <c r="J71" s="3"/>
      <c r="K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  <c r="FX71" s="3"/>
      <c r="FY71" s="3"/>
      <c r="FZ71" s="3"/>
      <c r="GA71" s="3"/>
      <c r="GB71" s="3"/>
      <c r="GC71" s="3"/>
      <c r="GD71" s="3"/>
      <c r="GE71" s="3"/>
      <c r="GF71" s="3"/>
      <c r="GG71" s="3"/>
      <c r="GH71" s="3"/>
      <c r="GI71" s="3"/>
      <c r="GJ71" s="3"/>
      <c r="GK71" s="3"/>
      <c r="GL71" s="3"/>
      <c r="GM71" s="3"/>
      <c r="GN71" s="3"/>
      <c r="GO71" s="3"/>
      <c r="GP71" s="3"/>
      <c r="GQ71" s="3"/>
      <c r="GR71" s="3"/>
      <c r="GS71" s="3"/>
      <c r="GT71" s="3"/>
      <c r="GU71" s="3"/>
      <c r="GV71" s="3"/>
      <c r="GW71" s="3"/>
      <c r="GX71" s="3"/>
    </row>
    <row r="72" spans="2:206" x14ac:dyDescent="0.2">
      <c r="B72" s="2"/>
      <c r="G72" s="3"/>
      <c r="H72" s="3"/>
      <c r="I72" s="3"/>
      <c r="J72" s="3"/>
      <c r="K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  <c r="FZ72" s="3"/>
      <c r="GA72" s="3"/>
      <c r="GB72" s="3"/>
      <c r="GC72" s="3"/>
      <c r="GD72" s="3"/>
      <c r="GE72" s="3"/>
      <c r="GF72" s="3"/>
      <c r="GG72" s="3"/>
      <c r="GH72" s="3"/>
      <c r="GI72" s="3"/>
      <c r="GJ72" s="3"/>
      <c r="GK72" s="3"/>
      <c r="GL72" s="3"/>
      <c r="GM72" s="3"/>
      <c r="GN72" s="3"/>
      <c r="GO72" s="3"/>
      <c r="GP72" s="3"/>
      <c r="GQ72" s="3"/>
      <c r="GR72" s="3"/>
      <c r="GS72" s="3"/>
      <c r="GT72" s="3"/>
      <c r="GU72" s="3"/>
      <c r="GV72" s="3"/>
      <c r="GW72" s="3"/>
      <c r="GX72" s="3"/>
    </row>
    <row r="73" spans="2:206" x14ac:dyDescent="0.2">
      <c r="B73" s="2"/>
      <c r="G73" s="3"/>
      <c r="H73" s="3"/>
      <c r="I73" s="3"/>
      <c r="J73" s="3"/>
      <c r="K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  <c r="FX73" s="3"/>
      <c r="FY73" s="3"/>
      <c r="FZ73" s="3"/>
      <c r="GA73" s="3"/>
      <c r="GB73" s="3"/>
      <c r="GC73" s="3"/>
      <c r="GD73" s="3"/>
      <c r="GE73" s="3"/>
      <c r="GF73" s="3"/>
      <c r="GG73" s="3"/>
      <c r="GH73" s="3"/>
      <c r="GI73" s="3"/>
      <c r="GJ73" s="3"/>
      <c r="GK73" s="3"/>
      <c r="GL73" s="3"/>
      <c r="GM73" s="3"/>
      <c r="GN73" s="3"/>
      <c r="GO73" s="3"/>
      <c r="GP73" s="3"/>
      <c r="GQ73" s="3"/>
      <c r="GR73" s="3"/>
      <c r="GS73" s="3"/>
      <c r="GT73" s="3"/>
      <c r="GU73" s="3"/>
      <c r="GV73" s="3"/>
      <c r="GW73" s="3"/>
      <c r="GX73" s="3"/>
    </row>
    <row r="74" spans="2:206" x14ac:dyDescent="0.2">
      <c r="G74" s="3"/>
      <c r="H74" s="3"/>
      <c r="I74" s="3"/>
      <c r="J74" s="3"/>
      <c r="K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3"/>
      <c r="GA74" s="3"/>
      <c r="GB74" s="3"/>
      <c r="GC74" s="3"/>
      <c r="GD74" s="3"/>
      <c r="GE74" s="3"/>
      <c r="GF74" s="3"/>
      <c r="GG74" s="3"/>
      <c r="GH74" s="3"/>
      <c r="GI74" s="3"/>
      <c r="GJ74" s="3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</row>
    <row r="75" spans="2:206" x14ac:dyDescent="0.2">
      <c r="G75" s="3"/>
      <c r="H75" s="3"/>
      <c r="I75" s="3"/>
      <c r="J75" s="3"/>
      <c r="K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/>
      <c r="GF75" s="3"/>
      <c r="GG75" s="3"/>
      <c r="GH75" s="3"/>
      <c r="GI75" s="3"/>
      <c r="GJ75" s="3"/>
      <c r="GK75" s="3"/>
      <c r="GL75" s="3"/>
      <c r="GM75" s="3"/>
      <c r="GN75" s="3"/>
      <c r="GO75" s="3"/>
      <c r="GP75" s="3"/>
      <c r="GQ75" s="3"/>
      <c r="GR75" s="3"/>
      <c r="GS75" s="3"/>
      <c r="GT75" s="3"/>
      <c r="GU75" s="3"/>
      <c r="GV75" s="3"/>
      <c r="GW75" s="3"/>
      <c r="GX75" s="3"/>
    </row>
    <row r="76" spans="2:206" x14ac:dyDescent="0.2">
      <c r="G76" s="3"/>
      <c r="H76" s="3"/>
      <c r="I76" s="3"/>
      <c r="J76" s="3"/>
      <c r="K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</row>
    <row r="77" spans="2:206" x14ac:dyDescent="0.2">
      <c r="G77" s="3"/>
      <c r="H77" s="3"/>
      <c r="I77" s="3"/>
      <c r="J77" s="3"/>
      <c r="K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</row>
    <row r="78" spans="2:206" x14ac:dyDescent="0.2">
      <c r="G78" s="3"/>
      <c r="H78" s="3"/>
      <c r="I78" s="3"/>
      <c r="J78" s="3"/>
      <c r="K78" s="3"/>
      <c r="M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  <c r="FW78" s="3"/>
      <c r="FX78" s="3"/>
      <c r="FY78" s="3"/>
      <c r="FZ78" s="3"/>
      <c r="GA78" s="3"/>
      <c r="GB78" s="3"/>
      <c r="GC78" s="3"/>
      <c r="GD78" s="3"/>
      <c r="GE78" s="3"/>
      <c r="GF78" s="3"/>
      <c r="GG78" s="3"/>
      <c r="GH78" s="3"/>
      <c r="GI78" s="3"/>
      <c r="GJ78" s="3"/>
      <c r="GK78" s="3"/>
      <c r="GL78" s="3"/>
      <c r="GM78" s="3"/>
      <c r="GN78" s="3"/>
      <c r="GO78" s="3"/>
      <c r="GP78" s="3"/>
      <c r="GQ78" s="3"/>
      <c r="GR78" s="3"/>
      <c r="GS78" s="3"/>
      <c r="GT78" s="3"/>
      <c r="GU78" s="3"/>
      <c r="GV78" s="3"/>
      <c r="GW78" s="3"/>
      <c r="GX78" s="3"/>
    </row>
    <row r="79" spans="2:206" x14ac:dyDescent="0.2">
      <c r="G79" s="3"/>
      <c r="H79" s="3"/>
      <c r="I79" s="3"/>
      <c r="J79" s="3"/>
      <c r="K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  <c r="FW79" s="3"/>
      <c r="FX79" s="3"/>
      <c r="FY79" s="3"/>
      <c r="FZ79" s="3"/>
      <c r="GA79" s="3"/>
      <c r="GB79" s="3"/>
      <c r="GC79" s="3"/>
      <c r="GD79" s="3"/>
      <c r="GE79" s="3"/>
      <c r="GF79" s="3"/>
      <c r="GG79" s="3"/>
      <c r="GH79" s="3"/>
      <c r="GI79" s="3"/>
      <c r="GJ79" s="3"/>
      <c r="GK79" s="3"/>
      <c r="GL79" s="3"/>
      <c r="GM79" s="3"/>
      <c r="GN79" s="3"/>
      <c r="GO79" s="3"/>
      <c r="GP79" s="3"/>
      <c r="GQ79" s="3"/>
      <c r="GR79" s="3"/>
      <c r="GS79" s="3"/>
      <c r="GT79" s="3"/>
      <c r="GU79" s="3"/>
      <c r="GV79" s="3"/>
      <c r="GW79" s="3"/>
      <c r="GX79" s="3"/>
    </row>
    <row r="80" spans="2:206" x14ac:dyDescent="0.2">
      <c r="G80" s="3"/>
      <c r="H80" s="3"/>
      <c r="I80" s="3"/>
      <c r="J80" s="3"/>
      <c r="K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  <c r="FW80" s="3"/>
      <c r="FX80" s="3"/>
      <c r="FY80" s="3"/>
      <c r="FZ80" s="3"/>
      <c r="GA80" s="3"/>
      <c r="GB80" s="3"/>
      <c r="GC80" s="3"/>
      <c r="GD80" s="3"/>
      <c r="GE80" s="3"/>
      <c r="GF80" s="3"/>
      <c r="GG80" s="3"/>
      <c r="GH80" s="3"/>
      <c r="GI80" s="3"/>
      <c r="GJ80" s="3"/>
      <c r="GK80" s="3"/>
      <c r="GL80" s="3"/>
      <c r="GM80" s="3"/>
      <c r="GN80" s="3"/>
      <c r="GO80" s="3"/>
      <c r="GP80" s="3"/>
      <c r="GQ80" s="3"/>
      <c r="GR80" s="3"/>
      <c r="GS80" s="3"/>
      <c r="GT80" s="3"/>
      <c r="GU80" s="3"/>
      <c r="GV80" s="3"/>
      <c r="GW80" s="3"/>
      <c r="GX80" s="3"/>
    </row>
    <row r="81" spans="2:206" x14ac:dyDescent="0.2">
      <c r="G81" s="3"/>
      <c r="H81" s="3"/>
      <c r="I81" s="3"/>
      <c r="J81" s="3"/>
      <c r="K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  <c r="FX81" s="3"/>
      <c r="FY81" s="3"/>
      <c r="FZ81" s="3"/>
      <c r="GA81" s="3"/>
      <c r="GB81" s="3"/>
      <c r="GC81" s="3"/>
      <c r="GD81" s="3"/>
      <c r="GE81" s="3"/>
      <c r="GF81" s="3"/>
      <c r="GG81" s="3"/>
      <c r="GH81" s="3"/>
      <c r="GI81" s="3"/>
      <c r="GJ81" s="3"/>
      <c r="GK81" s="3"/>
      <c r="GL81" s="3"/>
      <c r="GM81" s="3"/>
      <c r="GN81" s="3"/>
      <c r="GO81" s="3"/>
      <c r="GP81" s="3"/>
      <c r="GQ81" s="3"/>
      <c r="GR81" s="3"/>
      <c r="GS81" s="3"/>
      <c r="GT81" s="3"/>
      <c r="GU81" s="3"/>
      <c r="GV81" s="3"/>
      <c r="GW81" s="3"/>
      <c r="GX81" s="3"/>
    </row>
    <row r="82" spans="2:206" x14ac:dyDescent="0.2">
      <c r="G82" s="3"/>
      <c r="H82" s="3"/>
      <c r="I82" s="3"/>
      <c r="J82" s="3"/>
      <c r="K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3"/>
      <c r="GB82" s="3"/>
      <c r="GC82" s="3"/>
      <c r="GD82" s="3"/>
      <c r="GE82" s="3"/>
      <c r="GF82" s="3"/>
      <c r="GG82" s="3"/>
      <c r="GH82" s="3"/>
      <c r="GI82" s="3"/>
      <c r="GJ82" s="3"/>
      <c r="GK82" s="3"/>
      <c r="GL82" s="3"/>
      <c r="GM82" s="3"/>
      <c r="GN82" s="3"/>
      <c r="GO82" s="3"/>
      <c r="GP82" s="3"/>
      <c r="GQ82" s="3"/>
      <c r="GR82" s="3"/>
      <c r="GS82" s="3"/>
      <c r="GT82" s="3"/>
      <c r="GU82" s="3"/>
      <c r="GV82" s="3"/>
      <c r="GW82" s="3"/>
      <c r="GX82" s="3"/>
    </row>
    <row r="83" spans="2:206" x14ac:dyDescent="0.2">
      <c r="G83" s="3"/>
      <c r="H83" s="3"/>
      <c r="I83" s="3"/>
      <c r="J83" s="3"/>
      <c r="K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  <c r="FX83" s="3"/>
      <c r="FY83" s="3"/>
      <c r="FZ83" s="3"/>
      <c r="GA83" s="3"/>
      <c r="GB83" s="3"/>
      <c r="GC83" s="3"/>
      <c r="GD83" s="3"/>
      <c r="GE83" s="3"/>
      <c r="GF83" s="3"/>
      <c r="GG83" s="3"/>
      <c r="GH83" s="3"/>
      <c r="GI83" s="3"/>
      <c r="GJ83" s="3"/>
      <c r="GK83" s="3"/>
      <c r="GL83" s="3"/>
      <c r="GM83" s="3"/>
      <c r="GN83" s="3"/>
      <c r="GO83" s="3"/>
      <c r="GP83" s="3"/>
      <c r="GQ83" s="3"/>
      <c r="GR83" s="3"/>
      <c r="GS83" s="3"/>
      <c r="GT83" s="3"/>
      <c r="GU83" s="3"/>
      <c r="GV83" s="3"/>
      <c r="GW83" s="3"/>
      <c r="GX83" s="3"/>
    </row>
    <row r="84" spans="2:206" x14ac:dyDescent="0.2">
      <c r="G84" s="3"/>
      <c r="H84" s="3"/>
      <c r="I84" s="3"/>
      <c r="J84" s="3"/>
      <c r="K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  <c r="FW84" s="3"/>
      <c r="FX84" s="3"/>
      <c r="FY84" s="3"/>
      <c r="FZ84" s="3"/>
      <c r="GA84" s="3"/>
      <c r="GB84" s="3"/>
      <c r="GC84" s="3"/>
      <c r="GD84" s="3"/>
      <c r="GE84" s="3"/>
      <c r="GF84" s="3"/>
      <c r="GG84" s="3"/>
      <c r="GH84" s="3"/>
      <c r="GI84" s="3"/>
      <c r="GJ84" s="3"/>
      <c r="GK84" s="3"/>
      <c r="GL84" s="3"/>
      <c r="GM84" s="3"/>
      <c r="GN84" s="3"/>
      <c r="GO84" s="3"/>
      <c r="GP84" s="3"/>
      <c r="GQ84" s="3"/>
      <c r="GR84" s="3"/>
      <c r="GS84" s="3"/>
      <c r="GT84" s="3"/>
      <c r="GU84" s="3"/>
      <c r="GV84" s="3"/>
      <c r="GW84" s="3"/>
      <c r="GX84" s="3"/>
    </row>
    <row r="85" spans="2:206" x14ac:dyDescent="0.2"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</row>
    <row r="86" spans="2:206" x14ac:dyDescent="0.2"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</row>
    <row r="87" spans="2:206" x14ac:dyDescent="0.2">
      <c r="M87" s="3"/>
      <c r="N87" s="3"/>
    </row>
    <row r="88" spans="2:206" x14ac:dyDescent="0.2">
      <c r="D88" s="1"/>
    </row>
    <row r="89" spans="2:206" x14ac:dyDescent="0.2">
      <c r="B89" s="2"/>
      <c r="G89" s="3"/>
      <c r="H89" s="3"/>
      <c r="I89" s="3"/>
      <c r="J89" s="3"/>
      <c r="K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  <c r="FX89" s="3"/>
      <c r="FY89" s="3"/>
      <c r="FZ89" s="3"/>
      <c r="GA89" s="3"/>
      <c r="GB89" s="3"/>
      <c r="GC89" s="3"/>
      <c r="GD89" s="3"/>
      <c r="GE89" s="3"/>
      <c r="GF89" s="3"/>
      <c r="GG89" s="3"/>
      <c r="GH89" s="3"/>
      <c r="GI89" s="3"/>
      <c r="GJ89" s="3"/>
      <c r="GK89" s="3"/>
      <c r="GL89" s="3"/>
      <c r="GM89" s="3"/>
      <c r="GN89" s="3"/>
      <c r="GO89" s="3"/>
      <c r="GP89" s="3"/>
      <c r="GQ89" s="3"/>
      <c r="GR89" s="3"/>
      <c r="GS89" s="3"/>
      <c r="GT89" s="3"/>
      <c r="GU89" s="3"/>
      <c r="GV89" s="3"/>
      <c r="GW89" s="3"/>
      <c r="GX89" s="3"/>
    </row>
    <row r="90" spans="2:206" x14ac:dyDescent="0.2">
      <c r="B90" s="2"/>
      <c r="G90" s="3"/>
      <c r="H90" s="3"/>
      <c r="I90" s="3"/>
      <c r="J90" s="3"/>
      <c r="K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  <c r="FX90" s="3"/>
      <c r="FY90" s="3"/>
      <c r="FZ90" s="3"/>
      <c r="GA90" s="3"/>
      <c r="GB90" s="3"/>
      <c r="GC90" s="3"/>
      <c r="GD90" s="3"/>
      <c r="GE90" s="3"/>
      <c r="GF90" s="3"/>
      <c r="GG90" s="3"/>
      <c r="GH90" s="3"/>
      <c r="GI90" s="3"/>
      <c r="GJ90" s="3"/>
      <c r="GK90" s="3"/>
      <c r="GL90" s="3"/>
      <c r="GM90" s="3"/>
      <c r="GN90" s="3"/>
      <c r="GO90" s="3"/>
      <c r="GP90" s="3"/>
      <c r="GQ90" s="3"/>
      <c r="GR90" s="3"/>
      <c r="GS90" s="3"/>
      <c r="GT90" s="3"/>
      <c r="GU90" s="3"/>
      <c r="GV90" s="3"/>
      <c r="GW90" s="3"/>
      <c r="GX90" s="3"/>
    </row>
    <row r="91" spans="2:206" x14ac:dyDescent="0.2">
      <c r="B91" s="2"/>
      <c r="G91" s="3"/>
      <c r="H91" s="3"/>
      <c r="I91" s="3"/>
      <c r="J91" s="3"/>
      <c r="K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  <c r="FW91" s="3"/>
      <c r="FX91" s="3"/>
      <c r="FY91" s="3"/>
      <c r="FZ91" s="3"/>
      <c r="GA91" s="3"/>
      <c r="GB91" s="3"/>
      <c r="GC91" s="3"/>
      <c r="GD91" s="3"/>
      <c r="GE91" s="3"/>
      <c r="GF91" s="3"/>
      <c r="GG91" s="3"/>
      <c r="GH91" s="3"/>
      <c r="GI91" s="3"/>
      <c r="GJ91" s="3"/>
      <c r="GK91" s="3"/>
      <c r="GL91" s="3"/>
      <c r="GM91" s="3"/>
      <c r="GN91" s="3"/>
      <c r="GO91" s="3"/>
      <c r="GP91" s="3"/>
      <c r="GQ91" s="3"/>
      <c r="GR91" s="3"/>
      <c r="GS91" s="3"/>
      <c r="GT91" s="3"/>
      <c r="GU91" s="3"/>
      <c r="GV91" s="3"/>
      <c r="GW91" s="3"/>
      <c r="GX91" s="3"/>
    </row>
    <row r="92" spans="2:206" x14ac:dyDescent="0.2">
      <c r="G92" s="3"/>
      <c r="H92" s="3"/>
      <c r="I92" s="3"/>
      <c r="J92" s="3"/>
      <c r="K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  <c r="FX92" s="3"/>
      <c r="FY92" s="3"/>
      <c r="FZ92" s="3"/>
      <c r="GA92" s="3"/>
      <c r="GB92" s="3"/>
      <c r="GC92" s="3"/>
      <c r="GD92" s="3"/>
      <c r="GE92" s="3"/>
      <c r="GF92" s="3"/>
      <c r="GG92" s="3"/>
      <c r="GH92" s="3"/>
      <c r="GI92" s="3"/>
      <c r="GJ92" s="3"/>
      <c r="GK92" s="3"/>
      <c r="GL92" s="3"/>
      <c r="GM92" s="3"/>
      <c r="GN92" s="3"/>
      <c r="GO92" s="3"/>
      <c r="GP92" s="3"/>
      <c r="GQ92" s="3"/>
      <c r="GR92" s="3"/>
      <c r="GS92" s="3"/>
      <c r="GT92" s="3"/>
      <c r="GU92" s="3"/>
      <c r="GV92" s="3"/>
      <c r="GW92" s="3"/>
      <c r="GX92" s="3"/>
    </row>
    <row r="93" spans="2:206" x14ac:dyDescent="0.2">
      <c r="G93" s="3"/>
      <c r="H93" s="3"/>
      <c r="I93" s="3"/>
      <c r="J93" s="3"/>
      <c r="K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/>
      <c r="GC93" s="3"/>
      <c r="GD93" s="3"/>
      <c r="GE93" s="3"/>
      <c r="GF93" s="3"/>
      <c r="GG93" s="3"/>
      <c r="GH93" s="3"/>
      <c r="GI93" s="3"/>
      <c r="GJ93" s="3"/>
      <c r="GK93" s="3"/>
      <c r="GL93" s="3"/>
      <c r="GM93" s="3"/>
      <c r="GN93" s="3"/>
      <c r="GO93" s="3"/>
      <c r="GP93" s="3"/>
      <c r="GQ93" s="3"/>
      <c r="GR93" s="3"/>
      <c r="GS93" s="3"/>
      <c r="GT93" s="3"/>
      <c r="GU93" s="3"/>
      <c r="GV93" s="3"/>
      <c r="GW93" s="3"/>
      <c r="GX93" s="3"/>
    </row>
    <row r="94" spans="2:206" x14ac:dyDescent="0.2">
      <c r="G94" s="3"/>
      <c r="H94" s="3"/>
      <c r="I94" s="3"/>
      <c r="J94" s="3"/>
      <c r="K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/>
      <c r="FW94" s="3"/>
      <c r="FX94" s="3"/>
      <c r="FY94" s="3"/>
      <c r="FZ94" s="3"/>
      <c r="GA94" s="3"/>
      <c r="GB94" s="3"/>
      <c r="GC94" s="3"/>
      <c r="GD94" s="3"/>
      <c r="GE94" s="3"/>
      <c r="GF94" s="3"/>
      <c r="GG94" s="3"/>
      <c r="GH94" s="3"/>
      <c r="GI94" s="3"/>
      <c r="GJ94" s="3"/>
      <c r="GK94" s="3"/>
      <c r="GL94" s="3"/>
      <c r="GM94" s="3"/>
      <c r="GN94" s="3"/>
      <c r="GO94" s="3"/>
      <c r="GP94" s="3"/>
      <c r="GQ94" s="3"/>
      <c r="GR94" s="3"/>
      <c r="GS94" s="3"/>
      <c r="GT94" s="3"/>
      <c r="GU94" s="3"/>
      <c r="GV94" s="3"/>
      <c r="GW94" s="3"/>
      <c r="GX94" s="3"/>
    </row>
    <row r="95" spans="2:206" x14ac:dyDescent="0.2">
      <c r="G95" s="3"/>
      <c r="H95" s="3"/>
      <c r="I95" s="3"/>
      <c r="J95" s="3"/>
      <c r="K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  <c r="FM95" s="3"/>
      <c r="FN95" s="3"/>
      <c r="FO95" s="3"/>
      <c r="FP95" s="3"/>
      <c r="FQ95" s="3"/>
      <c r="FR95" s="3"/>
      <c r="FS95" s="3"/>
      <c r="FT95" s="3"/>
      <c r="FU95" s="3"/>
      <c r="FV95" s="3"/>
      <c r="FW95" s="3"/>
      <c r="FX95" s="3"/>
      <c r="FY95" s="3"/>
      <c r="FZ95" s="3"/>
      <c r="GA95" s="3"/>
      <c r="GB95" s="3"/>
      <c r="GC95" s="3"/>
      <c r="GD95" s="3"/>
      <c r="GE95" s="3"/>
      <c r="GF95" s="3"/>
      <c r="GG95" s="3"/>
      <c r="GH95" s="3"/>
      <c r="GI95" s="3"/>
      <c r="GJ95" s="3"/>
      <c r="GK95" s="3"/>
      <c r="GL95" s="3"/>
      <c r="GM95" s="3"/>
      <c r="GN95" s="3"/>
      <c r="GO95" s="3"/>
      <c r="GP95" s="3"/>
      <c r="GQ95" s="3"/>
      <c r="GR95" s="3"/>
      <c r="GS95" s="3"/>
      <c r="GT95" s="3"/>
      <c r="GU95" s="3"/>
      <c r="GV95" s="3"/>
      <c r="GW95" s="3"/>
      <c r="GX95" s="3"/>
    </row>
    <row r="96" spans="2:206" x14ac:dyDescent="0.2">
      <c r="G96" s="3"/>
      <c r="H96" s="3"/>
      <c r="I96" s="3"/>
      <c r="J96" s="3"/>
      <c r="K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  <c r="FM96" s="3"/>
      <c r="FN96" s="3"/>
      <c r="FO96" s="3"/>
      <c r="FP96" s="3"/>
      <c r="FQ96" s="3"/>
      <c r="FR96" s="3"/>
      <c r="FS96" s="3"/>
      <c r="FT96" s="3"/>
      <c r="FU96" s="3"/>
      <c r="FV96" s="3"/>
      <c r="FW96" s="3"/>
      <c r="FX96" s="3"/>
      <c r="FY96" s="3"/>
      <c r="FZ96" s="3"/>
      <c r="GA96" s="3"/>
      <c r="GB96" s="3"/>
      <c r="GC96" s="3"/>
      <c r="GD96" s="3"/>
      <c r="GE96" s="3"/>
      <c r="GF96" s="3"/>
      <c r="GG96" s="3"/>
      <c r="GH96" s="3"/>
      <c r="GI96" s="3"/>
      <c r="GJ96" s="3"/>
      <c r="GK96" s="3"/>
      <c r="GL96" s="3"/>
      <c r="GM96" s="3"/>
      <c r="GN96" s="3"/>
      <c r="GO96" s="3"/>
      <c r="GP96" s="3"/>
      <c r="GQ96" s="3"/>
      <c r="GR96" s="3"/>
      <c r="GS96" s="3"/>
      <c r="GT96" s="3"/>
      <c r="GU96" s="3"/>
      <c r="GV96" s="3"/>
      <c r="GW96" s="3"/>
      <c r="GX96" s="3"/>
    </row>
    <row r="97" spans="2:206" x14ac:dyDescent="0.2">
      <c r="G97" s="3"/>
      <c r="H97" s="3"/>
      <c r="I97" s="3"/>
      <c r="J97" s="3"/>
      <c r="K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  <c r="FM97" s="3"/>
      <c r="FN97" s="3"/>
      <c r="FO97" s="3"/>
      <c r="FP97" s="3"/>
      <c r="FQ97" s="3"/>
      <c r="FR97" s="3"/>
      <c r="FS97" s="3"/>
      <c r="FT97" s="3"/>
      <c r="FU97" s="3"/>
      <c r="FV97" s="3"/>
      <c r="FW97" s="3"/>
      <c r="FX97" s="3"/>
      <c r="FY97" s="3"/>
      <c r="FZ97" s="3"/>
      <c r="GA97" s="3"/>
      <c r="GB97" s="3"/>
      <c r="GC97" s="3"/>
      <c r="GD97" s="3"/>
      <c r="GE97" s="3"/>
      <c r="GF97" s="3"/>
      <c r="GG97" s="3"/>
      <c r="GH97" s="3"/>
      <c r="GI97" s="3"/>
      <c r="GJ97" s="3"/>
      <c r="GK97" s="3"/>
      <c r="GL97" s="3"/>
      <c r="GM97" s="3"/>
      <c r="GN97" s="3"/>
      <c r="GO97" s="3"/>
      <c r="GP97" s="3"/>
      <c r="GQ97" s="3"/>
      <c r="GR97" s="3"/>
      <c r="GS97" s="3"/>
      <c r="GT97" s="3"/>
      <c r="GU97" s="3"/>
      <c r="GV97" s="3"/>
      <c r="GW97" s="3"/>
      <c r="GX97" s="3"/>
    </row>
    <row r="98" spans="2:206" x14ac:dyDescent="0.2">
      <c r="G98" s="3"/>
      <c r="H98" s="3"/>
      <c r="I98" s="3"/>
      <c r="J98" s="3"/>
      <c r="K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  <c r="FM98" s="3"/>
      <c r="FN98" s="3"/>
      <c r="FO98" s="3"/>
      <c r="FP98" s="3"/>
      <c r="FQ98" s="3"/>
      <c r="FR98" s="3"/>
      <c r="FS98" s="3"/>
      <c r="FT98" s="3"/>
      <c r="FU98" s="3"/>
      <c r="FV98" s="3"/>
      <c r="FW98" s="3"/>
      <c r="FX98" s="3"/>
      <c r="FY98" s="3"/>
      <c r="FZ98" s="3"/>
      <c r="GA98" s="3"/>
      <c r="GB98" s="3"/>
      <c r="GC98" s="3"/>
      <c r="GD98" s="3"/>
      <c r="GE98" s="3"/>
      <c r="GF98" s="3"/>
      <c r="GG98" s="3"/>
      <c r="GH98" s="3"/>
      <c r="GI98" s="3"/>
      <c r="GJ98" s="3"/>
      <c r="GK98" s="3"/>
      <c r="GL98" s="3"/>
      <c r="GM98" s="3"/>
      <c r="GN98" s="3"/>
      <c r="GO98" s="3"/>
      <c r="GP98" s="3"/>
      <c r="GQ98" s="3"/>
      <c r="GR98" s="3"/>
      <c r="GS98" s="3"/>
      <c r="GT98" s="3"/>
      <c r="GU98" s="3"/>
      <c r="GV98" s="3"/>
      <c r="GW98" s="3"/>
      <c r="GX98" s="3"/>
    </row>
    <row r="99" spans="2:206" x14ac:dyDescent="0.2">
      <c r="G99" s="3"/>
      <c r="H99" s="3"/>
      <c r="I99" s="3"/>
      <c r="J99" s="3"/>
      <c r="K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  <c r="FI99" s="3"/>
      <c r="FJ99" s="3"/>
      <c r="FK99" s="3"/>
      <c r="FL99" s="3"/>
      <c r="FM99" s="3"/>
      <c r="FN99" s="3"/>
      <c r="FO99" s="3"/>
      <c r="FP99" s="3"/>
      <c r="FQ99" s="3"/>
      <c r="FR99" s="3"/>
      <c r="FS99" s="3"/>
      <c r="FT99" s="3"/>
      <c r="FU99" s="3"/>
      <c r="FV99" s="3"/>
      <c r="FW99" s="3"/>
      <c r="FX99" s="3"/>
      <c r="FY99" s="3"/>
      <c r="FZ99" s="3"/>
      <c r="GA99" s="3"/>
      <c r="GB99" s="3"/>
      <c r="GC99" s="3"/>
      <c r="GD99" s="3"/>
      <c r="GE99" s="3"/>
      <c r="GF99" s="3"/>
      <c r="GG99" s="3"/>
      <c r="GH99" s="3"/>
      <c r="GI99" s="3"/>
      <c r="GJ99" s="3"/>
      <c r="GK99" s="3"/>
      <c r="GL99" s="3"/>
      <c r="GM99" s="3"/>
      <c r="GN99" s="3"/>
      <c r="GO99" s="3"/>
      <c r="GP99" s="3"/>
      <c r="GQ99" s="3"/>
      <c r="GR99" s="3"/>
      <c r="GS99" s="3"/>
      <c r="GT99" s="3"/>
      <c r="GU99" s="3"/>
      <c r="GV99" s="3"/>
      <c r="GW99" s="3"/>
      <c r="GX99" s="3"/>
    </row>
    <row r="100" spans="2:206" x14ac:dyDescent="0.2">
      <c r="G100" s="3"/>
      <c r="H100" s="3"/>
      <c r="I100" s="3"/>
      <c r="J100" s="3"/>
      <c r="K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  <c r="FM100" s="3"/>
      <c r="FN100" s="3"/>
      <c r="FO100" s="3"/>
      <c r="FP100" s="3"/>
      <c r="FQ100" s="3"/>
      <c r="FR100" s="3"/>
      <c r="FS100" s="3"/>
      <c r="FT100" s="3"/>
      <c r="FU100" s="3"/>
      <c r="FV100" s="3"/>
      <c r="FW100" s="3"/>
      <c r="FX100" s="3"/>
      <c r="FY100" s="3"/>
      <c r="FZ100" s="3"/>
      <c r="GA100" s="3"/>
      <c r="GB100" s="3"/>
      <c r="GC100" s="3"/>
      <c r="GD100" s="3"/>
      <c r="GE100" s="3"/>
      <c r="GF100" s="3"/>
      <c r="GG100" s="3"/>
      <c r="GH100" s="3"/>
      <c r="GI100" s="3"/>
      <c r="GJ100" s="3"/>
      <c r="GK100" s="3"/>
      <c r="GL100" s="3"/>
      <c r="GM100" s="3"/>
      <c r="GN100" s="3"/>
      <c r="GO100" s="3"/>
      <c r="GP100" s="3"/>
      <c r="GQ100" s="3"/>
      <c r="GR100" s="3"/>
      <c r="GS100" s="3"/>
      <c r="GT100" s="3"/>
      <c r="GU100" s="3"/>
      <c r="GV100" s="3"/>
      <c r="GW100" s="3"/>
      <c r="GX100" s="3"/>
    </row>
    <row r="101" spans="2:206" x14ac:dyDescent="0.2">
      <c r="G101" s="3"/>
      <c r="H101" s="3"/>
      <c r="I101" s="3"/>
      <c r="J101" s="3"/>
      <c r="K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  <c r="FM101" s="3"/>
      <c r="FN101" s="3"/>
      <c r="FO101" s="3"/>
      <c r="FP101" s="3"/>
      <c r="FQ101" s="3"/>
      <c r="FR101" s="3"/>
      <c r="FS101" s="3"/>
      <c r="FT101" s="3"/>
      <c r="FU101" s="3"/>
      <c r="FV101" s="3"/>
      <c r="FW101" s="3"/>
      <c r="FX101" s="3"/>
      <c r="FY101" s="3"/>
      <c r="FZ101" s="3"/>
      <c r="GA101" s="3"/>
      <c r="GB101" s="3"/>
      <c r="GC101" s="3"/>
      <c r="GD101" s="3"/>
      <c r="GE101" s="3"/>
      <c r="GF101" s="3"/>
      <c r="GG101" s="3"/>
      <c r="GH101" s="3"/>
      <c r="GI101" s="3"/>
      <c r="GJ101" s="3"/>
      <c r="GK101" s="3"/>
      <c r="GL101" s="3"/>
      <c r="GM101" s="3"/>
      <c r="GN101" s="3"/>
      <c r="GO101" s="3"/>
      <c r="GP101" s="3"/>
      <c r="GQ101" s="3"/>
      <c r="GR101" s="3"/>
      <c r="GS101" s="3"/>
      <c r="GT101" s="3"/>
      <c r="GU101" s="3"/>
      <c r="GV101" s="3"/>
      <c r="GW101" s="3"/>
      <c r="GX101" s="3"/>
    </row>
    <row r="102" spans="2:206" x14ac:dyDescent="0.2">
      <c r="G102" s="3"/>
      <c r="H102" s="3"/>
      <c r="I102" s="3"/>
      <c r="J102" s="3"/>
      <c r="K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/>
      <c r="FR102" s="3"/>
      <c r="FS102" s="3"/>
      <c r="FT102" s="3"/>
      <c r="FU102" s="3"/>
      <c r="FV102" s="3"/>
      <c r="FW102" s="3"/>
      <c r="FX102" s="3"/>
      <c r="FY102" s="3"/>
      <c r="FZ102" s="3"/>
      <c r="GA102" s="3"/>
      <c r="GB102" s="3"/>
      <c r="GC102" s="3"/>
      <c r="GD102" s="3"/>
      <c r="GE102" s="3"/>
      <c r="GF102" s="3"/>
      <c r="GG102" s="3"/>
      <c r="GH102" s="3"/>
      <c r="GI102" s="3"/>
      <c r="GJ102" s="3"/>
      <c r="GK102" s="3"/>
      <c r="GL102" s="3"/>
      <c r="GM102" s="3"/>
      <c r="GN102" s="3"/>
      <c r="GO102" s="3"/>
      <c r="GP102" s="3"/>
      <c r="GQ102" s="3"/>
      <c r="GR102" s="3"/>
      <c r="GS102" s="3"/>
      <c r="GT102" s="3"/>
      <c r="GU102" s="3"/>
      <c r="GV102" s="3"/>
      <c r="GW102" s="3"/>
      <c r="GX102" s="3"/>
    </row>
    <row r="103" spans="2:206" x14ac:dyDescent="0.2"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</row>
    <row r="104" spans="2:206" x14ac:dyDescent="0.2"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</row>
    <row r="105" spans="2:206" x14ac:dyDescent="0.2">
      <c r="M105" s="3"/>
      <c r="N105" s="3"/>
    </row>
    <row r="106" spans="2:206" x14ac:dyDescent="0.2">
      <c r="D106" s="1"/>
    </row>
    <row r="107" spans="2:206" x14ac:dyDescent="0.2">
      <c r="B107" s="2"/>
      <c r="G107" s="3"/>
      <c r="H107" s="3"/>
      <c r="I107" s="3"/>
      <c r="J107" s="3"/>
      <c r="K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  <c r="FM107" s="3"/>
      <c r="FN107" s="3"/>
      <c r="FO107" s="3"/>
      <c r="FP107" s="3"/>
      <c r="FQ107" s="3"/>
      <c r="FR107" s="3"/>
      <c r="FS107" s="3"/>
      <c r="FT107" s="3"/>
      <c r="FU107" s="3"/>
      <c r="FV107" s="3"/>
      <c r="FW107" s="3"/>
      <c r="FX107" s="3"/>
      <c r="FY107" s="3"/>
      <c r="FZ107" s="3"/>
      <c r="GA107" s="3"/>
      <c r="GB107" s="3"/>
      <c r="GC107" s="3"/>
      <c r="GD107" s="3"/>
      <c r="GE107" s="3"/>
      <c r="GF107" s="3"/>
      <c r="GG107" s="3"/>
      <c r="GH107" s="3"/>
      <c r="GI107" s="3"/>
      <c r="GJ107" s="3"/>
      <c r="GK107" s="3"/>
      <c r="GL107" s="3"/>
      <c r="GM107" s="3"/>
      <c r="GN107" s="3"/>
      <c r="GO107" s="3"/>
      <c r="GP107" s="3"/>
      <c r="GQ107" s="3"/>
      <c r="GR107" s="3"/>
      <c r="GS107" s="3"/>
      <c r="GT107" s="3"/>
      <c r="GU107" s="3"/>
      <c r="GV107" s="3"/>
      <c r="GW107" s="3"/>
      <c r="GX107" s="3"/>
    </row>
    <row r="108" spans="2:206" x14ac:dyDescent="0.2">
      <c r="B108" s="2"/>
      <c r="G108" s="3"/>
      <c r="H108" s="3"/>
      <c r="I108" s="3"/>
      <c r="J108" s="3"/>
      <c r="K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  <c r="FL108" s="3"/>
      <c r="FM108" s="3"/>
      <c r="FN108" s="3"/>
      <c r="FO108" s="3"/>
      <c r="FP108" s="3"/>
      <c r="FQ108" s="3"/>
      <c r="FR108" s="3"/>
      <c r="FS108" s="3"/>
      <c r="FT108" s="3"/>
      <c r="FU108" s="3"/>
      <c r="FV108" s="3"/>
      <c r="FW108" s="3"/>
      <c r="FX108" s="3"/>
      <c r="FY108" s="3"/>
      <c r="FZ108" s="3"/>
      <c r="GA108" s="3"/>
      <c r="GB108" s="3"/>
      <c r="GC108" s="3"/>
      <c r="GD108" s="3"/>
      <c r="GE108" s="3"/>
      <c r="GF108" s="3"/>
      <c r="GG108" s="3"/>
      <c r="GH108" s="3"/>
      <c r="GI108" s="3"/>
      <c r="GJ108" s="3"/>
      <c r="GK108" s="3"/>
      <c r="GL108" s="3"/>
      <c r="GM108" s="3"/>
      <c r="GN108" s="3"/>
      <c r="GO108" s="3"/>
      <c r="GP108" s="3"/>
      <c r="GQ108" s="3"/>
      <c r="GR108" s="3"/>
      <c r="GS108" s="3"/>
      <c r="GT108" s="3"/>
      <c r="GU108" s="3"/>
      <c r="GV108" s="3"/>
      <c r="GW108" s="3"/>
      <c r="GX108" s="3"/>
    </row>
    <row r="109" spans="2:206" x14ac:dyDescent="0.2">
      <c r="B109" s="2"/>
      <c r="G109" s="3"/>
      <c r="H109" s="3"/>
      <c r="I109" s="3"/>
      <c r="J109" s="3"/>
      <c r="K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  <c r="FM109" s="3"/>
      <c r="FN109" s="3"/>
      <c r="FO109" s="3"/>
      <c r="FP109" s="3"/>
      <c r="FQ109" s="3"/>
      <c r="FR109" s="3"/>
      <c r="FS109" s="3"/>
      <c r="FT109" s="3"/>
      <c r="FU109" s="3"/>
      <c r="FV109" s="3"/>
      <c r="FW109" s="3"/>
      <c r="FX109" s="3"/>
      <c r="FY109" s="3"/>
      <c r="FZ109" s="3"/>
      <c r="GA109" s="3"/>
      <c r="GB109" s="3"/>
      <c r="GC109" s="3"/>
      <c r="GD109" s="3"/>
      <c r="GE109" s="3"/>
      <c r="GF109" s="3"/>
      <c r="GG109" s="3"/>
      <c r="GH109" s="3"/>
      <c r="GI109" s="3"/>
      <c r="GJ109" s="3"/>
      <c r="GK109" s="3"/>
      <c r="GL109" s="3"/>
      <c r="GM109" s="3"/>
      <c r="GN109" s="3"/>
      <c r="GO109" s="3"/>
      <c r="GP109" s="3"/>
      <c r="GQ109" s="3"/>
      <c r="GR109" s="3"/>
      <c r="GS109" s="3"/>
      <c r="GT109" s="3"/>
      <c r="GU109" s="3"/>
      <c r="GV109" s="3"/>
      <c r="GW109" s="3"/>
      <c r="GX109" s="3"/>
    </row>
    <row r="110" spans="2:206" x14ac:dyDescent="0.2">
      <c r="G110" s="3"/>
      <c r="H110" s="3"/>
      <c r="I110" s="3"/>
      <c r="J110" s="3"/>
      <c r="K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  <c r="FI110" s="3"/>
      <c r="FJ110" s="3"/>
      <c r="FK110" s="3"/>
      <c r="FL110" s="3"/>
      <c r="FM110" s="3"/>
      <c r="FN110" s="3"/>
      <c r="FO110" s="3"/>
      <c r="FP110" s="3"/>
      <c r="FQ110" s="3"/>
      <c r="FR110" s="3"/>
      <c r="FS110" s="3"/>
      <c r="FT110" s="3"/>
      <c r="FU110" s="3"/>
      <c r="FV110" s="3"/>
      <c r="FW110" s="3"/>
      <c r="FX110" s="3"/>
      <c r="FY110" s="3"/>
      <c r="FZ110" s="3"/>
      <c r="GA110" s="3"/>
      <c r="GB110" s="3"/>
      <c r="GC110" s="3"/>
      <c r="GD110" s="3"/>
      <c r="GE110" s="3"/>
      <c r="GF110" s="3"/>
      <c r="GG110" s="3"/>
      <c r="GH110" s="3"/>
      <c r="GI110" s="3"/>
      <c r="GJ110" s="3"/>
      <c r="GK110" s="3"/>
      <c r="GL110" s="3"/>
      <c r="GM110" s="3"/>
      <c r="GN110" s="3"/>
      <c r="GO110" s="3"/>
      <c r="GP110" s="3"/>
      <c r="GQ110" s="3"/>
      <c r="GR110" s="3"/>
      <c r="GS110" s="3"/>
      <c r="GT110" s="3"/>
      <c r="GU110" s="3"/>
      <c r="GV110" s="3"/>
      <c r="GW110" s="3"/>
      <c r="GX110" s="3"/>
    </row>
    <row r="111" spans="2:206" x14ac:dyDescent="0.2">
      <c r="G111" s="3"/>
      <c r="H111" s="3"/>
      <c r="I111" s="3"/>
      <c r="J111" s="3"/>
      <c r="K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  <c r="FL111" s="3"/>
      <c r="FM111" s="3"/>
      <c r="FN111" s="3"/>
      <c r="FO111" s="3"/>
      <c r="FP111" s="3"/>
      <c r="FQ111" s="3"/>
      <c r="FR111" s="3"/>
      <c r="FS111" s="3"/>
      <c r="FT111" s="3"/>
      <c r="FU111" s="3"/>
      <c r="FV111" s="3"/>
      <c r="FW111" s="3"/>
      <c r="FX111" s="3"/>
      <c r="FY111" s="3"/>
      <c r="FZ111" s="3"/>
      <c r="GA111" s="3"/>
      <c r="GB111" s="3"/>
      <c r="GC111" s="3"/>
      <c r="GD111" s="3"/>
      <c r="GE111" s="3"/>
      <c r="GF111" s="3"/>
      <c r="GG111" s="3"/>
      <c r="GH111" s="3"/>
      <c r="GI111" s="3"/>
      <c r="GJ111" s="3"/>
      <c r="GK111" s="3"/>
      <c r="GL111" s="3"/>
      <c r="GM111" s="3"/>
      <c r="GN111" s="3"/>
      <c r="GO111" s="3"/>
      <c r="GP111" s="3"/>
      <c r="GQ111" s="3"/>
      <c r="GR111" s="3"/>
      <c r="GS111" s="3"/>
      <c r="GT111" s="3"/>
      <c r="GU111" s="3"/>
      <c r="GV111" s="3"/>
      <c r="GW111" s="3"/>
      <c r="GX111" s="3"/>
    </row>
    <row r="112" spans="2:206" x14ac:dyDescent="0.2">
      <c r="G112" s="3"/>
      <c r="H112" s="3"/>
      <c r="I112" s="3"/>
      <c r="J112" s="3"/>
      <c r="K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  <c r="FM112" s="3"/>
      <c r="FN112" s="3"/>
      <c r="FO112" s="3"/>
      <c r="FP112" s="3"/>
      <c r="FQ112" s="3"/>
      <c r="FR112" s="3"/>
      <c r="FS112" s="3"/>
      <c r="FT112" s="3"/>
      <c r="FU112" s="3"/>
      <c r="FV112" s="3"/>
      <c r="FW112" s="3"/>
      <c r="FX112" s="3"/>
      <c r="FY112" s="3"/>
      <c r="FZ112" s="3"/>
      <c r="GA112" s="3"/>
      <c r="GB112" s="3"/>
      <c r="GC112" s="3"/>
      <c r="GD112" s="3"/>
      <c r="GE112" s="3"/>
      <c r="GF112" s="3"/>
      <c r="GG112" s="3"/>
      <c r="GH112" s="3"/>
      <c r="GI112" s="3"/>
      <c r="GJ112" s="3"/>
      <c r="GK112" s="3"/>
      <c r="GL112" s="3"/>
      <c r="GM112" s="3"/>
      <c r="GN112" s="3"/>
      <c r="GO112" s="3"/>
      <c r="GP112" s="3"/>
      <c r="GQ112" s="3"/>
      <c r="GR112" s="3"/>
      <c r="GS112" s="3"/>
      <c r="GT112" s="3"/>
      <c r="GU112" s="3"/>
      <c r="GV112" s="3"/>
      <c r="GW112" s="3"/>
      <c r="GX112" s="3"/>
    </row>
    <row r="113" spans="7:206" x14ac:dyDescent="0.2">
      <c r="G113" s="3"/>
      <c r="H113" s="3"/>
      <c r="I113" s="3"/>
      <c r="J113" s="3"/>
      <c r="K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  <c r="FM113" s="3"/>
      <c r="FN113" s="3"/>
      <c r="FO113" s="3"/>
      <c r="FP113" s="3"/>
      <c r="FQ113" s="3"/>
      <c r="FR113" s="3"/>
      <c r="FS113" s="3"/>
      <c r="FT113" s="3"/>
      <c r="FU113" s="3"/>
      <c r="FV113" s="3"/>
      <c r="FW113" s="3"/>
      <c r="FX113" s="3"/>
      <c r="FY113" s="3"/>
      <c r="FZ113" s="3"/>
      <c r="GA113" s="3"/>
      <c r="GB113" s="3"/>
      <c r="GC113" s="3"/>
      <c r="GD113" s="3"/>
      <c r="GE113" s="3"/>
      <c r="GF113" s="3"/>
      <c r="GG113" s="3"/>
      <c r="GH113" s="3"/>
      <c r="GI113" s="3"/>
      <c r="GJ113" s="3"/>
      <c r="GK113" s="3"/>
      <c r="GL113" s="3"/>
      <c r="GM113" s="3"/>
      <c r="GN113" s="3"/>
      <c r="GO113" s="3"/>
      <c r="GP113" s="3"/>
      <c r="GQ113" s="3"/>
      <c r="GR113" s="3"/>
      <c r="GS113" s="3"/>
      <c r="GT113" s="3"/>
      <c r="GU113" s="3"/>
      <c r="GV113" s="3"/>
      <c r="GW113" s="3"/>
      <c r="GX113" s="3"/>
    </row>
    <row r="114" spans="7:206" x14ac:dyDescent="0.2">
      <c r="G114" s="3"/>
      <c r="H114" s="3"/>
      <c r="I114" s="3"/>
      <c r="J114" s="3"/>
      <c r="K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  <c r="FM114" s="3"/>
      <c r="FN114" s="3"/>
      <c r="FO114" s="3"/>
      <c r="FP114" s="3"/>
      <c r="FQ114" s="3"/>
      <c r="FR114" s="3"/>
      <c r="FS114" s="3"/>
      <c r="FT114" s="3"/>
      <c r="FU114" s="3"/>
      <c r="FV114" s="3"/>
      <c r="FW114" s="3"/>
      <c r="FX114" s="3"/>
      <c r="FY114" s="3"/>
      <c r="FZ114" s="3"/>
      <c r="GA114" s="3"/>
      <c r="GB114" s="3"/>
      <c r="GC114" s="3"/>
      <c r="GD114" s="3"/>
      <c r="GE114" s="3"/>
      <c r="GF114" s="3"/>
      <c r="GG114" s="3"/>
      <c r="GH114" s="3"/>
      <c r="GI114" s="3"/>
      <c r="GJ114" s="3"/>
      <c r="GK114" s="3"/>
      <c r="GL114" s="3"/>
      <c r="GM114" s="3"/>
      <c r="GN114" s="3"/>
      <c r="GO114" s="3"/>
      <c r="GP114" s="3"/>
      <c r="GQ114" s="3"/>
      <c r="GR114" s="3"/>
      <c r="GS114" s="3"/>
      <c r="GT114" s="3"/>
      <c r="GU114" s="3"/>
      <c r="GV114" s="3"/>
      <c r="GW114" s="3"/>
      <c r="GX114" s="3"/>
    </row>
    <row r="115" spans="7:206" x14ac:dyDescent="0.2">
      <c r="G115" s="3"/>
      <c r="H115" s="3"/>
      <c r="I115" s="3"/>
      <c r="J115" s="3"/>
      <c r="K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  <c r="FI115" s="3"/>
      <c r="FJ115" s="3"/>
      <c r="FK115" s="3"/>
      <c r="FL115" s="3"/>
      <c r="FM115" s="3"/>
      <c r="FN115" s="3"/>
      <c r="FO115" s="3"/>
      <c r="FP115" s="3"/>
      <c r="FQ115" s="3"/>
      <c r="FR115" s="3"/>
      <c r="FS115" s="3"/>
      <c r="FT115" s="3"/>
      <c r="FU115" s="3"/>
      <c r="FV115" s="3"/>
      <c r="FW115" s="3"/>
      <c r="FX115" s="3"/>
      <c r="FY115" s="3"/>
      <c r="FZ115" s="3"/>
      <c r="GA115" s="3"/>
      <c r="GB115" s="3"/>
      <c r="GC115" s="3"/>
      <c r="GD115" s="3"/>
      <c r="GE115" s="3"/>
      <c r="GF115" s="3"/>
      <c r="GG115" s="3"/>
      <c r="GH115" s="3"/>
      <c r="GI115" s="3"/>
      <c r="GJ115" s="3"/>
      <c r="GK115" s="3"/>
      <c r="GL115" s="3"/>
      <c r="GM115" s="3"/>
      <c r="GN115" s="3"/>
      <c r="GO115" s="3"/>
      <c r="GP115" s="3"/>
      <c r="GQ115" s="3"/>
      <c r="GR115" s="3"/>
      <c r="GS115" s="3"/>
      <c r="GT115" s="3"/>
      <c r="GU115" s="3"/>
      <c r="GV115" s="3"/>
      <c r="GW115" s="3"/>
      <c r="GX115" s="3"/>
    </row>
    <row r="116" spans="7:206" x14ac:dyDescent="0.2">
      <c r="G116" s="3"/>
      <c r="H116" s="3"/>
      <c r="I116" s="3"/>
      <c r="J116" s="3"/>
      <c r="K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/>
      <c r="FH116" s="3"/>
      <c r="FI116" s="3"/>
      <c r="FJ116" s="3"/>
      <c r="FK116" s="3"/>
      <c r="FL116" s="3"/>
      <c r="FM116" s="3"/>
      <c r="FN116" s="3"/>
      <c r="FO116" s="3"/>
      <c r="FP116" s="3"/>
      <c r="FQ116" s="3"/>
      <c r="FR116" s="3"/>
      <c r="FS116" s="3"/>
      <c r="FT116" s="3"/>
      <c r="FU116" s="3"/>
      <c r="FV116" s="3"/>
      <c r="FW116" s="3"/>
      <c r="FX116" s="3"/>
      <c r="FY116" s="3"/>
      <c r="FZ116" s="3"/>
      <c r="GA116" s="3"/>
      <c r="GB116" s="3"/>
      <c r="GC116" s="3"/>
      <c r="GD116" s="3"/>
      <c r="GE116" s="3"/>
      <c r="GF116" s="3"/>
      <c r="GG116" s="3"/>
      <c r="GH116" s="3"/>
      <c r="GI116" s="3"/>
      <c r="GJ116" s="3"/>
      <c r="GK116" s="3"/>
      <c r="GL116" s="3"/>
      <c r="GM116" s="3"/>
      <c r="GN116" s="3"/>
      <c r="GO116" s="3"/>
      <c r="GP116" s="3"/>
      <c r="GQ116" s="3"/>
      <c r="GR116" s="3"/>
      <c r="GS116" s="3"/>
      <c r="GT116" s="3"/>
      <c r="GU116" s="3"/>
      <c r="GV116" s="3"/>
      <c r="GW116" s="3"/>
      <c r="GX116" s="3"/>
    </row>
    <row r="117" spans="7:206" x14ac:dyDescent="0.2">
      <c r="G117" s="3"/>
      <c r="H117" s="3"/>
      <c r="I117" s="3"/>
      <c r="J117" s="3"/>
      <c r="K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  <c r="DN117" s="3"/>
      <c r="DO117" s="3"/>
      <c r="DP117" s="3"/>
      <c r="DQ117" s="3"/>
      <c r="DR117" s="3"/>
      <c r="DS117" s="3"/>
      <c r="DT117" s="3"/>
      <c r="DU117" s="3"/>
      <c r="DV117" s="3"/>
      <c r="DW117" s="3"/>
      <c r="DX117" s="3"/>
      <c r="DY117" s="3"/>
      <c r="DZ117" s="3"/>
      <c r="EA117" s="3"/>
      <c r="EB117" s="3"/>
      <c r="EC117" s="3"/>
      <c r="ED117" s="3"/>
      <c r="EE117" s="3"/>
      <c r="EF117" s="3"/>
      <c r="EG117" s="3"/>
      <c r="EH117" s="3"/>
      <c r="EI117" s="3"/>
      <c r="EJ117" s="3"/>
      <c r="EK117" s="3"/>
      <c r="EL117" s="3"/>
      <c r="EM117" s="3"/>
      <c r="EN117" s="3"/>
      <c r="EO117" s="3"/>
      <c r="EP117" s="3"/>
      <c r="EQ117" s="3"/>
      <c r="ER117" s="3"/>
      <c r="ES117" s="3"/>
      <c r="ET117" s="3"/>
      <c r="EU117" s="3"/>
      <c r="EV117" s="3"/>
      <c r="EW117" s="3"/>
      <c r="EX117" s="3"/>
      <c r="EY117" s="3"/>
      <c r="EZ117" s="3"/>
      <c r="FA117" s="3"/>
      <c r="FB117" s="3"/>
      <c r="FC117" s="3"/>
      <c r="FD117" s="3"/>
      <c r="FE117" s="3"/>
      <c r="FF117" s="3"/>
      <c r="FG117" s="3"/>
      <c r="FH117" s="3"/>
      <c r="FI117" s="3"/>
      <c r="FJ117" s="3"/>
      <c r="FK117" s="3"/>
      <c r="FL117" s="3"/>
      <c r="FM117" s="3"/>
      <c r="FN117" s="3"/>
      <c r="FO117" s="3"/>
      <c r="FP117" s="3"/>
      <c r="FQ117" s="3"/>
      <c r="FR117" s="3"/>
      <c r="FS117" s="3"/>
      <c r="FT117" s="3"/>
      <c r="FU117" s="3"/>
      <c r="FV117" s="3"/>
      <c r="FW117" s="3"/>
      <c r="FX117" s="3"/>
      <c r="FY117" s="3"/>
      <c r="FZ117" s="3"/>
      <c r="GA117" s="3"/>
      <c r="GB117" s="3"/>
      <c r="GC117" s="3"/>
      <c r="GD117" s="3"/>
      <c r="GE117" s="3"/>
      <c r="GF117" s="3"/>
      <c r="GG117" s="3"/>
      <c r="GH117" s="3"/>
      <c r="GI117" s="3"/>
      <c r="GJ117" s="3"/>
      <c r="GK117" s="3"/>
      <c r="GL117" s="3"/>
      <c r="GM117" s="3"/>
      <c r="GN117" s="3"/>
      <c r="GO117" s="3"/>
      <c r="GP117" s="3"/>
      <c r="GQ117" s="3"/>
      <c r="GR117" s="3"/>
      <c r="GS117" s="3"/>
      <c r="GT117" s="3"/>
      <c r="GU117" s="3"/>
      <c r="GV117" s="3"/>
      <c r="GW117" s="3"/>
      <c r="GX117" s="3"/>
    </row>
    <row r="118" spans="7:206" x14ac:dyDescent="0.2">
      <c r="G118" s="3"/>
      <c r="H118" s="3"/>
      <c r="I118" s="3"/>
      <c r="J118" s="3"/>
      <c r="K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  <c r="DN118" s="3"/>
      <c r="DO118" s="3"/>
      <c r="DP118" s="3"/>
      <c r="DQ118" s="3"/>
      <c r="DR118" s="3"/>
      <c r="DS118" s="3"/>
      <c r="DT118" s="3"/>
      <c r="DU118" s="3"/>
      <c r="DV118" s="3"/>
      <c r="DW118" s="3"/>
      <c r="DX118" s="3"/>
      <c r="DY118" s="3"/>
      <c r="DZ118" s="3"/>
      <c r="EA118" s="3"/>
      <c r="EB118" s="3"/>
      <c r="EC118" s="3"/>
      <c r="ED118" s="3"/>
      <c r="EE118" s="3"/>
      <c r="EF118" s="3"/>
      <c r="EG118" s="3"/>
      <c r="EH118" s="3"/>
      <c r="EI118" s="3"/>
      <c r="EJ118" s="3"/>
      <c r="EK118" s="3"/>
      <c r="EL118" s="3"/>
      <c r="EM118" s="3"/>
      <c r="EN118" s="3"/>
      <c r="EO118" s="3"/>
      <c r="EP118" s="3"/>
      <c r="EQ118" s="3"/>
      <c r="ER118" s="3"/>
      <c r="ES118" s="3"/>
      <c r="ET118" s="3"/>
      <c r="EU118" s="3"/>
      <c r="EV118" s="3"/>
      <c r="EW118" s="3"/>
      <c r="EX118" s="3"/>
      <c r="EY118" s="3"/>
      <c r="EZ118" s="3"/>
      <c r="FA118" s="3"/>
      <c r="FB118" s="3"/>
      <c r="FC118" s="3"/>
      <c r="FD118" s="3"/>
      <c r="FE118" s="3"/>
      <c r="FF118" s="3"/>
      <c r="FG118" s="3"/>
      <c r="FH118" s="3"/>
      <c r="FI118" s="3"/>
      <c r="FJ118" s="3"/>
      <c r="FK118" s="3"/>
      <c r="FL118" s="3"/>
      <c r="FM118" s="3"/>
      <c r="FN118" s="3"/>
      <c r="FO118" s="3"/>
      <c r="FP118" s="3"/>
      <c r="FQ118" s="3"/>
      <c r="FR118" s="3"/>
      <c r="FS118" s="3"/>
      <c r="FT118" s="3"/>
      <c r="FU118" s="3"/>
      <c r="FV118" s="3"/>
      <c r="FW118" s="3"/>
      <c r="FX118" s="3"/>
      <c r="FY118" s="3"/>
      <c r="FZ118" s="3"/>
      <c r="GA118" s="3"/>
      <c r="GB118" s="3"/>
      <c r="GC118" s="3"/>
      <c r="GD118" s="3"/>
      <c r="GE118" s="3"/>
      <c r="GF118" s="3"/>
      <c r="GG118" s="3"/>
      <c r="GH118" s="3"/>
      <c r="GI118" s="3"/>
      <c r="GJ118" s="3"/>
      <c r="GK118" s="3"/>
      <c r="GL118" s="3"/>
      <c r="GM118" s="3"/>
      <c r="GN118" s="3"/>
      <c r="GO118" s="3"/>
      <c r="GP118" s="3"/>
      <c r="GQ118" s="3"/>
      <c r="GR118" s="3"/>
      <c r="GS118" s="3"/>
      <c r="GT118" s="3"/>
      <c r="GU118" s="3"/>
      <c r="GV118" s="3"/>
      <c r="GW118" s="3"/>
      <c r="GX118" s="3"/>
    </row>
    <row r="119" spans="7:206" x14ac:dyDescent="0.2">
      <c r="G119" s="3"/>
      <c r="H119" s="3"/>
      <c r="I119" s="3"/>
      <c r="J119" s="3"/>
      <c r="K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  <c r="DN119" s="3"/>
      <c r="DO119" s="3"/>
      <c r="DP119" s="3"/>
      <c r="DQ119" s="3"/>
      <c r="DR119" s="3"/>
      <c r="DS119" s="3"/>
      <c r="DT119" s="3"/>
      <c r="DU119" s="3"/>
      <c r="DV119" s="3"/>
      <c r="DW119" s="3"/>
      <c r="DX119" s="3"/>
      <c r="DY119" s="3"/>
      <c r="DZ119" s="3"/>
      <c r="EA119" s="3"/>
      <c r="EB119" s="3"/>
      <c r="EC119" s="3"/>
      <c r="ED119" s="3"/>
      <c r="EE119" s="3"/>
      <c r="EF119" s="3"/>
      <c r="EG119" s="3"/>
      <c r="EH119" s="3"/>
      <c r="EI119" s="3"/>
      <c r="EJ119" s="3"/>
      <c r="EK119" s="3"/>
      <c r="EL119" s="3"/>
      <c r="EM119" s="3"/>
      <c r="EN119" s="3"/>
      <c r="EO119" s="3"/>
      <c r="EP119" s="3"/>
      <c r="EQ119" s="3"/>
      <c r="ER119" s="3"/>
      <c r="ES119" s="3"/>
      <c r="ET119" s="3"/>
      <c r="EU119" s="3"/>
      <c r="EV119" s="3"/>
      <c r="EW119" s="3"/>
      <c r="EX119" s="3"/>
      <c r="EY119" s="3"/>
      <c r="EZ119" s="3"/>
      <c r="FA119" s="3"/>
      <c r="FB119" s="3"/>
      <c r="FC119" s="3"/>
      <c r="FD119" s="3"/>
      <c r="FE119" s="3"/>
      <c r="FF119" s="3"/>
      <c r="FG119" s="3"/>
      <c r="FH119" s="3"/>
      <c r="FI119" s="3"/>
      <c r="FJ119" s="3"/>
      <c r="FK119" s="3"/>
      <c r="FL119" s="3"/>
      <c r="FM119" s="3"/>
      <c r="FN119" s="3"/>
      <c r="FO119" s="3"/>
      <c r="FP119" s="3"/>
      <c r="FQ119" s="3"/>
      <c r="FR119" s="3"/>
      <c r="FS119" s="3"/>
      <c r="FT119" s="3"/>
      <c r="FU119" s="3"/>
      <c r="FV119" s="3"/>
      <c r="FW119" s="3"/>
      <c r="FX119" s="3"/>
      <c r="FY119" s="3"/>
      <c r="FZ119" s="3"/>
      <c r="GA119" s="3"/>
      <c r="GB119" s="3"/>
      <c r="GC119" s="3"/>
      <c r="GD119" s="3"/>
      <c r="GE119" s="3"/>
      <c r="GF119" s="3"/>
      <c r="GG119" s="3"/>
      <c r="GH119" s="3"/>
      <c r="GI119" s="3"/>
      <c r="GJ119" s="3"/>
      <c r="GK119" s="3"/>
      <c r="GL119" s="3"/>
      <c r="GM119" s="3"/>
      <c r="GN119" s="3"/>
      <c r="GO119" s="3"/>
      <c r="GP119" s="3"/>
      <c r="GQ119" s="3"/>
      <c r="GR119" s="3"/>
      <c r="GS119" s="3"/>
      <c r="GT119" s="3"/>
      <c r="GU119" s="3"/>
      <c r="GV119" s="3"/>
      <c r="GW119" s="3"/>
      <c r="GX119" s="3"/>
    </row>
    <row r="120" spans="7:206" x14ac:dyDescent="0.2">
      <c r="G120" s="3"/>
      <c r="H120" s="3"/>
      <c r="I120" s="3"/>
      <c r="J120" s="3"/>
      <c r="K120" s="3"/>
      <c r="M120" s="3"/>
      <c r="N120" s="3"/>
      <c r="O120" s="3"/>
      <c r="P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  <c r="DN120" s="3"/>
      <c r="DO120" s="3"/>
      <c r="DP120" s="3"/>
      <c r="DQ120" s="3"/>
      <c r="DR120" s="3"/>
      <c r="DS120" s="3"/>
      <c r="DT120" s="3"/>
      <c r="DU120" s="3"/>
      <c r="DV120" s="3"/>
      <c r="DW120" s="3"/>
      <c r="DX120" s="3"/>
      <c r="DY120" s="3"/>
      <c r="DZ120" s="3"/>
      <c r="EA120" s="3"/>
      <c r="EB120" s="3"/>
      <c r="EC120" s="3"/>
      <c r="ED120" s="3"/>
      <c r="EE120" s="3"/>
      <c r="EF120" s="3"/>
      <c r="EG120" s="3"/>
      <c r="EH120" s="3"/>
      <c r="EI120" s="3"/>
      <c r="EJ120" s="3"/>
      <c r="EK120" s="3"/>
      <c r="EL120" s="3"/>
      <c r="EM120" s="3"/>
      <c r="EN120" s="3"/>
      <c r="EO120" s="3"/>
      <c r="EP120" s="3"/>
      <c r="EQ120" s="3"/>
      <c r="ER120" s="3"/>
      <c r="ES120" s="3"/>
      <c r="ET120" s="3"/>
      <c r="EU120" s="3"/>
      <c r="EV120" s="3"/>
      <c r="EW120" s="3"/>
      <c r="EX120" s="3"/>
      <c r="EY120" s="3"/>
      <c r="EZ120" s="3"/>
      <c r="FA120" s="3"/>
      <c r="FB120" s="3"/>
      <c r="FC120" s="3"/>
      <c r="FD120" s="3"/>
      <c r="FE120" s="3"/>
      <c r="FF120" s="3"/>
      <c r="FG120" s="3"/>
      <c r="FH120" s="3"/>
      <c r="FI120" s="3"/>
      <c r="FJ120" s="3"/>
      <c r="FK120" s="3"/>
      <c r="FL120" s="3"/>
      <c r="FM120" s="3"/>
      <c r="FN120" s="3"/>
      <c r="FO120" s="3"/>
      <c r="FP120" s="3"/>
      <c r="FQ120" s="3"/>
      <c r="FR120" s="3"/>
      <c r="FS120" s="3"/>
      <c r="FT120" s="3"/>
      <c r="FU120" s="3"/>
      <c r="FV120" s="3"/>
      <c r="FW120" s="3"/>
      <c r="FX120" s="3"/>
      <c r="FY120" s="3"/>
      <c r="FZ120" s="3"/>
      <c r="GA120" s="3"/>
      <c r="GB120" s="3"/>
      <c r="GC120" s="3"/>
      <c r="GD120" s="3"/>
      <c r="GE120" s="3"/>
      <c r="GF120" s="3"/>
      <c r="GG120" s="3"/>
      <c r="GH120" s="3"/>
      <c r="GI120" s="3"/>
      <c r="GJ120" s="3"/>
      <c r="GK120" s="3"/>
      <c r="GL120" s="3"/>
      <c r="GM120" s="3"/>
      <c r="GN120" s="3"/>
      <c r="GO120" s="3"/>
      <c r="GP120" s="3"/>
      <c r="GQ120" s="3"/>
      <c r="GR120" s="3"/>
      <c r="GS120" s="3"/>
      <c r="GT120" s="3"/>
      <c r="GU120" s="3"/>
      <c r="GV120" s="3"/>
      <c r="GW120" s="3"/>
      <c r="GX120" s="3"/>
    </row>
    <row r="121" spans="7:206" x14ac:dyDescent="0.2"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Meiser</dc:creator>
  <cp:lastModifiedBy>Michael Meiser</cp:lastModifiedBy>
  <dcterms:created xsi:type="dcterms:W3CDTF">2022-05-13T08:47:45Z</dcterms:created>
  <dcterms:modified xsi:type="dcterms:W3CDTF">2026-03-05T17:13:16Z</dcterms:modified>
</cp:coreProperties>
</file>