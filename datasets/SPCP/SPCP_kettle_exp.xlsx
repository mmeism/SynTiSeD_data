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e02/Documents/SynTiSeD_data/SPCP/"/>
    </mc:Choice>
  </mc:AlternateContent>
  <xr:revisionPtr revIDLastSave="0" documentId="13_ncr:1_{F3AE6933-0D04-FD4C-94F7-D3C4E98B8A0B}" xr6:coauthVersionLast="47" xr6:coauthVersionMax="47" xr10:uidLastSave="{00000000-0000-0000-0000-000000000000}"/>
  <bookViews>
    <workbookView xWindow="0" yWindow="500" windowWidth="29040" windowHeight="17640" xr2:uid="{FC2E3554-D7D3-4A9E-B1F9-EEFBB52B23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7" i="1" l="1"/>
  <c r="J47" i="1"/>
  <c r="I47" i="1"/>
  <c r="H47" i="1"/>
  <c r="G47" i="1"/>
  <c r="F47" i="1"/>
  <c r="K45" i="1"/>
  <c r="J45" i="1"/>
  <c r="I45" i="1"/>
  <c r="H45" i="1"/>
  <c r="G45" i="1"/>
  <c r="F45" i="1"/>
  <c r="K43" i="1"/>
  <c r="J43" i="1"/>
  <c r="I43" i="1"/>
  <c r="H43" i="1"/>
  <c r="G43" i="1"/>
  <c r="F43" i="1"/>
  <c r="K41" i="1"/>
  <c r="J41" i="1"/>
  <c r="I41" i="1"/>
  <c r="H41" i="1"/>
  <c r="G41" i="1"/>
  <c r="F41" i="1"/>
  <c r="K39" i="1"/>
  <c r="J39" i="1"/>
  <c r="I39" i="1"/>
  <c r="H39" i="1"/>
  <c r="G39" i="1"/>
  <c r="F39" i="1"/>
  <c r="K35" i="1"/>
  <c r="J35" i="1"/>
  <c r="I35" i="1"/>
  <c r="H35" i="1"/>
  <c r="G35" i="1"/>
  <c r="F35" i="1"/>
  <c r="K33" i="1"/>
  <c r="J33" i="1"/>
  <c r="I33" i="1"/>
  <c r="H33" i="1"/>
  <c r="G33" i="1"/>
  <c r="F33" i="1"/>
  <c r="K31" i="1"/>
  <c r="J31" i="1"/>
  <c r="I31" i="1"/>
  <c r="H31" i="1"/>
  <c r="G31" i="1"/>
  <c r="F31" i="1"/>
  <c r="K29" i="1"/>
  <c r="J29" i="1"/>
  <c r="I29" i="1"/>
  <c r="H29" i="1"/>
  <c r="G29" i="1"/>
  <c r="F29" i="1"/>
  <c r="K27" i="1"/>
  <c r="J27" i="1"/>
  <c r="I27" i="1"/>
  <c r="H27" i="1"/>
  <c r="G27" i="1"/>
  <c r="F27" i="1"/>
  <c r="K23" i="1"/>
  <c r="J23" i="1"/>
  <c r="I23" i="1"/>
  <c r="H23" i="1"/>
  <c r="G23" i="1"/>
  <c r="F23" i="1"/>
  <c r="K21" i="1"/>
  <c r="J21" i="1"/>
  <c r="I21" i="1"/>
  <c r="H21" i="1"/>
  <c r="G21" i="1"/>
  <c r="F21" i="1"/>
  <c r="K19" i="1"/>
  <c r="J19" i="1"/>
  <c r="I19" i="1"/>
  <c r="H19" i="1"/>
  <c r="G19" i="1"/>
  <c r="G9" i="1" s="1"/>
  <c r="F19" i="1"/>
  <c r="K17" i="1"/>
  <c r="J17" i="1"/>
  <c r="I17" i="1"/>
  <c r="H17" i="1"/>
  <c r="G17" i="1"/>
  <c r="G8" i="1" s="1"/>
  <c r="F17" i="1"/>
  <c r="K15" i="1"/>
  <c r="J15" i="1"/>
  <c r="I15" i="1"/>
  <c r="H15" i="1"/>
  <c r="G15" i="1"/>
  <c r="F15" i="1"/>
  <c r="G7" i="1" l="1"/>
  <c r="G10" i="1"/>
  <c r="G11" i="1"/>
</calcChain>
</file>

<file path=xl/sharedStrings.xml><?xml version="1.0" encoding="utf-8"?>
<sst xmlns="http://schemas.openxmlformats.org/spreadsheetml/2006/main" count="76" uniqueCount="44">
  <si>
    <t>Konfig:</t>
  </si>
  <si>
    <t>device: kettle</t>
  </si>
  <si>
    <t>NILM Algorithms:</t>
  </si>
  <si>
    <t>Metric</t>
  </si>
  <si>
    <t>Mean</t>
  </si>
  <si>
    <t>Experiments</t>
  </si>
  <si>
    <t>MAE</t>
  </si>
  <si>
    <t>DAE</t>
  </si>
  <si>
    <t>RNN</t>
  </si>
  <si>
    <t>WindowGRU</t>
  </si>
  <si>
    <t>Seq2Seq</t>
  </si>
  <si>
    <t>Seq2Point</t>
  </si>
  <si>
    <t>Max</t>
  </si>
  <si>
    <t>Min</t>
  </si>
  <si>
    <t>Variance</t>
  </si>
  <si>
    <t>Standart deviation</t>
  </si>
  <si>
    <t>für alle Algorithmen stardart NILM settings</t>
  </si>
  <si>
    <t>Number of exp</t>
  </si>
  <si>
    <t>buildings': 11</t>
  </si>
  <si>
    <t>buildings': 17</t>
  </si>
  <si>
    <t>reale Testdaten(hh_08):</t>
  </si>
  <si>
    <t>reale Testdaten(hh_11):</t>
  </si>
  <si>
    <t>reale Testdaten(hh_17):</t>
  </si>
  <si>
    <t>start_time': '2020-01-03'</t>
  </si>
  <si>
    <t>end_time': '2020-01-31'</t>
  </si>
  <si>
    <t>start_time': '2019-12-12'</t>
  </si>
  <si>
    <t>end_time': '2019-12-29'</t>
  </si>
  <si>
    <t>start_time': '2020-01-07'</t>
  </si>
  <si>
    <t>validierung: Validation from training data (15%)</t>
  </si>
  <si>
    <t>train_synth (hh_01):</t>
  </si>
  <si>
    <t>train_synth (hh_04):</t>
  </si>
  <si>
    <t>train_synth (hh_07):</t>
  </si>
  <si>
    <t>train_synth (hh_14):</t>
  </si>
  <si>
    <t>WindowGRU_total</t>
  </si>
  <si>
    <t>Seq2Point_total</t>
  </si>
  <si>
    <t>RNN_total</t>
  </si>
  <si>
    <t>DAE_total</t>
  </si>
  <si>
    <t>Seq2Seq_total</t>
  </si>
  <si>
    <t>start_time': '2024-06-01'</t>
  </si>
  <si>
    <t>end_time': '2024-06-14'</t>
  </si>
  <si>
    <t>train: SPCP_dataset.h5</t>
  </si>
  <si>
    <t>test_real: test_dataset.h5</t>
  </si>
  <si>
    <t>test_dataset.h5</t>
  </si>
  <si>
    <t>MAE_total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</si>
</sst>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0" fontId="0" fillId="0" borderId="0" xfId="0" quotePrefix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4901-35CF-4ECF-B83A-C1F21DC89CAD}">
  <dimension ref="A1:GY63"/>
  <sheetViews>
    <sheetView tabSelected="1" workbookViewId="0">
      <selection activeCell="B9" sqref="B9"/>
    </sheetView>
  </sheetViews>
  <sheetFormatPr baseColWidth="10" defaultRowHeight="15" x14ac:dyDescent="0.2"/>
  <cols>
    <col min="1" max="1" width="36.83203125" customWidth="1"/>
    <col min="2" max="2" width="24.83203125" customWidth="1"/>
    <col min="3" max="3" width="24.5" customWidth="1"/>
    <col min="4" max="4" width="19.33203125" customWidth="1"/>
    <col min="5" max="5" width="10" customWidth="1"/>
    <col min="6" max="6" width="17.6640625" customWidth="1"/>
    <col min="7" max="7" width="18.1640625" customWidth="1"/>
    <col min="8" max="8" width="12.5" customWidth="1"/>
    <col min="9" max="9" width="12.6640625" customWidth="1"/>
    <col min="10" max="10" width="18.83203125" customWidth="1"/>
    <col min="11" max="11" width="14.83203125" customWidth="1"/>
    <col min="12" max="12" width="5.6640625" customWidth="1"/>
    <col min="13" max="13" width="13.33203125" customWidth="1"/>
  </cols>
  <sheetData>
    <row r="1" spans="1:207" x14ac:dyDescent="0.2">
      <c r="A1" s="1" t="s">
        <v>0</v>
      </c>
      <c r="D1" s="1"/>
    </row>
    <row r="2" spans="1:207" x14ac:dyDescent="0.2">
      <c r="A2" t="s">
        <v>1</v>
      </c>
    </row>
    <row r="3" spans="1:207" x14ac:dyDescent="0.2">
      <c r="A3" t="s">
        <v>40</v>
      </c>
      <c r="B3" s="2"/>
      <c r="C3" s="2"/>
      <c r="E3" s="2"/>
      <c r="G3" s="2"/>
      <c r="H3" s="2"/>
      <c r="I3" s="2"/>
      <c r="J3" s="3"/>
      <c r="K3" s="2"/>
      <c r="L3" s="2"/>
    </row>
    <row r="4" spans="1:207" x14ac:dyDescent="0.2">
      <c r="A4" t="s">
        <v>29</v>
      </c>
      <c r="B4" s="2" t="s">
        <v>38</v>
      </c>
      <c r="C4" s="2" t="s">
        <v>39</v>
      </c>
      <c r="E4" s="2"/>
      <c r="F4" s="2"/>
      <c r="G4" s="2"/>
      <c r="H4" s="2"/>
      <c r="I4" s="2"/>
      <c r="J4" s="2"/>
      <c r="K4" s="2"/>
      <c r="L4" s="2"/>
    </row>
    <row r="5" spans="1:207" x14ac:dyDescent="0.2">
      <c r="A5" t="s">
        <v>30</v>
      </c>
      <c r="B5" s="2" t="s">
        <v>38</v>
      </c>
      <c r="C5" s="2" t="s">
        <v>39</v>
      </c>
      <c r="E5" s="2"/>
      <c r="F5" s="2"/>
      <c r="G5" s="2"/>
      <c r="H5" s="2"/>
      <c r="I5" s="2"/>
      <c r="J5" s="2"/>
      <c r="K5" s="2"/>
      <c r="L5" s="2"/>
    </row>
    <row r="6" spans="1:207" x14ac:dyDescent="0.2">
      <c r="A6" t="s">
        <v>31</v>
      </c>
      <c r="B6" s="2" t="s">
        <v>38</v>
      </c>
      <c r="C6" s="2" t="s">
        <v>39</v>
      </c>
      <c r="E6" s="2"/>
      <c r="F6" s="2"/>
      <c r="G6" s="4" t="s">
        <v>43</v>
      </c>
      <c r="H6" s="2"/>
      <c r="I6" s="2"/>
      <c r="J6" s="2"/>
      <c r="K6" s="2"/>
      <c r="L6" s="2"/>
    </row>
    <row r="7" spans="1:207" x14ac:dyDescent="0.2">
      <c r="A7" t="s">
        <v>32</v>
      </c>
      <c r="B7" s="2" t="s">
        <v>38</v>
      </c>
      <c r="C7" s="2" t="s">
        <v>39</v>
      </c>
      <c r="E7" s="2"/>
      <c r="F7" t="s">
        <v>35</v>
      </c>
      <c r="G7" s="3">
        <f>SUM(G15,G27,G39)/3</f>
        <v>17.742125176666669</v>
      </c>
      <c r="H7" s="3"/>
    </row>
    <row r="8" spans="1:207" x14ac:dyDescent="0.2">
      <c r="A8" t="s">
        <v>41</v>
      </c>
      <c r="E8" s="2"/>
      <c r="F8" t="s">
        <v>33</v>
      </c>
      <c r="G8" s="3">
        <f>SUM(G17,G29,G41)/3</f>
        <v>13.682586506666665</v>
      </c>
      <c r="H8" s="3"/>
    </row>
    <row r="9" spans="1:207" x14ac:dyDescent="0.2">
      <c r="A9" t="s">
        <v>28</v>
      </c>
      <c r="B9" s="2"/>
      <c r="C9" s="2"/>
      <c r="F9" t="s">
        <v>36</v>
      </c>
      <c r="G9" s="3">
        <f>SUM(G19,G31,G43)/3</f>
        <v>18.602667013333335</v>
      </c>
      <c r="H9" s="3"/>
    </row>
    <row r="10" spans="1:207" x14ac:dyDescent="0.2">
      <c r="A10" t="s">
        <v>16</v>
      </c>
      <c r="F10" t="s">
        <v>37</v>
      </c>
      <c r="G10" s="3">
        <f>SUM(G21,G33,G45)/3</f>
        <v>13.567072019999998</v>
      </c>
      <c r="H10" s="3"/>
    </row>
    <row r="11" spans="1:207" x14ac:dyDescent="0.2">
      <c r="F11" t="s">
        <v>34</v>
      </c>
      <c r="G11" s="3">
        <f>SUM(G23,G35,G47)/3</f>
        <v>14.479992546666667</v>
      </c>
      <c r="H11" s="3"/>
    </row>
    <row r="13" spans="1:207" x14ac:dyDescent="0.2">
      <c r="D13" s="1" t="s">
        <v>20</v>
      </c>
    </row>
    <row r="14" spans="1:207" x14ac:dyDescent="0.2">
      <c r="B14" t="s">
        <v>42</v>
      </c>
      <c r="D14" s="1" t="s">
        <v>2</v>
      </c>
      <c r="E14" s="1" t="s">
        <v>3</v>
      </c>
      <c r="F14" s="1" t="s">
        <v>17</v>
      </c>
      <c r="G14" s="1" t="s">
        <v>4</v>
      </c>
      <c r="H14" s="1" t="s">
        <v>12</v>
      </c>
      <c r="I14" s="1" t="s">
        <v>13</v>
      </c>
      <c r="J14" s="1" t="s">
        <v>15</v>
      </c>
      <c r="K14" s="1" t="s">
        <v>14</v>
      </c>
      <c r="L14" s="1"/>
      <c r="M14" s="1" t="s">
        <v>5</v>
      </c>
    </row>
    <row r="15" spans="1:207" x14ac:dyDescent="0.2">
      <c r="D15" t="s">
        <v>8</v>
      </c>
      <c r="E15" t="s">
        <v>6</v>
      </c>
      <c r="F15">
        <f>COUNT(M15:GJ15)</f>
        <v>100</v>
      </c>
      <c r="G15" s="3">
        <f>AVERAGE(M15:GJ15)</f>
        <v>34.940260420000008</v>
      </c>
      <c r="H15" s="3">
        <f>MAX(M15:GJ15)</f>
        <v>51.512562000000003</v>
      </c>
      <c r="I15" s="3">
        <f>MIN(M15:GJ15)</f>
        <v>27.794032999999999</v>
      </c>
      <c r="J15" s="3">
        <f>_xlfn.STDEV.P(M15:GJ15)</f>
        <v>5.1391914723878971</v>
      </c>
      <c r="K15" s="3">
        <f>_xlfn.VAR.S(M15:GJ15)</f>
        <v>26.67806968673187</v>
      </c>
      <c r="M15" s="3">
        <v>41.931323999999996</v>
      </c>
      <c r="N15" s="3">
        <v>40.302612000000003</v>
      </c>
      <c r="O15" s="3">
        <v>44.728606999999997</v>
      </c>
      <c r="P15" s="3">
        <v>39.576282999999997</v>
      </c>
      <c r="Q15" s="3">
        <v>49.679313999999998</v>
      </c>
      <c r="R15" s="3">
        <v>33.668292999999998</v>
      </c>
      <c r="S15" s="3">
        <v>51.512562000000003</v>
      </c>
      <c r="T15" s="3">
        <v>35.820239999999998</v>
      </c>
      <c r="U15" s="3">
        <v>40.849105999999999</v>
      </c>
      <c r="V15" s="3">
        <v>38.57114</v>
      </c>
      <c r="W15" s="3">
        <v>33.837398999999998</v>
      </c>
      <c r="X15" s="3">
        <v>41.303866999999997</v>
      </c>
      <c r="Y15" s="3">
        <v>41.502234999999999</v>
      </c>
      <c r="Z15" s="3">
        <v>38.660442000000003</v>
      </c>
      <c r="AA15" s="3">
        <v>41.290573000000002</v>
      </c>
      <c r="AB15" s="3">
        <v>41.411006999999998</v>
      </c>
      <c r="AC15" s="3">
        <v>45.074824999999997</v>
      </c>
      <c r="AD15" s="3">
        <v>32.363650999999997</v>
      </c>
      <c r="AE15" s="3">
        <v>38.802340999999998</v>
      </c>
      <c r="AF15" s="3">
        <v>50.944302</v>
      </c>
      <c r="AG15" s="3">
        <v>37.022998999999999</v>
      </c>
      <c r="AH15" s="3">
        <v>44.505904999999998</v>
      </c>
      <c r="AI15" s="3">
        <v>45.335655000000003</v>
      </c>
      <c r="AJ15" s="3">
        <v>37.659045999999996</v>
      </c>
      <c r="AK15" s="3">
        <v>32.452193999999999</v>
      </c>
      <c r="AL15" s="3">
        <v>28.096613000000001</v>
      </c>
      <c r="AM15" s="3">
        <v>33.224564000000001</v>
      </c>
      <c r="AN15" s="3">
        <v>35.689919000000003</v>
      </c>
      <c r="AO15" s="3">
        <v>30.452663000000001</v>
      </c>
      <c r="AP15" s="3">
        <v>36.848770000000002</v>
      </c>
      <c r="AQ15" s="3">
        <v>32.429595999999997</v>
      </c>
      <c r="AR15" s="3">
        <v>35.257496000000003</v>
      </c>
      <c r="AS15" s="3">
        <v>37.748821</v>
      </c>
      <c r="AT15" s="3">
        <v>33.698025000000001</v>
      </c>
      <c r="AU15" s="3">
        <v>35.482776999999999</v>
      </c>
      <c r="AV15" s="3">
        <v>32.272624999999998</v>
      </c>
      <c r="AW15" s="3">
        <v>38.706535000000002</v>
      </c>
      <c r="AX15" s="3">
        <v>41.242927999999999</v>
      </c>
      <c r="AY15" s="3">
        <v>45.420639000000001</v>
      </c>
      <c r="AZ15" s="3">
        <v>33.282665000000001</v>
      </c>
      <c r="BA15" s="3">
        <v>32.744132999999998</v>
      </c>
      <c r="BB15" s="3">
        <v>31.968741999999999</v>
      </c>
      <c r="BC15" s="3">
        <v>37.429245000000002</v>
      </c>
      <c r="BD15" s="3">
        <v>31.6968</v>
      </c>
      <c r="BE15" s="3">
        <v>36.346057999999999</v>
      </c>
      <c r="BF15" s="3">
        <v>31.974488999999998</v>
      </c>
      <c r="BG15" s="3">
        <v>33.652163999999999</v>
      </c>
      <c r="BH15" s="3">
        <v>39.599173999999998</v>
      </c>
      <c r="BI15" s="3">
        <v>39.419528999999997</v>
      </c>
      <c r="BJ15" s="3">
        <v>29.586781999999999</v>
      </c>
      <c r="BK15" s="3">
        <v>27.794032999999999</v>
      </c>
      <c r="BL15" s="3">
        <v>34.139755000000001</v>
      </c>
      <c r="BM15" s="3">
        <v>37.307053000000003</v>
      </c>
      <c r="BN15" s="3">
        <v>31.912908999999999</v>
      </c>
      <c r="BO15" s="3">
        <v>35.208880999999998</v>
      </c>
      <c r="BP15" s="3">
        <v>27.984082999999998</v>
      </c>
      <c r="BQ15" s="3">
        <v>32.547618999999997</v>
      </c>
      <c r="BR15" s="3">
        <v>29.633773999999999</v>
      </c>
      <c r="BS15" s="3">
        <v>27.987068000000001</v>
      </c>
      <c r="BT15" s="3">
        <v>28.732416000000001</v>
      </c>
      <c r="BU15" s="3">
        <v>28.280739000000001</v>
      </c>
      <c r="BV15" s="3">
        <v>32.845126999999998</v>
      </c>
      <c r="BW15" s="3">
        <v>30.354277</v>
      </c>
      <c r="BX15" s="3">
        <v>34.342117000000002</v>
      </c>
      <c r="BY15" s="3">
        <v>32.850867999999998</v>
      </c>
      <c r="BZ15" s="3">
        <v>32.511578</v>
      </c>
      <c r="CA15" s="3">
        <v>28.854996</v>
      </c>
      <c r="CB15" s="3">
        <v>29.273057999999999</v>
      </c>
      <c r="CC15" s="3">
        <v>32.497036000000001</v>
      </c>
      <c r="CD15" s="3">
        <v>33.541691</v>
      </c>
      <c r="CE15" s="3">
        <v>33.034962</v>
      </c>
      <c r="CF15" s="3">
        <v>34.435802000000002</v>
      </c>
      <c r="CG15" s="3">
        <v>36.264747999999997</v>
      </c>
      <c r="CH15" s="3">
        <v>32.864677</v>
      </c>
      <c r="CI15" s="3">
        <v>33.628985999999998</v>
      </c>
      <c r="CJ15" s="3">
        <v>31.460152000000001</v>
      </c>
      <c r="CK15" s="3">
        <v>35.106288999999997</v>
      </c>
      <c r="CL15" s="3">
        <v>30.624020000000002</v>
      </c>
      <c r="CM15" s="3">
        <v>28.996002000000001</v>
      </c>
      <c r="CN15" s="3">
        <v>35.924278000000001</v>
      </c>
      <c r="CO15" s="3">
        <v>31.013947000000002</v>
      </c>
      <c r="CP15" s="3">
        <v>29.924448000000002</v>
      </c>
      <c r="CQ15" s="3">
        <v>33.856566999999998</v>
      </c>
      <c r="CR15" s="3">
        <v>32.794471999999999</v>
      </c>
      <c r="CS15" s="3">
        <v>30.906063</v>
      </c>
      <c r="CT15" s="3">
        <v>30.244520000000001</v>
      </c>
      <c r="CU15" s="3">
        <v>32.547974000000004</v>
      </c>
      <c r="CV15" s="3">
        <v>29.336357</v>
      </c>
      <c r="CW15" s="3">
        <v>34.843074999999999</v>
      </c>
      <c r="CX15" s="3">
        <v>31.954794</v>
      </c>
      <c r="CY15" s="3">
        <v>31.256847</v>
      </c>
      <c r="CZ15" s="3">
        <v>29.698820000000001</v>
      </c>
      <c r="DA15" s="3">
        <v>33.141616999999997</v>
      </c>
      <c r="DB15" s="3">
        <v>32.524338</v>
      </c>
      <c r="DC15" s="3">
        <v>39.441341000000001</v>
      </c>
      <c r="DD15" s="3">
        <v>33.122611999999997</v>
      </c>
      <c r="DE15" s="3">
        <v>30.856722000000001</v>
      </c>
      <c r="DF15" s="3">
        <v>29.388083999999999</v>
      </c>
      <c r="DG15" s="3">
        <v>30.675529000000001</v>
      </c>
      <c r="DH15" s="3">
        <v>32.481247000000003</v>
      </c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 spans="1:207" x14ac:dyDescent="0.2">
      <c r="B16" s="2" t="s">
        <v>23</v>
      </c>
      <c r="G16" s="3"/>
      <c r="H16" s="3"/>
      <c r="I16" s="3"/>
      <c r="J16" s="3"/>
      <c r="K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 spans="2:207" x14ac:dyDescent="0.2">
      <c r="D17" t="s">
        <v>9</v>
      </c>
      <c r="E17" t="s">
        <v>6</v>
      </c>
      <c r="F17">
        <f>COUNT(M17:GJ17)</f>
        <v>100</v>
      </c>
      <c r="G17" s="3">
        <f>AVERAGE(M17:GJ17)</f>
        <v>23.804836469999991</v>
      </c>
      <c r="H17" s="3">
        <f>MAX(M17:GJ17)</f>
        <v>35.727905</v>
      </c>
      <c r="I17" s="3">
        <f>MIN(M17:GJ17)</f>
        <v>18.403593000000001</v>
      </c>
      <c r="J17" s="3">
        <f>_xlfn.STDEV.P(M17:GJ17)</f>
        <v>3.1227474261987527</v>
      </c>
      <c r="K17" s="3">
        <f>_xlfn.VAR.S(M17:GJ17)</f>
        <v>9.8500520079099747</v>
      </c>
      <c r="M17" s="3">
        <v>29.159029</v>
      </c>
      <c r="N17" s="3">
        <v>23.138746000000001</v>
      </c>
      <c r="O17" s="3">
        <v>23.786328999999999</v>
      </c>
      <c r="P17" s="3">
        <v>31.000454000000001</v>
      </c>
      <c r="Q17" s="3">
        <v>20.346081000000002</v>
      </c>
      <c r="R17" s="3">
        <v>21.290094</v>
      </c>
      <c r="S17" s="3">
        <v>20.551386000000001</v>
      </c>
      <c r="T17" s="3">
        <v>25.303114000000001</v>
      </c>
      <c r="U17" s="3">
        <v>31.305412</v>
      </c>
      <c r="V17" s="3">
        <v>26.380908999999999</v>
      </c>
      <c r="W17" s="3">
        <v>25.38711</v>
      </c>
      <c r="X17" s="3">
        <v>25.312840999999999</v>
      </c>
      <c r="Y17" s="3">
        <v>19.458105</v>
      </c>
      <c r="Z17" s="3">
        <v>23.846350000000001</v>
      </c>
      <c r="AA17" s="3">
        <v>35.727905</v>
      </c>
      <c r="AB17" s="3">
        <v>30.136800999999998</v>
      </c>
      <c r="AC17" s="3">
        <v>22.566815999999999</v>
      </c>
      <c r="AD17" s="3">
        <v>27.004287999999999</v>
      </c>
      <c r="AE17" s="3">
        <v>28.542138999999999</v>
      </c>
      <c r="AF17" s="3">
        <v>26.536066000000002</v>
      </c>
      <c r="AG17" s="3">
        <v>31.678728</v>
      </c>
      <c r="AH17" s="3">
        <v>27.861832</v>
      </c>
      <c r="AI17" s="3">
        <v>25.402218000000001</v>
      </c>
      <c r="AJ17" s="3">
        <v>23.770856999999999</v>
      </c>
      <c r="AK17" s="3">
        <v>26.429193000000001</v>
      </c>
      <c r="AL17" s="3">
        <v>22.768543000000001</v>
      </c>
      <c r="AM17" s="3">
        <v>31.093734999999999</v>
      </c>
      <c r="AN17" s="3">
        <v>24.414777999999998</v>
      </c>
      <c r="AO17" s="3">
        <v>22.64189</v>
      </c>
      <c r="AP17" s="3">
        <v>21.277273000000001</v>
      </c>
      <c r="AQ17" s="3">
        <v>21.945595000000001</v>
      </c>
      <c r="AR17" s="3">
        <v>23.335791</v>
      </c>
      <c r="AS17" s="3">
        <v>28.044447000000002</v>
      </c>
      <c r="AT17" s="3">
        <v>23.502109999999998</v>
      </c>
      <c r="AU17" s="3">
        <v>21.435476000000001</v>
      </c>
      <c r="AV17" s="3">
        <v>24.152930999999999</v>
      </c>
      <c r="AW17" s="3">
        <v>21.300422999999999</v>
      </c>
      <c r="AX17" s="3">
        <v>20.528704000000001</v>
      </c>
      <c r="AY17" s="3">
        <v>25.566935999999998</v>
      </c>
      <c r="AZ17" s="3">
        <v>23.434508999999998</v>
      </c>
      <c r="BA17" s="3">
        <v>18.403593000000001</v>
      </c>
      <c r="BB17" s="3">
        <v>20.785768999999998</v>
      </c>
      <c r="BC17" s="3">
        <v>21.882303</v>
      </c>
      <c r="BD17" s="3">
        <v>30.049109999999999</v>
      </c>
      <c r="BE17" s="3">
        <v>23.984190000000002</v>
      </c>
      <c r="BF17" s="3">
        <v>24.412597999999999</v>
      </c>
      <c r="BG17" s="3">
        <v>25.908612999999999</v>
      </c>
      <c r="BH17" s="3">
        <v>21.442996999999998</v>
      </c>
      <c r="BI17" s="3">
        <v>20.890438</v>
      </c>
      <c r="BJ17" s="3">
        <v>23.388020999999998</v>
      </c>
      <c r="BK17" s="3">
        <v>23.361270999999999</v>
      </c>
      <c r="BL17" s="3">
        <v>24.297986999999999</v>
      </c>
      <c r="BM17" s="3">
        <v>25.498626999999999</v>
      </c>
      <c r="BN17" s="3">
        <v>23.378703999999999</v>
      </c>
      <c r="BO17" s="3">
        <v>23.350151</v>
      </c>
      <c r="BP17" s="3">
        <v>23.612514000000001</v>
      </c>
      <c r="BQ17" s="3">
        <v>22.882159999999999</v>
      </c>
      <c r="BR17" s="3">
        <v>24.258875</v>
      </c>
      <c r="BS17" s="3">
        <v>21.954336000000001</v>
      </c>
      <c r="BT17" s="3">
        <v>21.291481000000001</v>
      </c>
      <c r="BU17" s="3">
        <v>24.244447999999998</v>
      </c>
      <c r="BV17" s="3">
        <v>19.769483999999999</v>
      </c>
      <c r="BW17" s="3">
        <v>20.631889000000001</v>
      </c>
      <c r="BX17" s="3">
        <v>28.078861</v>
      </c>
      <c r="BY17" s="3">
        <v>22.233384999999998</v>
      </c>
      <c r="BZ17" s="3">
        <v>22.339787999999999</v>
      </c>
      <c r="CA17" s="3">
        <v>22.709607999999999</v>
      </c>
      <c r="CB17" s="3">
        <v>21.301689</v>
      </c>
      <c r="CC17" s="3">
        <v>21.611810999999999</v>
      </c>
      <c r="CD17" s="3">
        <v>28.310756999999999</v>
      </c>
      <c r="CE17" s="3">
        <v>19.425903000000002</v>
      </c>
      <c r="CF17" s="3">
        <v>24.849276</v>
      </c>
      <c r="CG17" s="3">
        <v>22.190052000000001</v>
      </c>
      <c r="CH17" s="3">
        <v>22.465997999999999</v>
      </c>
      <c r="CI17" s="3">
        <v>22.020229</v>
      </c>
      <c r="CJ17" s="3">
        <v>23.263134000000001</v>
      </c>
      <c r="CK17" s="3">
        <v>26.713578999999999</v>
      </c>
      <c r="CL17" s="3">
        <v>20.862328999999999</v>
      </c>
      <c r="CM17" s="3">
        <v>22.635777999999998</v>
      </c>
      <c r="CN17" s="3">
        <v>23.709714999999999</v>
      </c>
      <c r="CO17" s="3">
        <v>21.259308000000001</v>
      </c>
      <c r="CP17" s="3">
        <v>23.572243</v>
      </c>
      <c r="CQ17" s="3">
        <v>22.841878999999999</v>
      </c>
      <c r="CR17" s="3">
        <v>24.319389000000001</v>
      </c>
      <c r="CS17" s="3">
        <v>25.185293000000001</v>
      </c>
      <c r="CT17" s="3">
        <v>22.719624</v>
      </c>
      <c r="CU17" s="3">
        <v>19.375247999999999</v>
      </c>
      <c r="CV17" s="3">
        <v>21.074649999999998</v>
      </c>
      <c r="CW17" s="3">
        <v>20.355839</v>
      </c>
      <c r="CX17" s="3">
        <v>22.425066000000001</v>
      </c>
      <c r="CY17" s="3">
        <v>23.423591999999999</v>
      </c>
      <c r="CZ17" s="3">
        <v>21.641489</v>
      </c>
      <c r="DA17" s="3">
        <v>20.309726999999999</v>
      </c>
      <c r="DB17" s="3">
        <v>27.704170000000001</v>
      </c>
      <c r="DC17" s="3">
        <v>23.394873</v>
      </c>
      <c r="DD17" s="3">
        <v>20.899623999999999</v>
      </c>
      <c r="DE17" s="3">
        <v>22.911788999999999</v>
      </c>
      <c r="DF17" s="3">
        <v>23.149239000000001</v>
      </c>
      <c r="DG17" s="3">
        <v>19.884571000000001</v>
      </c>
      <c r="DH17" s="3">
        <v>22.268639</v>
      </c>
      <c r="DI17" s="3"/>
      <c r="DJ17" s="3"/>
      <c r="DK17" s="3"/>
      <c r="DL17" s="3"/>
      <c r="DM17" s="3"/>
      <c r="DO17" s="3"/>
      <c r="DT17" s="3"/>
      <c r="DU17" s="3"/>
      <c r="DX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 spans="2:207" x14ac:dyDescent="0.2">
      <c r="G18" s="3"/>
      <c r="H18" s="3"/>
      <c r="I18" s="3"/>
      <c r="J18" s="3"/>
      <c r="K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 spans="2:207" x14ac:dyDescent="0.2">
      <c r="D19" t="s">
        <v>7</v>
      </c>
      <c r="E19" t="s">
        <v>6</v>
      </c>
      <c r="F19">
        <f>COUNT(M19:GJ19)</f>
        <v>100</v>
      </c>
      <c r="G19" s="3">
        <f>AVERAGE(M19:GJ19)</f>
        <v>33.786655480000007</v>
      </c>
      <c r="H19" s="3">
        <f>MAX(M19:GJ19)</f>
        <v>41.265957</v>
      </c>
      <c r="I19" s="3">
        <f>MIN(M19:GJ19)</f>
        <v>26.539798999999999</v>
      </c>
      <c r="J19" s="3">
        <f>_xlfn.STDEV.P(M19:GJ19)</f>
        <v>3.5121947660721773</v>
      </c>
      <c r="K19" s="3">
        <f>_xlfn.VAR.S(M19:GJ19)</f>
        <v>12.460113206893737</v>
      </c>
      <c r="M19" s="3">
        <v>41.265957</v>
      </c>
      <c r="N19" s="3">
        <v>31.470718000000002</v>
      </c>
      <c r="O19" s="3">
        <v>36.165134000000002</v>
      </c>
      <c r="P19" s="3">
        <v>37.326771000000001</v>
      </c>
      <c r="Q19" s="3">
        <v>35.566780000000001</v>
      </c>
      <c r="R19" s="3">
        <v>41.199043000000003</v>
      </c>
      <c r="S19" s="3">
        <v>35.748646000000001</v>
      </c>
      <c r="T19" s="3">
        <v>36.642811000000002</v>
      </c>
      <c r="U19" s="3">
        <v>38.966934000000002</v>
      </c>
      <c r="V19" s="3">
        <v>38.658295000000003</v>
      </c>
      <c r="W19" s="3">
        <v>31.101284</v>
      </c>
      <c r="X19" s="3">
        <v>39.580840999999999</v>
      </c>
      <c r="Y19" s="3">
        <v>35.553103999999998</v>
      </c>
      <c r="Z19" s="3">
        <v>34.984219000000003</v>
      </c>
      <c r="AA19" s="3">
        <v>38.831367</v>
      </c>
      <c r="AB19" s="3">
        <v>34.051380000000002</v>
      </c>
      <c r="AC19" s="3">
        <v>39.570061000000003</v>
      </c>
      <c r="AD19" s="3">
        <v>37.543930000000003</v>
      </c>
      <c r="AE19" s="3">
        <v>39.646327999999997</v>
      </c>
      <c r="AF19" s="3">
        <v>39.230739999999997</v>
      </c>
      <c r="AG19" s="3">
        <v>34.914959000000003</v>
      </c>
      <c r="AH19" s="3">
        <v>36.080325999999999</v>
      </c>
      <c r="AI19" s="3">
        <v>29.944579999999998</v>
      </c>
      <c r="AJ19" s="3">
        <v>35.299239999999998</v>
      </c>
      <c r="AK19" s="3">
        <v>36.742538000000003</v>
      </c>
      <c r="AL19" s="3">
        <v>31.334211</v>
      </c>
      <c r="AM19" s="3">
        <v>35.353088</v>
      </c>
      <c r="AN19" s="3">
        <v>36.063229</v>
      </c>
      <c r="AO19" s="3">
        <v>38.114531999999997</v>
      </c>
      <c r="AP19" s="3">
        <v>36.399146999999999</v>
      </c>
      <c r="AQ19" s="3">
        <v>34.433266000000003</v>
      </c>
      <c r="AR19" s="3">
        <v>37.996647000000003</v>
      </c>
      <c r="AS19" s="3">
        <v>30.994198000000001</v>
      </c>
      <c r="AT19" s="3">
        <v>37.47448</v>
      </c>
      <c r="AU19" s="3">
        <v>36.185406</v>
      </c>
      <c r="AV19" s="3">
        <v>36.010044000000001</v>
      </c>
      <c r="AW19" s="3">
        <v>32.338023999999997</v>
      </c>
      <c r="AX19" s="3">
        <v>37.363585999999998</v>
      </c>
      <c r="AY19" s="3">
        <v>38.062950000000001</v>
      </c>
      <c r="AZ19" s="3">
        <v>31.869706999999998</v>
      </c>
      <c r="BA19" s="3">
        <v>33.719577999999998</v>
      </c>
      <c r="BB19" s="3">
        <v>40.131869999999999</v>
      </c>
      <c r="BC19" s="3">
        <v>33.571429999999999</v>
      </c>
      <c r="BD19" s="3">
        <v>34.967354</v>
      </c>
      <c r="BE19" s="3">
        <v>35.229511000000002</v>
      </c>
      <c r="BF19" s="3">
        <v>35.686641999999999</v>
      </c>
      <c r="BG19" s="3">
        <v>32.394772000000003</v>
      </c>
      <c r="BH19" s="3">
        <v>34.556393</v>
      </c>
      <c r="BI19" s="3">
        <v>36.284869999999998</v>
      </c>
      <c r="BJ19" s="3">
        <v>34.842556000000002</v>
      </c>
      <c r="BK19" s="3">
        <v>34.742457999999999</v>
      </c>
      <c r="BL19" s="3">
        <v>30.382874999999999</v>
      </c>
      <c r="BM19" s="3">
        <v>29.787081000000001</v>
      </c>
      <c r="BN19" s="3">
        <v>30.721643</v>
      </c>
      <c r="BO19" s="3">
        <v>38.444274999999998</v>
      </c>
      <c r="BP19" s="3">
        <v>30.175004999999999</v>
      </c>
      <c r="BQ19" s="3">
        <v>34.437950000000001</v>
      </c>
      <c r="BR19" s="3">
        <v>32.80547</v>
      </c>
      <c r="BS19" s="3">
        <v>29.774788000000001</v>
      </c>
      <c r="BT19" s="3">
        <v>28.185991000000001</v>
      </c>
      <c r="BU19" s="3">
        <v>32.679355999999999</v>
      </c>
      <c r="BV19" s="3">
        <v>27.665206999999999</v>
      </c>
      <c r="BW19" s="3">
        <v>34.247387000000003</v>
      </c>
      <c r="BX19" s="3">
        <v>39.558449000000003</v>
      </c>
      <c r="BY19" s="3">
        <v>32.707684</v>
      </c>
      <c r="BZ19" s="3">
        <v>34.323188999999999</v>
      </c>
      <c r="CA19" s="3">
        <v>26.539798999999999</v>
      </c>
      <c r="CB19" s="3">
        <v>28.703676000000002</v>
      </c>
      <c r="CC19" s="3">
        <v>31.651098000000001</v>
      </c>
      <c r="CD19" s="3">
        <v>30.052326000000001</v>
      </c>
      <c r="CE19" s="3">
        <v>33.686134000000003</v>
      </c>
      <c r="CF19" s="3">
        <v>30.506170000000001</v>
      </c>
      <c r="CG19" s="3">
        <v>33.989311000000001</v>
      </c>
      <c r="CH19" s="3">
        <v>28.851889</v>
      </c>
      <c r="CI19" s="3">
        <v>31.277073000000001</v>
      </c>
      <c r="CJ19" s="3">
        <v>30.731770000000001</v>
      </c>
      <c r="CK19" s="3">
        <v>36.642539999999997</v>
      </c>
      <c r="CL19" s="3">
        <v>28.606987</v>
      </c>
      <c r="CM19" s="3">
        <v>32.817574</v>
      </c>
      <c r="CN19" s="3">
        <v>33.319481000000003</v>
      </c>
      <c r="CO19" s="3">
        <v>30.941400999999999</v>
      </c>
      <c r="CP19" s="3">
        <v>31.020455999999999</v>
      </c>
      <c r="CQ19" s="3">
        <v>27.808031</v>
      </c>
      <c r="CR19" s="3">
        <v>29.395299999999999</v>
      </c>
      <c r="CS19" s="3">
        <v>33.605606000000002</v>
      </c>
      <c r="CT19" s="3">
        <v>32.194175999999999</v>
      </c>
      <c r="CU19" s="3">
        <v>29.854776000000001</v>
      </c>
      <c r="CV19" s="3">
        <v>31.697533</v>
      </c>
      <c r="CW19" s="3">
        <v>31.329350000000002</v>
      </c>
      <c r="CX19" s="3">
        <v>31.18646</v>
      </c>
      <c r="CY19" s="3">
        <v>29.869230000000002</v>
      </c>
      <c r="CZ19" s="3">
        <v>27.692919</v>
      </c>
      <c r="DA19" s="3">
        <v>30.298304000000002</v>
      </c>
      <c r="DB19" s="3">
        <v>31.441292000000001</v>
      </c>
      <c r="DC19" s="3">
        <v>36.017665999999998</v>
      </c>
      <c r="DD19" s="3">
        <v>27.442150000000002</v>
      </c>
      <c r="DE19" s="3">
        <v>28.740341000000001</v>
      </c>
      <c r="DF19" s="3">
        <v>32.046348999999999</v>
      </c>
      <c r="DG19" s="3">
        <v>36.219906000000002</v>
      </c>
      <c r="DH19" s="3">
        <v>34.386189000000002</v>
      </c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 spans="2:207" x14ac:dyDescent="0.2">
      <c r="G20" s="3"/>
      <c r="H20" s="3"/>
      <c r="I20" s="3"/>
      <c r="J20" s="3"/>
      <c r="K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 spans="2:207" x14ac:dyDescent="0.2">
      <c r="D21" t="s">
        <v>10</v>
      </c>
      <c r="E21" t="s">
        <v>6</v>
      </c>
      <c r="F21">
        <f>COUNT(M21:GJ21)</f>
        <v>100</v>
      </c>
      <c r="G21" s="3">
        <f>AVERAGE(M21:GJ21)</f>
        <v>24.266578709999994</v>
      </c>
      <c r="H21" s="3">
        <f>MAX(M21:GJ21)</f>
        <v>30.176601000000002</v>
      </c>
      <c r="I21" s="3">
        <f>MIN(M21:GJ21)</f>
        <v>20.963847999999999</v>
      </c>
      <c r="J21" s="3">
        <f>_xlfn.STDEV.P(M21:GJ21)</f>
        <v>1.7899786649955205</v>
      </c>
      <c r="K21" s="3">
        <f>_xlfn.VAR.S(M21:GJ21)</f>
        <v>3.2363874961001473</v>
      </c>
      <c r="M21" s="3">
        <v>23.892154999999999</v>
      </c>
      <c r="N21" s="3">
        <v>28.966124000000001</v>
      </c>
      <c r="O21" s="3">
        <v>24.878862000000002</v>
      </c>
      <c r="P21" s="3">
        <v>25.246286000000001</v>
      </c>
      <c r="Q21" s="3">
        <v>30.176601000000002</v>
      </c>
      <c r="R21" s="3">
        <v>23.415099999999999</v>
      </c>
      <c r="S21" s="3">
        <v>24.637926</v>
      </c>
      <c r="T21" s="3">
        <v>27.897036</v>
      </c>
      <c r="U21" s="3">
        <v>24.547874</v>
      </c>
      <c r="V21" s="3">
        <v>28.872702</v>
      </c>
      <c r="W21" s="3">
        <v>28.172578999999999</v>
      </c>
      <c r="X21" s="3">
        <v>23.251861999999999</v>
      </c>
      <c r="Y21" s="3">
        <v>26.279095000000002</v>
      </c>
      <c r="Z21" s="3">
        <v>25.509267999999999</v>
      </c>
      <c r="AA21" s="3">
        <v>22.735250000000001</v>
      </c>
      <c r="AB21" s="3">
        <v>25.746502</v>
      </c>
      <c r="AC21" s="3">
        <v>27.998277999999999</v>
      </c>
      <c r="AD21" s="3">
        <v>23.120588000000001</v>
      </c>
      <c r="AE21" s="3">
        <v>22.993407999999999</v>
      </c>
      <c r="AF21" s="3">
        <v>22.883002999999999</v>
      </c>
      <c r="AG21" s="3">
        <v>24.323516999999999</v>
      </c>
      <c r="AH21" s="3">
        <v>24.617965999999999</v>
      </c>
      <c r="AI21" s="3">
        <v>23.194963000000001</v>
      </c>
      <c r="AJ21" s="3">
        <v>23.550391999999999</v>
      </c>
      <c r="AK21" s="3">
        <v>26.504507</v>
      </c>
      <c r="AL21" s="3">
        <v>24.326392999999999</v>
      </c>
      <c r="AM21" s="3">
        <v>24.275169000000002</v>
      </c>
      <c r="AN21" s="3">
        <v>23.609946999999998</v>
      </c>
      <c r="AO21" s="3">
        <v>23.708881000000002</v>
      </c>
      <c r="AP21" s="3">
        <v>20.963847999999999</v>
      </c>
      <c r="AQ21" s="3">
        <v>24.062548</v>
      </c>
      <c r="AR21" s="3">
        <v>25.760431000000001</v>
      </c>
      <c r="AS21" s="3">
        <v>23.017900000000001</v>
      </c>
      <c r="AT21" s="3">
        <v>25.553093000000001</v>
      </c>
      <c r="AU21" s="3">
        <v>26.721295999999999</v>
      </c>
      <c r="AV21" s="3">
        <v>22.322054000000001</v>
      </c>
      <c r="AW21" s="3">
        <v>24.320952999999999</v>
      </c>
      <c r="AX21" s="3">
        <v>25.051565</v>
      </c>
      <c r="AY21" s="3">
        <v>22.701962000000002</v>
      </c>
      <c r="AZ21" s="3">
        <v>21.989568999999999</v>
      </c>
      <c r="BA21" s="3">
        <v>23.708769</v>
      </c>
      <c r="BB21" s="3">
        <v>22.888929000000001</v>
      </c>
      <c r="BC21" s="3">
        <v>22.410609999999998</v>
      </c>
      <c r="BD21" s="3">
        <v>23.208364</v>
      </c>
      <c r="BE21" s="3">
        <v>22.431602000000002</v>
      </c>
      <c r="BF21" s="3">
        <v>25.845421000000002</v>
      </c>
      <c r="BG21" s="3">
        <v>23.911718</v>
      </c>
      <c r="BH21" s="3">
        <v>24.026053999999998</v>
      </c>
      <c r="BI21" s="3">
        <v>25.339251999999998</v>
      </c>
      <c r="BJ21" s="3">
        <v>24.599322999999998</v>
      </c>
      <c r="BK21" s="3">
        <v>24.397729999999999</v>
      </c>
      <c r="BL21" s="3">
        <v>26.862079999999999</v>
      </c>
      <c r="BM21" s="3">
        <v>22.223894000000001</v>
      </c>
      <c r="BN21" s="3">
        <v>25.724623000000001</v>
      </c>
      <c r="BO21" s="3">
        <v>23.748262</v>
      </c>
      <c r="BP21" s="3">
        <v>24.800374999999999</v>
      </c>
      <c r="BQ21" s="3">
        <v>22.221658999999999</v>
      </c>
      <c r="BR21" s="3">
        <v>25.394908999999998</v>
      </c>
      <c r="BS21" s="3">
        <v>25.805422</v>
      </c>
      <c r="BT21" s="3">
        <v>26.002898999999999</v>
      </c>
      <c r="BU21" s="3">
        <v>22.296057000000001</v>
      </c>
      <c r="BV21" s="3">
        <v>22.317934000000001</v>
      </c>
      <c r="BW21" s="3">
        <v>24.220483999999999</v>
      </c>
      <c r="BX21" s="3">
        <v>26.158731</v>
      </c>
      <c r="BY21" s="3">
        <v>25.236877</v>
      </c>
      <c r="BZ21" s="3">
        <v>23.324154</v>
      </c>
      <c r="CA21" s="3">
        <v>27.426416</v>
      </c>
      <c r="CB21" s="3">
        <v>23.011423000000001</v>
      </c>
      <c r="CC21" s="3">
        <v>23.600093999999999</v>
      </c>
      <c r="CD21" s="3">
        <v>24.049458999999999</v>
      </c>
      <c r="CE21" s="3">
        <v>22.486231</v>
      </c>
      <c r="CF21" s="3">
        <v>22.271204000000001</v>
      </c>
      <c r="CG21" s="3">
        <v>24.154841999999999</v>
      </c>
      <c r="CH21" s="3">
        <v>23.899853</v>
      </c>
      <c r="CI21" s="3">
        <v>28.184152999999998</v>
      </c>
      <c r="CJ21" s="3">
        <v>23.051912000000002</v>
      </c>
      <c r="CK21" s="3">
        <v>26.237886</v>
      </c>
      <c r="CL21" s="3">
        <v>24.13015</v>
      </c>
      <c r="CM21" s="3">
        <v>22.705904</v>
      </c>
      <c r="CN21" s="3">
        <v>25.113934</v>
      </c>
      <c r="CO21" s="3">
        <v>22.127789</v>
      </c>
      <c r="CP21" s="3">
        <v>22.898589999999999</v>
      </c>
      <c r="CQ21" s="3">
        <v>23.682371</v>
      </c>
      <c r="CR21" s="3">
        <v>23.976927</v>
      </c>
      <c r="CS21" s="3">
        <v>23.242432000000001</v>
      </c>
      <c r="CT21" s="3">
        <v>22.816510999999998</v>
      </c>
      <c r="CU21" s="3">
        <v>23.408086999999998</v>
      </c>
      <c r="CV21" s="3">
        <v>21.095832999999999</v>
      </c>
      <c r="CW21" s="3">
        <v>26.287818999999999</v>
      </c>
      <c r="CX21" s="3">
        <v>24.109660999999999</v>
      </c>
      <c r="CY21" s="3">
        <v>22.293543</v>
      </c>
      <c r="CZ21" s="3">
        <v>23.494297</v>
      </c>
      <c r="DA21" s="3">
        <v>23.23807</v>
      </c>
      <c r="DB21" s="3">
        <v>23.622275999999999</v>
      </c>
      <c r="DC21" s="3">
        <v>22.862680000000001</v>
      </c>
      <c r="DD21" s="3">
        <v>22.422543999999998</v>
      </c>
      <c r="DE21" s="3">
        <v>23.387184000000001</v>
      </c>
      <c r="DF21" s="3">
        <v>25.249416</v>
      </c>
      <c r="DG21" s="3">
        <v>21.885898999999998</v>
      </c>
      <c r="DH21" s="3">
        <v>23.328896</v>
      </c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 spans="2:207" x14ac:dyDescent="0.2">
      <c r="G22" s="3"/>
      <c r="H22" s="3"/>
      <c r="I22" s="3"/>
      <c r="J22" s="3"/>
      <c r="K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3" spans="2:207" x14ac:dyDescent="0.2">
      <c r="D23" t="s">
        <v>11</v>
      </c>
      <c r="E23" t="s">
        <v>6</v>
      </c>
      <c r="F23">
        <f>COUNT(M23:GJ23)</f>
        <v>100</v>
      </c>
      <c r="G23" s="3">
        <f>AVERAGE(M23:GJ23)</f>
        <v>26.045903500000005</v>
      </c>
      <c r="H23" s="3">
        <f>MAX(M23:GJ23)</f>
        <v>31.840508</v>
      </c>
      <c r="I23" s="3">
        <f>MIN(M23:GJ23)</f>
        <v>21.766155000000001</v>
      </c>
      <c r="J23" s="3">
        <f>_xlfn.STDEV.P(M23:GJ23)</f>
        <v>2.3452972210613798</v>
      </c>
      <c r="K23" s="3">
        <f>_xlfn.VAR.S(M23:GJ23)</f>
        <v>5.5559788435537669</v>
      </c>
      <c r="M23" s="3">
        <v>23.582201000000001</v>
      </c>
      <c r="N23" s="3">
        <v>24.704599000000002</v>
      </c>
      <c r="O23" s="3">
        <v>29.153207999999999</v>
      </c>
      <c r="P23" s="3">
        <v>26.02224</v>
      </c>
      <c r="Q23" s="3">
        <v>24.857876000000001</v>
      </c>
      <c r="R23" s="3">
        <v>25.239522999999998</v>
      </c>
      <c r="S23" s="3">
        <v>28.635403</v>
      </c>
      <c r="T23" s="3">
        <v>23.263788000000002</v>
      </c>
      <c r="U23" s="3">
        <v>27.457039000000002</v>
      </c>
      <c r="V23" s="3">
        <v>25.657485999999999</v>
      </c>
      <c r="W23" s="3">
        <v>28.039639000000001</v>
      </c>
      <c r="X23" s="3">
        <v>26.096855000000001</v>
      </c>
      <c r="Y23" s="3">
        <v>24.300702999999999</v>
      </c>
      <c r="Z23" s="3">
        <v>29.269442000000002</v>
      </c>
      <c r="AA23" s="3">
        <v>26.082426000000002</v>
      </c>
      <c r="AB23" s="3">
        <v>31.057107999999999</v>
      </c>
      <c r="AC23" s="3">
        <v>29.199335000000001</v>
      </c>
      <c r="AD23" s="3">
        <v>23.579097999999998</v>
      </c>
      <c r="AE23" s="3">
        <v>26.530193000000001</v>
      </c>
      <c r="AF23" s="3">
        <v>28.456989</v>
      </c>
      <c r="AG23" s="3">
        <v>26.151608</v>
      </c>
      <c r="AH23" s="3">
        <v>24.273171999999999</v>
      </c>
      <c r="AI23" s="3">
        <v>25.187840999999999</v>
      </c>
      <c r="AJ23" s="3">
        <v>22.519072999999999</v>
      </c>
      <c r="AK23" s="3">
        <v>21.84375</v>
      </c>
      <c r="AL23" s="3">
        <v>25.50733</v>
      </c>
      <c r="AM23" s="3">
        <v>27.266144000000001</v>
      </c>
      <c r="AN23" s="3">
        <v>29.395147000000001</v>
      </c>
      <c r="AO23" s="3">
        <v>25.558817000000001</v>
      </c>
      <c r="AP23" s="3">
        <v>22.048736999999999</v>
      </c>
      <c r="AQ23" s="3">
        <v>23.471181999999999</v>
      </c>
      <c r="AR23" s="3">
        <v>28.469218999999999</v>
      </c>
      <c r="AS23" s="3">
        <v>25.402542</v>
      </c>
      <c r="AT23" s="3">
        <v>30.521297000000001</v>
      </c>
      <c r="AU23" s="3">
        <v>24.737297000000002</v>
      </c>
      <c r="AV23" s="3">
        <v>27.548905999999999</v>
      </c>
      <c r="AW23" s="3">
        <v>23.030007999999999</v>
      </c>
      <c r="AX23" s="3">
        <v>24.519556000000001</v>
      </c>
      <c r="AY23" s="3">
        <v>27.029734000000001</v>
      </c>
      <c r="AZ23" s="3">
        <v>26.563465000000001</v>
      </c>
      <c r="BA23" s="3">
        <v>23.702127000000001</v>
      </c>
      <c r="BB23" s="3">
        <v>27.613312000000001</v>
      </c>
      <c r="BC23" s="3">
        <v>26.047149999999998</v>
      </c>
      <c r="BD23" s="3">
        <v>26.374393000000001</v>
      </c>
      <c r="BE23" s="3">
        <v>27.192426999999999</v>
      </c>
      <c r="BF23" s="3">
        <v>29.404104</v>
      </c>
      <c r="BG23" s="3">
        <v>26.382041999999998</v>
      </c>
      <c r="BH23" s="3">
        <v>25.654036999999999</v>
      </c>
      <c r="BI23" s="3">
        <v>28.356681999999999</v>
      </c>
      <c r="BJ23" s="3">
        <v>23.579284999999999</v>
      </c>
      <c r="BK23" s="3">
        <v>29.196429999999999</v>
      </c>
      <c r="BL23" s="3">
        <v>30.635860000000001</v>
      </c>
      <c r="BM23" s="3">
        <v>23.846916</v>
      </c>
      <c r="BN23" s="3">
        <v>24.610265999999999</v>
      </c>
      <c r="BO23" s="3">
        <v>25.654744999999998</v>
      </c>
      <c r="BP23" s="3">
        <v>24.649236999999999</v>
      </c>
      <c r="BQ23" s="3">
        <v>29.461613</v>
      </c>
      <c r="BR23" s="3">
        <v>27.282681</v>
      </c>
      <c r="BS23" s="3">
        <v>23.587816</v>
      </c>
      <c r="BT23" s="3">
        <v>28.237269999999999</v>
      </c>
      <c r="BU23" s="3">
        <v>30.591866</v>
      </c>
      <c r="BV23" s="3">
        <v>27.122055</v>
      </c>
      <c r="BW23" s="3">
        <v>24.068878000000002</v>
      </c>
      <c r="BX23" s="3">
        <v>28.403511000000002</v>
      </c>
      <c r="BY23" s="3">
        <v>25.293381</v>
      </c>
      <c r="BZ23" s="3">
        <v>25.589479000000001</v>
      </c>
      <c r="CA23" s="3">
        <v>26.738548000000002</v>
      </c>
      <c r="CB23" s="3">
        <v>24.966833000000001</v>
      </c>
      <c r="CC23" s="3">
        <v>26.838778000000001</v>
      </c>
      <c r="CD23" s="3">
        <v>21.766155000000001</v>
      </c>
      <c r="CE23" s="3">
        <v>23.196020000000001</v>
      </c>
      <c r="CF23" s="3">
        <v>24.362299</v>
      </c>
      <c r="CG23" s="3">
        <v>26.434850999999998</v>
      </c>
      <c r="CH23" s="3">
        <v>28.823034</v>
      </c>
      <c r="CI23" s="3">
        <v>23.767610999999999</v>
      </c>
      <c r="CJ23" s="3">
        <v>26.159443</v>
      </c>
      <c r="CK23" s="3">
        <v>24.676476000000001</v>
      </c>
      <c r="CL23" s="3">
        <v>24.035183</v>
      </c>
      <c r="CM23" s="3">
        <v>23.305637000000001</v>
      </c>
      <c r="CN23" s="3">
        <v>26.012415000000001</v>
      </c>
      <c r="CO23" s="3">
        <v>24.907463</v>
      </c>
      <c r="CP23" s="3">
        <v>27.101403999999999</v>
      </c>
      <c r="CQ23" s="3">
        <v>31.323898</v>
      </c>
      <c r="CR23" s="3">
        <v>25.752758</v>
      </c>
      <c r="CS23" s="3">
        <v>22.091985999999999</v>
      </c>
      <c r="CT23" s="3">
        <v>30.298701999999999</v>
      </c>
      <c r="CU23" s="3">
        <v>25.932383000000002</v>
      </c>
      <c r="CV23" s="3">
        <v>23.749634</v>
      </c>
      <c r="CW23" s="3">
        <v>27.172449</v>
      </c>
      <c r="CX23" s="3">
        <v>22.072686999999998</v>
      </c>
      <c r="CY23" s="3">
        <v>24.104671</v>
      </c>
      <c r="CZ23" s="3">
        <v>25.068552</v>
      </c>
      <c r="DA23" s="3">
        <v>25.023606999999998</v>
      </c>
      <c r="DB23" s="3">
        <v>27.037082999999999</v>
      </c>
      <c r="DC23" s="3">
        <v>28.107438999999999</v>
      </c>
      <c r="DD23" s="3">
        <v>26.018187999999999</v>
      </c>
      <c r="DE23" s="3">
        <v>25.003499999999999</v>
      </c>
      <c r="DF23" s="3">
        <v>23.357324999999999</v>
      </c>
      <c r="DG23" s="3">
        <v>31.840508</v>
      </c>
      <c r="DH23" s="3">
        <v>22.775290999999999</v>
      </c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</row>
    <row r="25" spans="2:207" x14ac:dyDescent="0.2">
      <c r="D25" s="1"/>
    </row>
    <row r="26" spans="2:207" x14ac:dyDescent="0.2">
      <c r="B26" t="s">
        <v>42</v>
      </c>
      <c r="D26" s="1" t="s">
        <v>21</v>
      </c>
    </row>
    <row r="27" spans="2:207" x14ac:dyDescent="0.2">
      <c r="B27" s="2" t="s">
        <v>18</v>
      </c>
      <c r="D27" t="s">
        <v>8</v>
      </c>
      <c r="E27" t="s">
        <v>6</v>
      </c>
      <c r="F27">
        <f>COUNT(M27:GJ27)</f>
        <v>100</v>
      </c>
      <c r="G27" s="3">
        <f>AVERAGE(M27:GJ27)</f>
        <v>9.1276123899999977</v>
      </c>
      <c r="H27" s="3">
        <f>MAX(M27:GJ27)</f>
        <v>13.680464000000001</v>
      </c>
      <c r="I27" s="3">
        <f>MIN(M27:GJ27)</f>
        <v>6.9944509999999998</v>
      </c>
      <c r="J27" s="3">
        <f>_xlfn.STDEV.P(M27:GJ27)</f>
        <v>1.2395040974291429</v>
      </c>
      <c r="K27" s="3">
        <f>_xlfn.VAR.S(M27:GJ27)</f>
        <v>1.5518893005491274</v>
      </c>
      <c r="M27" s="3">
        <v>9.1567749999999997</v>
      </c>
      <c r="N27" s="3">
        <v>9.2972789999999996</v>
      </c>
      <c r="O27" s="3">
        <v>9.7038089999999997</v>
      </c>
      <c r="P27" s="3">
        <v>9.8399110000000007</v>
      </c>
      <c r="Q27" s="3">
        <v>9.7756939999999997</v>
      </c>
      <c r="R27" s="3">
        <v>9.8874019999999998</v>
      </c>
      <c r="S27" s="3">
        <v>9.8761949999999992</v>
      </c>
      <c r="T27" s="3">
        <v>9.7908550000000005</v>
      </c>
      <c r="U27" s="3">
        <v>9.5614030000000003</v>
      </c>
      <c r="V27" s="3">
        <v>10.459517</v>
      </c>
      <c r="W27" s="3">
        <v>10.584379999999999</v>
      </c>
      <c r="X27" s="3">
        <v>9.0832270000000008</v>
      </c>
      <c r="Y27" s="3">
        <v>9.9797849999999997</v>
      </c>
      <c r="Z27" s="3">
        <v>10.933361</v>
      </c>
      <c r="AA27" s="3">
        <v>9.2261620000000004</v>
      </c>
      <c r="AB27" s="3">
        <v>10.766928</v>
      </c>
      <c r="AC27" s="3">
        <v>10.950692999999999</v>
      </c>
      <c r="AD27" s="3">
        <v>9.292503</v>
      </c>
      <c r="AE27" s="3">
        <v>9.7141369999999991</v>
      </c>
      <c r="AF27" s="3">
        <v>11.459857</v>
      </c>
      <c r="AG27" s="3">
        <v>9.7642229999999994</v>
      </c>
      <c r="AH27" s="3">
        <v>10.262658</v>
      </c>
      <c r="AI27" s="3">
        <v>9.5243160000000007</v>
      </c>
      <c r="AJ27" s="3">
        <v>8.2629490000000008</v>
      </c>
      <c r="AK27" s="3">
        <v>9.4267900000000004</v>
      </c>
      <c r="AL27" s="3">
        <v>7.8908180000000003</v>
      </c>
      <c r="AM27" s="3">
        <v>8.5991320000000009</v>
      </c>
      <c r="AN27" s="3">
        <v>9.196339</v>
      </c>
      <c r="AO27" s="3">
        <v>8.3027560000000005</v>
      </c>
      <c r="AP27" s="3">
        <v>8.4726189999999999</v>
      </c>
      <c r="AQ27" s="3">
        <v>8.5547240000000002</v>
      </c>
      <c r="AR27" s="3">
        <v>9.2849730000000008</v>
      </c>
      <c r="AS27" s="3">
        <v>10.124853</v>
      </c>
      <c r="AT27" s="3">
        <v>7.7601750000000003</v>
      </c>
      <c r="AU27" s="3">
        <v>9.1534010000000006</v>
      </c>
      <c r="AV27" s="3">
        <v>8.8607440000000004</v>
      </c>
      <c r="AW27" s="3">
        <v>9.7088370000000008</v>
      </c>
      <c r="AX27" s="3">
        <v>13.680464000000001</v>
      </c>
      <c r="AY27" s="3">
        <v>12.119185</v>
      </c>
      <c r="AZ27" s="3">
        <v>8.1085279999999997</v>
      </c>
      <c r="BA27" s="3">
        <v>9.1156179999999996</v>
      </c>
      <c r="BB27" s="3">
        <v>8.7188160000000003</v>
      </c>
      <c r="BC27" s="3">
        <v>13.277464999999999</v>
      </c>
      <c r="BD27" s="3">
        <v>8.9967109999999995</v>
      </c>
      <c r="BE27" s="3">
        <v>8.720675</v>
      </c>
      <c r="BF27" s="3">
        <v>9.7083890000000004</v>
      </c>
      <c r="BG27" s="3">
        <v>8.0430639999999993</v>
      </c>
      <c r="BH27" s="3">
        <v>9.0132490000000001</v>
      </c>
      <c r="BI27" s="3">
        <v>8.7477990000000005</v>
      </c>
      <c r="BJ27" s="3">
        <v>8.1309559999999994</v>
      </c>
      <c r="BK27" s="3">
        <v>8.2264780000000002</v>
      </c>
      <c r="BL27" s="3">
        <v>9.190315</v>
      </c>
      <c r="BM27" s="3">
        <v>9.9810280000000002</v>
      </c>
      <c r="BN27" s="3">
        <v>8.3645460000000007</v>
      </c>
      <c r="BO27" s="3">
        <v>7.7437019999999999</v>
      </c>
      <c r="BP27" s="3">
        <v>8.2901769999999999</v>
      </c>
      <c r="BQ27" s="3">
        <v>8.9506130000000006</v>
      </c>
      <c r="BR27" s="3">
        <v>8.104813</v>
      </c>
      <c r="BS27" s="3">
        <v>8.0399740000000008</v>
      </c>
      <c r="BT27" s="3">
        <v>8.9773429999999994</v>
      </c>
      <c r="BU27" s="3">
        <v>9.1153300000000002</v>
      </c>
      <c r="BV27" s="3">
        <v>8.1765100000000004</v>
      </c>
      <c r="BW27" s="3">
        <v>6.9944509999999998</v>
      </c>
      <c r="BX27" s="3">
        <v>8.5143090000000008</v>
      </c>
      <c r="BY27" s="3">
        <v>7.7644799999999998</v>
      </c>
      <c r="BZ27" s="3">
        <v>8.140568</v>
      </c>
      <c r="CA27" s="3">
        <v>8.1153440000000003</v>
      </c>
      <c r="CB27" s="3">
        <v>7.7214179999999999</v>
      </c>
      <c r="CC27" s="3">
        <v>9.3210139999999999</v>
      </c>
      <c r="CD27" s="3">
        <v>8.4910320000000006</v>
      </c>
      <c r="CE27" s="3">
        <v>8.7800799999999999</v>
      </c>
      <c r="CF27" s="3">
        <v>8.548349</v>
      </c>
      <c r="CG27" s="3">
        <v>7.9226599999999996</v>
      </c>
      <c r="CH27" s="3">
        <v>8.5264760000000006</v>
      </c>
      <c r="CI27" s="3">
        <v>8.2411709999999996</v>
      </c>
      <c r="CJ27" s="3">
        <v>8.8193009999999994</v>
      </c>
      <c r="CK27" s="3">
        <v>8.5357269999999996</v>
      </c>
      <c r="CL27" s="3">
        <v>7.4990569999999996</v>
      </c>
      <c r="CM27" s="3">
        <v>7.7220089999999999</v>
      </c>
      <c r="CN27" s="3">
        <v>10.239519</v>
      </c>
      <c r="CO27" s="3">
        <v>8.5634580000000007</v>
      </c>
      <c r="CP27" s="3">
        <v>8.426107</v>
      </c>
      <c r="CQ27" s="3">
        <v>10.350115000000001</v>
      </c>
      <c r="CR27" s="3">
        <v>9.2425350000000002</v>
      </c>
      <c r="CS27" s="3">
        <v>8.5798609999999993</v>
      </c>
      <c r="CT27" s="3">
        <v>9.4746260000000007</v>
      </c>
      <c r="CU27" s="3">
        <v>8.9805259999999993</v>
      </c>
      <c r="CV27" s="3">
        <v>8.022964</v>
      </c>
      <c r="CW27" s="3">
        <v>12.256907999999999</v>
      </c>
      <c r="CX27" s="3">
        <v>7.6976760000000004</v>
      </c>
      <c r="CY27" s="3">
        <v>8.2575310000000002</v>
      </c>
      <c r="CZ27" s="3">
        <v>7.1509289999999996</v>
      </c>
      <c r="DA27" s="3">
        <v>9.0048940000000002</v>
      </c>
      <c r="DB27" s="3">
        <v>9.4934650000000005</v>
      </c>
      <c r="DC27" s="3">
        <v>12.982536</v>
      </c>
      <c r="DD27" s="3">
        <v>8.7689299999999992</v>
      </c>
      <c r="DE27" s="3">
        <v>7.528016</v>
      </c>
      <c r="DF27" s="3">
        <v>7.2779660000000002</v>
      </c>
      <c r="DG27" s="3">
        <v>8.9163870000000003</v>
      </c>
      <c r="DH27" s="3">
        <v>9.856916</v>
      </c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 spans="2:207" x14ac:dyDescent="0.2">
      <c r="B28" s="2" t="s">
        <v>25</v>
      </c>
      <c r="G28" s="3"/>
      <c r="H28" s="3"/>
      <c r="I28" s="3"/>
      <c r="J28" s="3"/>
      <c r="K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</row>
    <row r="29" spans="2:207" x14ac:dyDescent="0.2">
      <c r="B29" s="2" t="s">
        <v>26</v>
      </c>
      <c r="D29" t="s">
        <v>9</v>
      </c>
      <c r="E29" t="s">
        <v>6</v>
      </c>
      <c r="F29">
        <f>COUNT(M29:GJ29)</f>
        <v>100</v>
      </c>
      <c r="G29" s="3">
        <f>AVERAGE(M29:GJ29)</f>
        <v>7.3348097900000004</v>
      </c>
      <c r="H29" s="3">
        <f>MAX(M29:GJ29)</f>
        <v>12.555099</v>
      </c>
      <c r="I29" s="3">
        <f>MIN(M29:GJ29)</f>
        <v>4.1854990000000001</v>
      </c>
      <c r="J29" s="3">
        <f>_xlfn.STDEV.P(M29:GJ29)</f>
        <v>1.7140846528033939</v>
      </c>
      <c r="K29" s="3">
        <f>_xlfn.VAR.S(M29:GJ29)</f>
        <v>2.9677638353294222</v>
      </c>
      <c r="M29" s="3">
        <v>9.3000039999999995</v>
      </c>
      <c r="N29" s="3">
        <v>6.9354620000000002</v>
      </c>
      <c r="O29" s="3">
        <v>4.9760739999999997</v>
      </c>
      <c r="P29" s="3">
        <v>10.507782000000001</v>
      </c>
      <c r="Q29" s="3">
        <v>7.831734</v>
      </c>
      <c r="R29" s="3">
        <v>7.6548449999999999</v>
      </c>
      <c r="S29" s="3">
        <v>5.4703030000000004</v>
      </c>
      <c r="T29" s="3">
        <v>7.451498</v>
      </c>
      <c r="U29" s="3">
        <v>9.1492939999999994</v>
      </c>
      <c r="V29" s="3">
        <v>7.1057730000000001</v>
      </c>
      <c r="W29" s="3">
        <v>7.1278300000000003</v>
      </c>
      <c r="X29" s="3">
        <v>6.9225479999999999</v>
      </c>
      <c r="Y29" s="3">
        <v>6.2689640000000004</v>
      </c>
      <c r="Z29" s="3">
        <v>8.8089220000000008</v>
      </c>
      <c r="AA29" s="3">
        <v>11.842041</v>
      </c>
      <c r="AB29" s="3">
        <v>9.9784769999999998</v>
      </c>
      <c r="AC29" s="3">
        <v>6.3683759999999996</v>
      </c>
      <c r="AD29" s="3">
        <v>8.6111199999999997</v>
      </c>
      <c r="AE29" s="3">
        <v>12.555099</v>
      </c>
      <c r="AF29" s="3">
        <v>8.0534719999999993</v>
      </c>
      <c r="AG29" s="3">
        <v>11.631069999999999</v>
      </c>
      <c r="AH29" s="3">
        <v>7.377802</v>
      </c>
      <c r="AI29" s="3">
        <v>8.7574760000000005</v>
      </c>
      <c r="AJ29" s="3">
        <v>6.696447</v>
      </c>
      <c r="AK29" s="3">
        <v>6.7771460000000001</v>
      </c>
      <c r="AL29" s="3">
        <v>7.1776429999999998</v>
      </c>
      <c r="AM29" s="3">
        <v>9.6230879999999992</v>
      </c>
      <c r="AN29" s="3">
        <v>5.3202230000000004</v>
      </c>
      <c r="AO29" s="3">
        <v>7.0125469999999996</v>
      </c>
      <c r="AP29" s="3">
        <v>8.0228520000000003</v>
      </c>
      <c r="AQ29" s="3">
        <v>6.9830079999999999</v>
      </c>
      <c r="AR29" s="3">
        <v>8.3072759999999999</v>
      </c>
      <c r="AS29" s="3">
        <v>9.9790410000000005</v>
      </c>
      <c r="AT29" s="3">
        <v>6.4657249999999999</v>
      </c>
      <c r="AU29" s="3">
        <v>5.6761140000000001</v>
      </c>
      <c r="AV29" s="3">
        <v>6.7890180000000004</v>
      </c>
      <c r="AW29" s="3">
        <v>5.7593009999999998</v>
      </c>
      <c r="AX29" s="3">
        <v>7.517074</v>
      </c>
      <c r="AY29" s="3">
        <v>7.7900090000000004</v>
      </c>
      <c r="AZ29" s="3">
        <v>7.1748219999999998</v>
      </c>
      <c r="BA29" s="3">
        <v>4.2777950000000002</v>
      </c>
      <c r="BB29" s="3">
        <v>5.6979490000000004</v>
      </c>
      <c r="BC29" s="3">
        <v>6.3544260000000001</v>
      </c>
      <c r="BD29" s="3">
        <v>11.380278000000001</v>
      </c>
      <c r="BE29" s="3">
        <v>5.3281530000000004</v>
      </c>
      <c r="BF29" s="3">
        <v>7.7314990000000003</v>
      </c>
      <c r="BG29" s="3">
        <v>7.3507860000000003</v>
      </c>
      <c r="BH29" s="3">
        <v>5.7056459999999998</v>
      </c>
      <c r="BI29" s="3">
        <v>7.9286729999999999</v>
      </c>
      <c r="BJ29" s="3">
        <v>8.1328589999999998</v>
      </c>
      <c r="BK29" s="3">
        <v>8.0902349999999998</v>
      </c>
      <c r="BL29" s="3">
        <v>7.105086</v>
      </c>
      <c r="BM29" s="3">
        <v>4.8379709999999996</v>
      </c>
      <c r="BN29" s="3">
        <v>10.044219999999999</v>
      </c>
      <c r="BO29" s="3">
        <v>8.3046690000000005</v>
      </c>
      <c r="BP29" s="3">
        <v>7.6725399999999997</v>
      </c>
      <c r="BQ29" s="3">
        <v>6.761749</v>
      </c>
      <c r="BR29" s="3">
        <v>8.2334849999999999</v>
      </c>
      <c r="BS29" s="3">
        <v>6.5970690000000003</v>
      </c>
      <c r="BT29" s="3">
        <v>7.2512249999999998</v>
      </c>
      <c r="BU29" s="3">
        <v>9.7963769999999997</v>
      </c>
      <c r="BV29" s="3">
        <v>5.8378439999999996</v>
      </c>
      <c r="BW29" s="3">
        <v>6.5058809999999996</v>
      </c>
      <c r="BX29" s="3">
        <v>10.041826</v>
      </c>
      <c r="BY29" s="3">
        <v>8.2443340000000003</v>
      </c>
      <c r="BZ29" s="3">
        <v>6.2432600000000003</v>
      </c>
      <c r="CA29" s="3">
        <v>5.6271409999999999</v>
      </c>
      <c r="CB29" s="3">
        <v>5.2031369999999999</v>
      </c>
      <c r="CC29" s="3">
        <v>5.4356479999999996</v>
      </c>
      <c r="CD29" s="3">
        <v>8.4980879999999992</v>
      </c>
      <c r="CE29" s="3">
        <v>6.8854959999999998</v>
      </c>
      <c r="CF29" s="3">
        <v>5.1756669999999998</v>
      </c>
      <c r="CG29" s="3">
        <v>6.90585</v>
      </c>
      <c r="CH29" s="3">
        <v>6.8953199999999999</v>
      </c>
      <c r="CI29" s="3">
        <v>6.0060469999999997</v>
      </c>
      <c r="CJ29" s="3">
        <v>6.7918589999999996</v>
      </c>
      <c r="CK29" s="3">
        <v>7.7098620000000002</v>
      </c>
      <c r="CL29" s="3">
        <v>4.1854990000000001</v>
      </c>
      <c r="CM29" s="3">
        <v>7.664231</v>
      </c>
      <c r="CN29" s="3">
        <v>7.1839729999999999</v>
      </c>
      <c r="CO29" s="3">
        <v>6.3587889999999998</v>
      </c>
      <c r="CP29" s="3">
        <v>6.2597480000000001</v>
      </c>
      <c r="CQ29" s="3">
        <v>9.0588049999999996</v>
      </c>
      <c r="CR29" s="3">
        <v>7.8269659999999996</v>
      </c>
      <c r="CS29" s="3">
        <v>6.5768129999999996</v>
      </c>
      <c r="CT29" s="3">
        <v>9.4438840000000006</v>
      </c>
      <c r="CU29" s="3">
        <v>4.7632469999999998</v>
      </c>
      <c r="CV29" s="3">
        <v>9.6713009999999997</v>
      </c>
      <c r="CW29" s="3">
        <v>6.808484</v>
      </c>
      <c r="CX29" s="3">
        <v>8.4787320000000008</v>
      </c>
      <c r="CY29" s="3">
        <v>7.3835940000000004</v>
      </c>
      <c r="CZ29" s="3">
        <v>4.7429189999999997</v>
      </c>
      <c r="DA29" s="3">
        <v>4.5477999999999996</v>
      </c>
      <c r="DB29" s="3">
        <v>8.8405090000000008</v>
      </c>
      <c r="DC29" s="3">
        <v>5.9152089999999999</v>
      </c>
      <c r="DD29" s="3">
        <v>7.3484030000000002</v>
      </c>
      <c r="DE29" s="3">
        <v>4.8568930000000003</v>
      </c>
      <c r="DF29" s="3">
        <v>8.4090939999999996</v>
      </c>
      <c r="DG29" s="3">
        <v>5.0761520000000004</v>
      </c>
      <c r="DH29" s="3">
        <v>5.7326839999999999</v>
      </c>
      <c r="DI29" s="3"/>
      <c r="DJ29" s="3"/>
      <c r="DK29" s="3"/>
      <c r="DL29" s="3"/>
      <c r="DM29" s="3"/>
      <c r="DO29" s="3"/>
      <c r="DT29" s="3"/>
      <c r="DU29" s="3"/>
      <c r="DX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 spans="2:207" x14ac:dyDescent="0.2">
      <c r="G30" s="3"/>
      <c r="H30" s="3"/>
      <c r="I30" s="3"/>
      <c r="J30" s="3"/>
      <c r="K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</row>
    <row r="31" spans="2:207" x14ac:dyDescent="0.2">
      <c r="D31" t="s">
        <v>7</v>
      </c>
      <c r="E31" t="s">
        <v>6</v>
      </c>
      <c r="F31">
        <f>COUNT(M31:GJ31)</f>
        <v>100</v>
      </c>
      <c r="G31" s="3">
        <f>AVERAGE(M31:GJ31)</f>
        <v>9.0986314700000008</v>
      </c>
      <c r="H31" s="3">
        <f>MAX(M31:GJ31)</f>
        <v>11.366705</v>
      </c>
      <c r="I31" s="3">
        <f>MIN(M31:GJ31)</f>
        <v>6.7335570000000002</v>
      </c>
      <c r="J31" s="3">
        <f>_xlfn.STDEV.P(M31:GJ31)</f>
        <v>1.1663065177970693</v>
      </c>
      <c r="K31" s="3">
        <f>_xlfn.VAR.S(M31:GJ31)</f>
        <v>1.3740110034908353</v>
      </c>
      <c r="M31" s="3">
        <v>10.725113</v>
      </c>
      <c r="N31" s="3">
        <v>9.8257840000000005</v>
      </c>
      <c r="O31" s="3">
        <v>10.105252</v>
      </c>
      <c r="P31" s="3">
        <v>10.772421</v>
      </c>
      <c r="Q31" s="3">
        <v>10.633867</v>
      </c>
      <c r="R31" s="3">
        <v>11.322158999999999</v>
      </c>
      <c r="S31" s="3">
        <v>11.366705</v>
      </c>
      <c r="T31" s="3">
        <v>9.7452349999999992</v>
      </c>
      <c r="U31" s="3">
        <v>10.252560000000001</v>
      </c>
      <c r="V31" s="3">
        <v>10.522295</v>
      </c>
      <c r="W31" s="3">
        <v>9.0690720000000002</v>
      </c>
      <c r="X31" s="3">
        <v>10.589361999999999</v>
      </c>
      <c r="Y31" s="3">
        <v>10.801837000000001</v>
      </c>
      <c r="Z31" s="3">
        <v>9.3190799999999996</v>
      </c>
      <c r="AA31" s="3">
        <v>9.9645200000000003</v>
      </c>
      <c r="AB31" s="3">
        <v>9.7361989999999992</v>
      </c>
      <c r="AC31" s="3">
        <v>9.4367549999999998</v>
      </c>
      <c r="AD31" s="3">
        <v>9.682912</v>
      </c>
      <c r="AE31" s="3">
        <v>10.225379</v>
      </c>
      <c r="AF31" s="3">
        <v>10.878477</v>
      </c>
      <c r="AG31" s="3">
        <v>10.982879000000001</v>
      </c>
      <c r="AH31" s="3">
        <v>10.550587</v>
      </c>
      <c r="AI31" s="3">
        <v>8.7042570000000001</v>
      </c>
      <c r="AJ31" s="3">
        <v>10.373115</v>
      </c>
      <c r="AK31" s="3">
        <v>10.989981</v>
      </c>
      <c r="AL31" s="3">
        <v>7.717409</v>
      </c>
      <c r="AM31" s="3">
        <v>10.521362999999999</v>
      </c>
      <c r="AN31" s="3">
        <v>8.2249770000000009</v>
      </c>
      <c r="AO31" s="3">
        <v>10.774127</v>
      </c>
      <c r="AP31" s="3">
        <v>9.4057359999999992</v>
      </c>
      <c r="AQ31" s="3">
        <v>9.4689320000000006</v>
      </c>
      <c r="AR31" s="3">
        <v>10.466488</v>
      </c>
      <c r="AS31" s="3">
        <v>8.8577689999999993</v>
      </c>
      <c r="AT31" s="3">
        <v>9.3233619999999995</v>
      </c>
      <c r="AU31" s="3">
        <v>10.596508999999999</v>
      </c>
      <c r="AV31" s="3">
        <v>9.9198520000000006</v>
      </c>
      <c r="AW31" s="3">
        <v>7.7783389999999999</v>
      </c>
      <c r="AX31" s="3">
        <v>10.689895999999999</v>
      </c>
      <c r="AY31" s="3">
        <v>10.314197</v>
      </c>
      <c r="AZ31" s="3">
        <v>9.7704970000000007</v>
      </c>
      <c r="BA31" s="3">
        <v>9.4073290000000007</v>
      </c>
      <c r="BB31" s="3">
        <v>9.5157249999999998</v>
      </c>
      <c r="BC31" s="3">
        <v>8.6563700000000008</v>
      </c>
      <c r="BD31" s="3">
        <v>8.6401369999999993</v>
      </c>
      <c r="BE31" s="3">
        <v>9.0511599999999994</v>
      </c>
      <c r="BF31" s="3">
        <v>10.071973</v>
      </c>
      <c r="BG31" s="3">
        <v>8.9393709999999995</v>
      </c>
      <c r="BH31" s="3">
        <v>10.556782</v>
      </c>
      <c r="BI31" s="3">
        <v>9.2163350000000008</v>
      </c>
      <c r="BJ31" s="3">
        <v>8.2792080000000006</v>
      </c>
      <c r="BK31" s="3">
        <v>8.4787470000000003</v>
      </c>
      <c r="BL31" s="3">
        <v>8.8060209999999994</v>
      </c>
      <c r="BM31" s="3">
        <v>9.152514</v>
      </c>
      <c r="BN31" s="3">
        <v>8.8725280000000009</v>
      </c>
      <c r="BO31" s="3">
        <v>8.3058910000000008</v>
      </c>
      <c r="BP31" s="3">
        <v>8.3818579999999994</v>
      </c>
      <c r="BQ31" s="3">
        <v>9.5579520000000002</v>
      </c>
      <c r="BR31" s="3">
        <v>7.2908860000000004</v>
      </c>
      <c r="BS31" s="3">
        <v>8.2208670000000001</v>
      </c>
      <c r="BT31" s="3">
        <v>7.7859280000000002</v>
      </c>
      <c r="BU31" s="3">
        <v>9.7845779999999998</v>
      </c>
      <c r="BV31" s="3">
        <v>8.1844649999999994</v>
      </c>
      <c r="BW31" s="3">
        <v>7.7569179999999998</v>
      </c>
      <c r="BX31" s="3">
        <v>11.356916</v>
      </c>
      <c r="BY31" s="3">
        <v>8.9900939999999991</v>
      </c>
      <c r="BZ31" s="3">
        <v>8.966367</v>
      </c>
      <c r="CA31" s="3">
        <v>7.2013800000000003</v>
      </c>
      <c r="CB31" s="3">
        <v>7.9497600000000004</v>
      </c>
      <c r="CC31" s="3">
        <v>7.7084159999999997</v>
      </c>
      <c r="CD31" s="3">
        <v>7.8754869999999997</v>
      </c>
      <c r="CE31" s="3">
        <v>6.7335570000000002</v>
      </c>
      <c r="CF31" s="3">
        <v>7.7757379999999996</v>
      </c>
      <c r="CG31" s="3">
        <v>8.1400129999999997</v>
      </c>
      <c r="CH31" s="3">
        <v>8.5817599999999992</v>
      </c>
      <c r="CI31" s="3">
        <v>8.1199080000000006</v>
      </c>
      <c r="CJ31" s="3">
        <v>8.3610559999999996</v>
      </c>
      <c r="CK31" s="3">
        <v>10.052023</v>
      </c>
      <c r="CL31" s="3">
        <v>7.860366</v>
      </c>
      <c r="CM31" s="3">
        <v>8.6920579999999994</v>
      </c>
      <c r="CN31" s="3">
        <v>7.3428440000000004</v>
      </c>
      <c r="CO31" s="3">
        <v>7.6974739999999997</v>
      </c>
      <c r="CP31" s="3">
        <v>8.5116110000000003</v>
      </c>
      <c r="CQ31" s="3">
        <v>7.9410699999999999</v>
      </c>
      <c r="CR31" s="3">
        <v>7.0349209999999998</v>
      </c>
      <c r="CS31" s="3">
        <v>7.8079510000000001</v>
      </c>
      <c r="CT31" s="3">
        <v>8.7692479999999993</v>
      </c>
      <c r="CU31" s="3">
        <v>7.434914</v>
      </c>
      <c r="CV31" s="3">
        <v>9.1588890000000003</v>
      </c>
      <c r="CW31" s="3">
        <v>9.6465479999999992</v>
      </c>
      <c r="CX31" s="3">
        <v>9.0751019999999993</v>
      </c>
      <c r="CY31" s="3">
        <v>7.6113619999999997</v>
      </c>
      <c r="CZ31" s="3">
        <v>7.8166900000000004</v>
      </c>
      <c r="DA31" s="3">
        <v>8.3706320000000005</v>
      </c>
      <c r="DB31" s="3">
        <v>7.4136620000000004</v>
      </c>
      <c r="DC31" s="3">
        <v>8.7300810000000002</v>
      </c>
      <c r="DD31" s="3">
        <v>7.0853859999999997</v>
      </c>
      <c r="DE31" s="3">
        <v>7.5243310000000001</v>
      </c>
      <c r="DF31" s="3">
        <v>8.6785359999999994</v>
      </c>
      <c r="DG31" s="3">
        <v>9.7438789999999997</v>
      </c>
      <c r="DH31" s="3">
        <v>8.7843180000000007</v>
      </c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 spans="2:207" x14ac:dyDescent="0.2">
      <c r="G32" s="3"/>
      <c r="H32" s="3"/>
      <c r="I32" s="3"/>
      <c r="J32" s="3"/>
      <c r="K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</row>
    <row r="33" spans="2:207" x14ac:dyDescent="0.2">
      <c r="D33" t="s">
        <v>10</v>
      </c>
      <c r="E33" t="s">
        <v>6</v>
      </c>
      <c r="F33">
        <f>COUNT(M33:GJ33)</f>
        <v>100</v>
      </c>
      <c r="G33" s="3">
        <f>AVERAGE(M33:GJ33)</f>
        <v>7.1861936299999982</v>
      </c>
      <c r="H33" s="3">
        <f>MAX(M33:GJ33)</f>
        <v>9.5571459999999995</v>
      </c>
      <c r="I33" s="3">
        <f>MIN(M33:GJ33)</f>
        <v>5.5510979999999996</v>
      </c>
      <c r="J33" s="3">
        <f>_xlfn.STDEV.P(M33:GJ33)</f>
        <v>0.79816614865600855</v>
      </c>
      <c r="K33" s="3">
        <f>_xlfn.VAR.S(M33:GJ33)</f>
        <v>0.64350424329329303</v>
      </c>
      <c r="M33" s="3">
        <v>7.3882450000000004</v>
      </c>
      <c r="N33" s="3">
        <v>7.4832720000000004</v>
      </c>
      <c r="O33" s="3">
        <v>7.4343349999999999</v>
      </c>
      <c r="P33" s="3">
        <v>6.7949830000000002</v>
      </c>
      <c r="Q33" s="3">
        <v>7.5114020000000004</v>
      </c>
      <c r="R33" s="3">
        <v>6.0271270000000001</v>
      </c>
      <c r="S33" s="3">
        <v>7.4026719999999999</v>
      </c>
      <c r="T33" s="3">
        <v>8.3065580000000008</v>
      </c>
      <c r="U33" s="3">
        <v>7.6916070000000003</v>
      </c>
      <c r="V33" s="3">
        <v>7.0730500000000003</v>
      </c>
      <c r="W33" s="3">
        <v>6.9494360000000004</v>
      </c>
      <c r="X33" s="3">
        <v>7.6355069999999996</v>
      </c>
      <c r="Y33" s="3">
        <v>6.6675990000000001</v>
      </c>
      <c r="Z33" s="3">
        <v>5.7266890000000004</v>
      </c>
      <c r="AA33" s="3">
        <v>7.9211869999999998</v>
      </c>
      <c r="AB33" s="3">
        <v>7.6592979999999997</v>
      </c>
      <c r="AC33" s="3">
        <v>7.3968990000000003</v>
      </c>
      <c r="AD33" s="3">
        <v>6.1228759999999998</v>
      </c>
      <c r="AE33" s="3">
        <v>6.793749</v>
      </c>
      <c r="AF33" s="3">
        <v>6.9714600000000004</v>
      </c>
      <c r="AG33" s="3">
        <v>6.709174</v>
      </c>
      <c r="AH33" s="3">
        <v>6.9950239999999999</v>
      </c>
      <c r="AI33" s="3">
        <v>7.0840199999999998</v>
      </c>
      <c r="AJ33" s="3">
        <v>7.4753970000000001</v>
      </c>
      <c r="AK33" s="3">
        <v>7.5265570000000004</v>
      </c>
      <c r="AL33" s="3">
        <v>7.6228499999999997</v>
      </c>
      <c r="AM33" s="3">
        <v>7.8079029999999996</v>
      </c>
      <c r="AN33" s="3">
        <v>7.6087689999999997</v>
      </c>
      <c r="AO33" s="3">
        <v>6.688237</v>
      </c>
      <c r="AP33" s="3">
        <v>6.5278869999999998</v>
      </c>
      <c r="AQ33" s="3">
        <v>6.5471909999999998</v>
      </c>
      <c r="AR33" s="3">
        <v>6.5610799999999996</v>
      </c>
      <c r="AS33" s="3">
        <v>7.1284159999999996</v>
      </c>
      <c r="AT33" s="3">
        <v>7.2816739999999998</v>
      </c>
      <c r="AU33" s="3">
        <v>5.9805409999999997</v>
      </c>
      <c r="AV33" s="3">
        <v>6.5221920000000004</v>
      </c>
      <c r="AW33" s="3">
        <v>9.2705490000000008</v>
      </c>
      <c r="AX33" s="3">
        <v>6.9024640000000002</v>
      </c>
      <c r="AY33" s="3">
        <v>7.0151649999999997</v>
      </c>
      <c r="AZ33" s="3">
        <v>6.9791470000000002</v>
      </c>
      <c r="BA33" s="3">
        <v>6.8160819999999998</v>
      </c>
      <c r="BB33" s="3">
        <v>9.0836310000000005</v>
      </c>
      <c r="BC33" s="3">
        <v>6.1642299999999999</v>
      </c>
      <c r="BD33" s="3">
        <v>7.392887</v>
      </c>
      <c r="BE33" s="3">
        <v>6.8944320000000001</v>
      </c>
      <c r="BF33" s="3">
        <v>7.2411750000000001</v>
      </c>
      <c r="BG33" s="3">
        <v>6.5981959999999997</v>
      </c>
      <c r="BH33" s="3">
        <v>7.3091910000000002</v>
      </c>
      <c r="BI33" s="3">
        <v>8.8006849999999996</v>
      </c>
      <c r="BJ33" s="3">
        <v>7.333469</v>
      </c>
      <c r="BK33" s="3">
        <v>7.1497169999999999</v>
      </c>
      <c r="BL33" s="3">
        <v>7.3017029999999998</v>
      </c>
      <c r="BM33" s="3">
        <v>7.5282679999999997</v>
      </c>
      <c r="BN33" s="3">
        <v>5.9344599999999996</v>
      </c>
      <c r="BO33" s="3">
        <v>6.7631690000000004</v>
      </c>
      <c r="BP33" s="3">
        <v>7.0002060000000004</v>
      </c>
      <c r="BQ33" s="3">
        <v>6.5322190000000004</v>
      </c>
      <c r="BR33" s="3">
        <v>9.5092680000000005</v>
      </c>
      <c r="BS33" s="3">
        <v>7.159713</v>
      </c>
      <c r="BT33" s="3">
        <v>7.3320280000000002</v>
      </c>
      <c r="BU33" s="3">
        <v>6.5374569999999999</v>
      </c>
      <c r="BV33" s="3">
        <v>8.6549130000000005</v>
      </c>
      <c r="BW33" s="3">
        <v>6.4082660000000002</v>
      </c>
      <c r="BX33" s="3">
        <v>7.9814020000000001</v>
      </c>
      <c r="BY33" s="3">
        <v>6.8786659999999999</v>
      </c>
      <c r="BZ33" s="3">
        <v>6.4164060000000003</v>
      </c>
      <c r="CA33" s="3">
        <v>8.4355250000000002</v>
      </c>
      <c r="CB33" s="3">
        <v>7.1125420000000004</v>
      </c>
      <c r="CC33" s="3">
        <v>6.0742859999999999</v>
      </c>
      <c r="CD33" s="3">
        <v>6.6553089999999999</v>
      </c>
      <c r="CE33" s="3">
        <v>7.0708120000000001</v>
      </c>
      <c r="CF33" s="3">
        <v>6.0196550000000002</v>
      </c>
      <c r="CG33" s="3">
        <v>5.5510979999999996</v>
      </c>
      <c r="CH33" s="3">
        <v>7.9223689999999998</v>
      </c>
      <c r="CI33" s="3">
        <v>8.9869129999999995</v>
      </c>
      <c r="CJ33" s="3">
        <v>7.1878529999999996</v>
      </c>
      <c r="CK33" s="3">
        <v>9.5571459999999995</v>
      </c>
      <c r="CL33" s="3">
        <v>7.9131309999999999</v>
      </c>
      <c r="CM33" s="3">
        <v>6.6856200000000001</v>
      </c>
      <c r="CN33" s="3">
        <v>7.2779990000000003</v>
      </c>
      <c r="CO33" s="3">
        <v>6.6153190000000004</v>
      </c>
      <c r="CP33" s="3">
        <v>6.81792</v>
      </c>
      <c r="CQ33" s="3">
        <v>8.1346080000000001</v>
      </c>
      <c r="CR33" s="3">
        <v>6.6350490000000004</v>
      </c>
      <c r="CS33" s="3">
        <v>6.6132169999999997</v>
      </c>
      <c r="CT33" s="3">
        <v>6.7909430000000004</v>
      </c>
      <c r="CU33" s="3">
        <v>7.0757060000000003</v>
      </c>
      <c r="CV33" s="3">
        <v>6.3336410000000001</v>
      </c>
      <c r="CW33" s="3">
        <v>9.2314659999999993</v>
      </c>
      <c r="CX33" s="3">
        <v>7.1021099999999997</v>
      </c>
      <c r="CY33" s="3">
        <v>6.6757020000000002</v>
      </c>
      <c r="CZ33" s="3">
        <v>7.6202139999999998</v>
      </c>
      <c r="DA33" s="3">
        <v>7.8192000000000004</v>
      </c>
      <c r="DB33" s="3">
        <v>6.5219519999999997</v>
      </c>
      <c r="DC33" s="3">
        <v>7.0853039999999998</v>
      </c>
      <c r="DD33" s="3">
        <v>7.1724940000000004</v>
      </c>
      <c r="DE33" s="3">
        <v>6.463082</v>
      </c>
      <c r="DF33" s="3">
        <v>7.1721069999999996</v>
      </c>
      <c r="DG33" s="3">
        <v>7.0425880000000003</v>
      </c>
      <c r="DH33" s="3">
        <v>7.3324559999999996</v>
      </c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 spans="2:207" x14ac:dyDescent="0.2">
      <c r="G34" s="3"/>
      <c r="H34" s="3"/>
      <c r="I34" s="3"/>
      <c r="J34" s="3"/>
      <c r="K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</row>
    <row r="35" spans="2:207" x14ac:dyDescent="0.2">
      <c r="D35" t="s">
        <v>11</v>
      </c>
      <c r="E35" t="s">
        <v>6</v>
      </c>
      <c r="F35">
        <f>COUNT(M35:GJ35)</f>
        <v>100</v>
      </c>
      <c r="G35" s="3">
        <f>AVERAGE(M35:GJ35)</f>
        <v>7.6239906700000049</v>
      </c>
      <c r="H35" s="3">
        <f>MAX(M35:GJ35)</f>
        <v>10.109942</v>
      </c>
      <c r="I35" s="3">
        <f>MIN(M35:GJ35)</f>
        <v>5.3197660000000004</v>
      </c>
      <c r="J35" s="3">
        <f>_xlfn.STDEV.P(M35:GJ35)</f>
        <v>0.99835552184806409</v>
      </c>
      <c r="K35" s="3">
        <f>_xlfn.VAR.S(M35:GJ35)</f>
        <v>1.0067815636409314</v>
      </c>
      <c r="M35" s="3">
        <v>7.8450939999999996</v>
      </c>
      <c r="N35" s="3">
        <v>6.7367600000000003</v>
      </c>
      <c r="O35" s="3">
        <v>7.3625889999999998</v>
      </c>
      <c r="P35" s="3">
        <v>10.109942</v>
      </c>
      <c r="Q35" s="3">
        <v>8.3210580000000007</v>
      </c>
      <c r="R35" s="3">
        <v>6.8082779999999996</v>
      </c>
      <c r="S35" s="3">
        <v>7.8652949999999997</v>
      </c>
      <c r="T35" s="3">
        <v>6.7829860000000002</v>
      </c>
      <c r="U35" s="3">
        <v>8.5299779999999998</v>
      </c>
      <c r="V35" s="3">
        <v>7.9682060000000003</v>
      </c>
      <c r="W35" s="3">
        <v>7.6540119999999998</v>
      </c>
      <c r="X35" s="3">
        <v>8.3691770000000005</v>
      </c>
      <c r="Y35" s="3">
        <v>9.6671669999999992</v>
      </c>
      <c r="Z35" s="3">
        <v>6.5401600000000002</v>
      </c>
      <c r="AA35" s="3">
        <v>6.9198180000000002</v>
      </c>
      <c r="AB35" s="3">
        <v>9.8029869999999999</v>
      </c>
      <c r="AC35" s="3">
        <v>9.6783940000000008</v>
      </c>
      <c r="AD35" s="3">
        <v>8.2425890000000006</v>
      </c>
      <c r="AE35" s="3">
        <v>7.2907630000000001</v>
      </c>
      <c r="AF35" s="3">
        <v>7.8007460000000002</v>
      </c>
      <c r="AG35" s="3">
        <v>9.6485590000000006</v>
      </c>
      <c r="AH35" s="3">
        <v>7.2891079999999997</v>
      </c>
      <c r="AI35" s="3">
        <v>7.4327050000000003</v>
      </c>
      <c r="AJ35" s="3">
        <v>8.8970859999999998</v>
      </c>
      <c r="AK35" s="3">
        <v>7.2670389999999996</v>
      </c>
      <c r="AL35" s="3">
        <v>6.614954</v>
      </c>
      <c r="AM35" s="3">
        <v>6.0375610000000002</v>
      </c>
      <c r="AN35" s="3">
        <v>8.7226339999999993</v>
      </c>
      <c r="AO35" s="3">
        <v>6.6358350000000002</v>
      </c>
      <c r="AP35" s="3">
        <v>7.2638530000000001</v>
      </c>
      <c r="AQ35" s="3">
        <v>7.8162260000000003</v>
      </c>
      <c r="AR35" s="3">
        <v>9.4947730000000004</v>
      </c>
      <c r="AS35" s="3">
        <v>6.3285309999999999</v>
      </c>
      <c r="AT35" s="3">
        <v>7.6617030000000002</v>
      </c>
      <c r="AU35" s="3">
        <v>7.8019080000000001</v>
      </c>
      <c r="AV35" s="3">
        <v>6.8194970000000001</v>
      </c>
      <c r="AW35" s="3">
        <v>6.206423</v>
      </c>
      <c r="AX35" s="3">
        <v>9.4206769999999995</v>
      </c>
      <c r="AY35" s="3">
        <v>6.3594889999999999</v>
      </c>
      <c r="AZ35" s="3">
        <v>6.5495340000000004</v>
      </c>
      <c r="BA35" s="3">
        <v>5.3197660000000004</v>
      </c>
      <c r="BB35" s="3">
        <v>9.1082129999999992</v>
      </c>
      <c r="BC35" s="3">
        <v>8.9909999999999997</v>
      </c>
      <c r="BD35" s="3">
        <v>7.6057269999999999</v>
      </c>
      <c r="BE35" s="3">
        <v>9.9323350000000001</v>
      </c>
      <c r="BF35" s="3">
        <v>8.5723760000000002</v>
      </c>
      <c r="BG35" s="3">
        <v>7.111955</v>
      </c>
      <c r="BH35" s="3">
        <v>8.5441210000000005</v>
      </c>
      <c r="BI35" s="3">
        <v>8.5630939999999995</v>
      </c>
      <c r="BJ35" s="3">
        <v>7.6938389999999997</v>
      </c>
      <c r="BK35" s="3">
        <v>9.3858979999999992</v>
      </c>
      <c r="BL35" s="3">
        <v>7.1102259999999999</v>
      </c>
      <c r="BM35" s="3">
        <v>6.7534330000000002</v>
      </c>
      <c r="BN35" s="3">
        <v>6.3347160000000002</v>
      </c>
      <c r="BO35" s="3">
        <v>8.0191300000000005</v>
      </c>
      <c r="BP35" s="3">
        <v>6.1026069999999999</v>
      </c>
      <c r="BQ35" s="3">
        <v>8.4487299999999994</v>
      </c>
      <c r="BR35" s="3">
        <v>7.1759449999999996</v>
      </c>
      <c r="BS35" s="3">
        <v>8.5388739999999999</v>
      </c>
      <c r="BT35" s="3">
        <v>7.2078639999999998</v>
      </c>
      <c r="BU35" s="3">
        <v>8.8199889999999996</v>
      </c>
      <c r="BV35" s="3">
        <v>8.2247439999999994</v>
      </c>
      <c r="BW35" s="3">
        <v>7.1692039999999997</v>
      </c>
      <c r="BX35" s="3">
        <v>7.7388279999999998</v>
      </c>
      <c r="BY35" s="3">
        <v>7.8593060000000001</v>
      </c>
      <c r="BZ35" s="3">
        <v>7.1180440000000003</v>
      </c>
      <c r="CA35" s="3">
        <v>6.7287610000000004</v>
      </c>
      <c r="CB35" s="3">
        <v>6.8941439999999998</v>
      </c>
      <c r="CC35" s="3">
        <v>7.3124250000000002</v>
      </c>
      <c r="CD35" s="3">
        <v>6.3533350000000004</v>
      </c>
      <c r="CE35" s="3">
        <v>7.3436880000000002</v>
      </c>
      <c r="CF35" s="3">
        <v>6.5774210000000002</v>
      </c>
      <c r="CG35" s="3">
        <v>7.7519419999999997</v>
      </c>
      <c r="CH35" s="3">
        <v>7.7906849999999999</v>
      </c>
      <c r="CI35" s="3">
        <v>6.4944889999999997</v>
      </c>
      <c r="CJ35" s="3">
        <v>7.9567230000000002</v>
      </c>
      <c r="CK35" s="3">
        <v>6.9961719999999996</v>
      </c>
      <c r="CL35" s="3">
        <v>6.6874560000000001</v>
      </c>
      <c r="CM35" s="3">
        <v>7.0989519999999997</v>
      </c>
      <c r="CN35" s="3">
        <v>6.9147819999999998</v>
      </c>
      <c r="CO35" s="3">
        <v>6.7462499999999999</v>
      </c>
      <c r="CP35" s="3">
        <v>8.2700370000000003</v>
      </c>
      <c r="CQ35" s="3">
        <v>8.0662889999999994</v>
      </c>
      <c r="CR35" s="3">
        <v>7.7192819999999998</v>
      </c>
      <c r="CS35" s="3">
        <v>6.859356</v>
      </c>
      <c r="CT35" s="3">
        <v>7.3704739999999997</v>
      </c>
      <c r="CU35" s="3">
        <v>7.0128029999999999</v>
      </c>
      <c r="CV35" s="3">
        <v>7.4557640000000003</v>
      </c>
      <c r="CW35" s="3">
        <v>7.6528640000000001</v>
      </c>
      <c r="CX35" s="3">
        <v>8.2742290000000001</v>
      </c>
      <c r="CY35" s="3">
        <v>5.9882609999999996</v>
      </c>
      <c r="CZ35" s="3">
        <v>7.5304849999999997</v>
      </c>
      <c r="DA35" s="3">
        <v>6.2303920000000002</v>
      </c>
      <c r="DB35" s="3">
        <v>7.8324509999999998</v>
      </c>
      <c r="DC35" s="3">
        <v>8.4415329999999997</v>
      </c>
      <c r="DD35" s="3">
        <v>8.3158589999999997</v>
      </c>
      <c r="DE35" s="3">
        <v>7.0385739999999997</v>
      </c>
      <c r="DF35" s="3">
        <v>6.9994440000000004</v>
      </c>
      <c r="DG35" s="3">
        <v>8.479374</v>
      </c>
      <c r="DH35" s="3">
        <v>7.2003130000000004</v>
      </c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6" spans="2:207" x14ac:dyDescent="0.2">
      <c r="G36" s="3"/>
      <c r="H36" s="3"/>
      <c r="I36" s="3"/>
      <c r="J36" s="3"/>
      <c r="K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</row>
    <row r="38" spans="2:207" x14ac:dyDescent="0.2">
      <c r="B38" t="s">
        <v>42</v>
      </c>
      <c r="D38" s="1" t="s">
        <v>22</v>
      </c>
    </row>
    <row r="39" spans="2:207" x14ac:dyDescent="0.2">
      <c r="B39" s="2" t="s">
        <v>19</v>
      </c>
      <c r="D39" t="s">
        <v>8</v>
      </c>
      <c r="E39" t="s">
        <v>6</v>
      </c>
      <c r="F39">
        <f>COUNT(M39:GJ39)</f>
        <v>100</v>
      </c>
      <c r="G39" s="3">
        <f>AVERAGE(M39:GJ39)</f>
        <v>9.1585027200000031</v>
      </c>
      <c r="H39" s="3">
        <f>MAX(M39:GJ39)</f>
        <v>14.174109</v>
      </c>
      <c r="I39" s="3">
        <f>MIN(M39:GJ39)</f>
        <v>7.5057840000000002</v>
      </c>
      <c r="J39" s="3">
        <f>_xlfn.STDEV.P(M39:GJ39)</f>
        <v>1.346065557237788</v>
      </c>
      <c r="K39" s="3">
        <f>_xlfn.VAR.S(M39:GJ39)</f>
        <v>1.8301944286685643</v>
      </c>
      <c r="M39" s="3">
        <v>9.4239499999999996</v>
      </c>
      <c r="N39" s="3">
        <v>9.3977310000000003</v>
      </c>
      <c r="O39" s="3">
        <v>10.257101</v>
      </c>
      <c r="P39" s="3">
        <v>10.311007</v>
      </c>
      <c r="Q39" s="3">
        <v>10.139590999999999</v>
      </c>
      <c r="R39" s="3">
        <v>8.7497900000000008</v>
      </c>
      <c r="S39" s="3">
        <v>10.055933</v>
      </c>
      <c r="T39" s="3">
        <v>9.4968109999999992</v>
      </c>
      <c r="U39" s="3">
        <v>10.519962</v>
      </c>
      <c r="V39" s="3">
        <v>8.9718</v>
      </c>
      <c r="W39" s="3">
        <v>9.4140630000000005</v>
      </c>
      <c r="X39" s="3">
        <v>9.0700439999999993</v>
      </c>
      <c r="Y39" s="3">
        <v>9.8885559999999995</v>
      </c>
      <c r="Z39" s="3">
        <v>11.472753000000001</v>
      </c>
      <c r="AA39" s="3">
        <v>8.5896019999999993</v>
      </c>
      <c r="AB39" s="3">
        <v>10.457043000000001</v>
      </c>
      <c r="AC39" s="3">
        <v>12.892065000000001</v>
      </c>
      <c r="AD39" s="3">
        <v>8.8728470000000002</v>
      </c>
      <c r="AE39" s="3">
        <v>8.754982</v>
      </c>
      <c r="AF39" s="3">
        <v>12.938715</v>
      </c>
      <c r="AG39" s="3">
        <v>10.182824</v>
      </c>
      <c r="AH39" s="3">
        <v>9.7971450000000004</v>
      </c>
      <c r="AI39" s="3">
        <v>10.327491</v>
      </c>
      <c r="AJ39" s="3">
        <v>8.6930910000000008</v>
      </c>
      <c r="AK39" s="3">
        <v>8.3981449999999995</v>
      </c>
      <c r="AL39" s="3">
        <v>8.1346570000000007</v>
      </c>
      <c r="AM39" s="3">
        <v>8.9837659999999993</v>
      </c>
      <c r="AN39" s="3">
        <v>8.5615500000000004</v>
      </c>
      <c r="AO39" s="3">
        <v>8.4962710000000001</v>
      </c>
      <c r="AP39" s="3">
        <v>9.0056320000000003</v>
      </c>
      <c r="AQ39" s="3">
        <v>8.2554390000000009</v>
      </c>
      <c r="AR39" s="3">
        <v>8.8500890000000005</v>
      </c>
      <c r="AS39" s="3">
        <v>10.84557</v>
      </c>
      <c r="AT39" s="3">
        <v>8.6817049999999991</v>
      </c>
      <c r="AU39" s="3">
        <v>8.7261889999999998</v>
      </c>
      <c r="AV39" s="3">
        <v>8.4895689999999995</v>
      </c>
      <c r="AW39" s="3">
        <v>10.063848</v>
      </c>
      <c r="AX39" s="3">
        <v>14.174109</v>
      </c>
      <c r="AY39" s="3">
        <v>13.089176999999999</v>
      </c>
      <c r="AZ39" s="3">
        <v>7.9772679999999996</v>
      </c>
      <c r="BA39" s="3">
        <v>8.3280980000000007</v>
      </c>
      <c r="BB39" s="3">
        <v>8.8819379999999999</v>
      </c>
      <c r="BC39" s="3">
        <v>12.330493000000001</v>
      </c>
      <c r="BD39" s="3">
        <v>7.9821429999999998</v>
      </c>
      <c r="BE39" s="3">
        <v>8.2148900000000005</v>
      </c>
      <c r="BF39" s="3">
        <v>9.0868260000000003</v>
      </c>
      <c r="BG39" s="3">
        <v>7.8587930000000004</v>
      </c>
      <c r="BH39" s="3">
        <v>9.4108129999999992</v>
      </c>
      <c r="BI39" s="3">
        <v>9.8024749999999994</v>
      </c>
      <c r="BJ39" s="3">
        <v>8.2351519999999994</v>
      </c>
      <c r="BK39" s="3">
        <v>7.9429949999999998</v>
      </c>
      <c r="BL39" s="3">
        <v>9.8490610000000007</v>
      </c>
      <c r="BM39" s="3">
        <v>10.707967999999999</v>
      </c>
      <c r="BN39" s="3">
        <v>8.1048390000000001</v>
      </c>
      <c r="BO39" s="3">
        <v>8.8553529999999991</v>
      </c>
      <c r="BP39" s="3">
        <v>7.5057840000000002</v>
      </c>
      <c r="BQ39" s="3">
        <v>8.0225519999999992</v>
      </c>
      <c r="BR39" s="3">
        <v>8.0251280000000005</v>
      </c>
      <c r="BS39" s="3">
        <v>7.6265460000000003</v>
      </c>
      <c r="BT39" s="3">
        <v>8.1038219999999992</v>
      </c>
      <c r="BU39" s="3">
        <v>9.282413</v>
      </c>
      <c r="BV39" s="3">
        <v>7.881583</v>
      </c>
      <c r="BW39" s="3">
        <v>7.8720340000000002</v>
      </c>
      <c r="BX39" s="3">
        <v>8.5623120000000004</v>
      </c>
      <c r="BY39" s="3">
        <v>7.9298840000000004</v>
      </c>
      <c r="BZ39" s="3">
        <v>8.9938179999999992</v>
      </c>
      <c r="CA39" s="3">
        <v>8.5391490000000001</v>
      </c>
      <c r="CB39" s="3">
        <v>7.6610610000000001</v>
      </c>
      <c r="CC39" s="3">
        <v>8.8700519999999994</v>
      </c>
      <c r="CD39" s="3">
        <v>8.1713590000000007</v>
      </c>
      <c r="CE39" s="3">
        <v>9.3275249999999996</v>
      </c>
      <c r="CF39" s="3">
        <v>9.1417970000000004</v>
      </c>
      <c r="CG39" s="3">
        <v>8.2699079999999991</v>
      </c>
      <c r="CH39" s="3">
        <v>8.6802430000000008</v>
      </c>
      <c r="CI39" s="3">
        <v>8.9812759999999994</v>
      </c>
      <c r="CJ39" s="3">
        <v>7.9662980000000001</v>
      </c>
      <c r="CK39" s="3">
        <v>9.390409</v>
      </c>
      <c r="CL39" s="3">
        <v>8.0668989999999994</v>
      </c>
      <c r="CM39" s="3">
        <v>7.7577870000000004</v>
      </c>
      <c r="CN39" s="3">
        <v>10.557699</v>
      </c>
      <c r="CO39" s="3">
        <v>7.8084860000000003</v>
      </c>
      <c r="CP39" s="3">
        <v>8.6184019999999997</v>
      </c>
      <c r="CQ39" s="3">
        <v>10.105399999999999</v>
      </c>
      <c r="CR39" s="3">
        <v>8.1840530000000005</v>
      </c>
      <c r="CS39" s="3">
        <v>8.6525949999999998</v>
      </c>
      <c r="CT39" s="3">
        <v>8.4855280000000004</v>
      </c>
      <c r="CU39" s="3">
        <v>9.5153119999999998</v>
      </c>
      <c r="CV39" s="3">
        <v>7.9908080000000004</v>
      </c>
      <c r="CW39" s="3">
        <v>12.58841</v>
      </c>
      <c r="CX39" s="3">
        <v>7.667624</v>
      </c>
      <c r="CY39" s="3">
        <v>8.1305549999999993</v>
      </c>
      <c r="CZ39" s="3">
        <v>8.3848050000000001</v>
      </c>
      <c r="DA39" s="3">
        <v>8.3845810000000007</v>
      </c>
      <c r="DB39" s="3">
        <v>8.6978349999999995</v>
      </c>
      <c r="DC39" s="3">
        <v>12.535774</v>
      </c>
      <c r="DD39" s="3">
        <v>9.1089149999999997</v>
      </c>
      <c r="DE39" s="3">
        <v>7.8912620000000002</v>
      </c>
      <c r="DF39" s="3">
        <v>7.8177760000000003</v>
      </c>
      <c r="DG39" s="3">
        <v>9.0639889999999994</v>
      </c>
      <c r="DH39" s="3">
        <v>10.031105999999999</v>
      </c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 spans="2:207" x14ac:dyDescent="0.2">
      <c r="B40" s="2" t="s">
        <v>27</v>
      </c>
      <c r="G40" s="3"/>
      <c r="H40" s="3"/>
      <c r="I40" s="3"/>
      <c r="J40" s="3"/>
      <c r="K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 spans="2:207" x14ac:dyDescent="0.2">
      <c r="B41" s="2" t="s">
        <v>24</v>
      </c>
      <c r="D41" t="s">
        <v>9</v>
      </c>
      <c r="E41" t="s">
        <v>6</v>
      </c>
      <c r="F41">
        <f>COUNT(M41:GJ41)</f>
        <v>100</v>
      </c>
      <c r="G41" s="3">
        <f>AVERAGE(M41:GJ41)</f>
        <v>9.9081132600000004</v>
      </c>
      <c r="H41" s="3">
        <f>MAX(M41:GJ41)</f>
        <v>14.397841</v>
      </c>
      <c r="I41" s="3">
        <f>MIN(M41:GJ41)</f>
        <v>7.6930240000000003</v>
      </c>
      <c r="J41" s="3">
        <f>_xlfn.STDEV.P(M41:GJ41)</f>
        <v>1.2970842435284797</v>
      </c>
      <c r="K41" s="3">
        <f>_xlfn.VAR.S(M41:GJ41)</f>
        <v>1.6994217523331809</v>
      </c>
      <c r="M41" s="3">
        <v>12.309473000000001</v>
      </c>
      <c r="N41" s="3">
        <v>8.9774560000000001</v>
      </c>
      <c r="O41" s="3">
        <v>7.845421</v>
      </c>
      <c r="P41" s="3">
        <v>12.289595</v>
      </c>
      <c r="Q41" s="3">
        <v>8.5491410000000005</v>
      </c>
      <c r="R41" s="3">
        <v>8.7835000000000001</v>
      </c>
      <c r="S41" s="3">
        <v>7.8494960000000003</v>
      </c>
      <c r="T41" s="3">
        <v>8.945017</v>
      </c>
      <c r="U41" s="3">
        <v>11.168874000000001</v>
      </c>
      <c r="V41" s="3">
        <v>9.4454209999999996</v>
      </c>
      <c r="W41" s="3">
        <v>9.400881</v>
      </c>
      <c r="X41" s="3">
        <v>8.6860649999999993</v>
      </c>
      <c r="Y41" s="3">
        <v>8.3171990000000005</v>
      </c>
      <c r="Z41" s="3">
        <v>10.271756999999999</v>
      </c>
      <c r="AA41" s="3">
        <v>14.397841</v>
      </c>
      <c r="AB41" s="3">
        <v>12.353631999999999</v>
      </c>
      <c r="AC41" s="3">
        <v>8.5033560000000001</v>
      </c>
      <c r="AD41" s="3">
        <v>10.174242</v>
      </c>
      <c r="AE41" s="3">
        <v>13.176364</v>
      </c>
      <c r="AF41" s="3">
        <v>10.154033</v>
      </c>
      <c r="AG41" s="3">
        <v>12.942522</v>
      </c>
      <c r="AH41" s="3">
        <v>9.4064540000000001</v>
      </c>
      <c r="AI41" s="3">
        <v>10.522423</v>
      </c>
      <c r="AJ41" s="3">
        <v>8.9564129999999995</v>
      </c>
      <c r="AK41" s="3">
        <v>10.226471</v>
      </c>
      <c r="AL41" s="3">
        <v>10.000603</v>
      </c>
      <c r="AM41" s="3">
        <v>11.274158</v>
      </c>
      <c r="AN41" s="3">
        <v>9.8520640000000004</v>
      </c>
      <c r="AO41" s="3">
        <v>9.9736999999999991</v>
      </c>
      <c r="AP41" s="3">
        <v>8.2198069999999994</v>
      </c>
      <c r="AQ41" s="3">
        <v>8.3133940000000006</v>
      </c>
      <c r="AR41" s="3">
        <v>10.758884</v>
      </c>
      <c r="AS41" s="3">
        <v>10.606693</v>
      </c>
      <c r="AT41" s="3">
        <v>8.8752899999999997</v>
      </c>
      <c r="AU41" s="3">
        <v>8.4166659999999993</v>
      </c>
      <c r="AV41" s="3">
        <v>10.350493</v>
      </c>
      <c r="AW41" s="3">
        <v>8.8326639999999994</v>
      </c>
      <c r="AX41" s="3">
        <v>10.032353000000001</v>
      </c>
      <c r="AY41" s="3">
        <v>9.8646600000000007</v>
      </c>
      <c r="AZ41" s="3">
        <v>9.7226020000000002</v>
      </c>
      <c r="BA41" s="3">
        <v>8.8160679999999996</v>
      </c>
      <c r="BB41" s="3">
        <v>8.7307500000000005</v>
      </c>
      <c r="BC41" s="3">
        <v>9.504016</v>
      </c>
      <c r="BD41" s="3">
        <v>12.84206</v>
      </c>
      <c r="BE41" s="3">
        <v>8.3981539999999999</v>
      </c>
      <c r="BF41" s="3">
        <v>9.5277960000000004</v>
      </c>
      <c r="BG41" s="3">
        <v>9.2846569999999993</v>
      </c>
      <c r="BH41" s="3">
        <v>7.6930240000000003</v>
      </c>
      <c r="BI41" s="3">
        <v>8.3900659999999991</v>
      </c>
      <c r="BJ41" s="3">
        <v>11.28519</v>
      </c>
      <c r="BK41" s="3">
        <v>10.993124999999999</v>
      </c>
      <c r="BL41" s="3">
        <v>8.0554430000000004</v>
      </c>
      <c r="BM41" s="3">
        <v>10.190566</v>
      </c>
      <c r="BN41" s="3">
        <v>11.400703</v>
      </c>
      <c r="BO41" s="3">
        <v>10.310155999999999</v>
      </c>
      <c r="BP41" s="3">
        <v>9.9871130000000008</v>
      </c>
      <c r="BQ41" s="3">
        <v>9.5732090000000003</v>
      </c>
      <c r="BR41" s="3">
        <v>9.5704670000000007</v>
      </c>
      <c r="BS41" s="3">
        <v>9.2267189999999992</v>
      </c>
      <c r="BT41" s="3">
        <v>9.3523139999999998</v>
      </c>
      <c r="BU41" s="3">
        <v>11.763134000000001</v>
      </c>
      <c r="BV41" s="3">
        <v>9.9433500000000006</v>
      </c>
      <c r="BW41" s="3">
        <v>9.5004480000000004</v>
      </c>
      <c r="BX41" s="3">
        <v>10.510123</v>
      </c>
      <c r="BY41" s="3">
        <v>8.9208649999999992</v>
      </c>
      <c r="BZ41" s="3">
        <v>10.222656000000001</v>
      </c>
      <c r="CA41" s="3">
        <v>10.518241</v>
      </c>
      <c r="CB41" s="3">
        <v>9.1743699999999997</v>
      </c>
      <c r="CC41" s="3">
        <v>8.294143</v>
      </c>
      <c r="CD41" s="3">
        <v>12.813608</v>
      </c>
      <c r="CE41" s="3">
        <v>8.4025289999999995</v>
      </c>
      <c r="CF41" s="3">
        <v>9.3049330000000001</v>
      </c>
      <c r="CG41" s="3">
        <v>9.6003100000000003</v>
      </c>
      <c r="CH41" s="3">
        <v>9.2546339999999994</v>
      </c>
      <c r="CI41" s="3">
        <v>9.7635780000000008</v>
      </c>
      <c r="CJ41" s="3">
        <v>10.64199</v>
      </c>
      <c r="CK41" s="3">
        <v>10.712870000000001</v>
      </c>
      <c r="CL41" s="3">
        <v>8.777984</v>
      </c>
      <c r="CM41" s="3">
        <v>11.352485</v>
      </c>
      <c r="CN41" s="3">
        <v>10.446842</v>
      </c>
      <c r="CO41" s="3">
        <v>8.8126329999999999</v>
      </c>
      <c r="CP41" s="3">
        <v>10.056334</v>
      </c>
      <c r="CQ41" s="3">
        <v>9.5440749999999994</v>
      </c>
      <c r="CR41" s="3">
        <v>11.802618000000001</v>
      </c>
      <c r="CS41" s="3">
        <v>10.369289</v>
      </c>
      <c r="CT41" s="3">
        <v>10.703844</v>
      </c>
      <c r="CU41" s="3">
        <v>9.2634310000000006</v>
      </c>
      <c r="CV41" s="3">
        <v>10.864954000000001</v>
      </c>
      <c r="CW41" s="3">
        <v>8.1113970000000002</v>
      </c>
      <c r="CX41" s="3">
        <v>11.384389000000001</v>
      </c>
      <c r="CY41" s="3">
        <v>10.183956</v>
      </c>
      <c r="CZ41" s="3">
        <v>10.750370999999999</v>
      </c>
      <c r="DA41" s="3">
        <v>8.6297320000000006</v>
      </c>
      <c r="DB41" s="3">
        <v>10.255502</v>
      </c>
      <c r="DC41" s="3">
        <v>9.2900600000000004</v>
      </c>
      <c r="DD41" s="3">
        <v>9.4079829999999998</v>
      </c>
      <c r="DE41" s="3">
        <v>8.8468149999999994</v>
      </c>
      <c r="DF41" s="3">
        <v>10.702265000000001</v>
      </c>
      <c r="DG41" s="3">
        <v>9.5772329999999997</v>
      </c>
      <c r="DH41" s="3">
        <v>10.456678</v>
      </c>
      <c r="DI41" s="3"/>
      <c r="DJ41" s="3"/>
      <c r="DK41" s="3"/>
      <c r="DL41" s="3"/>
      <c r="DM41" s="3"/>
      <c r="DO41" s="3"/>
      <c r="DT41" s="3"/>
      <c r="DU41" s="3"/>
      <c r="DX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 spans="2:207" x14ac:dyDescent="0.2">
      <c r="G42" s="3"/>
      <c r="H42" s="3"/>
      <c r="I42" s="3"/>
      <c r="J42" s="3"/>
      <c r="K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 spans="2:207" x14ac:dyDescent="0.2">
      <c r="D43" t="s">
        <v>7</v>
      </c>
      <c r="E43" t="s">
        <v>6</v>
      </c>
      <c r="F43">
        <f>COUNT(M43:GJ43)</f>
        <v>100</v>
      </c>
      <c r="G43" s="3">
        <f>AVERAGE(M43:GJ43)</f>
        <v>12.922714090000001</v>
      </c>
      <c r="H43" s="3">
        <f>MAX(M43:GJ43)</f>
        <v>15.492630999999999</v>
      </c>
      <c r="I43" s="3">
        <f>MIN(M43:GJ43)</f>
        <v>10.852307</v>
      </c>
      <c r="J43" s="3">
        <f>_xlfn.STDEV.P(M43:GJ43)</f>
        <v>1.0096755433571329</v>
      </c>
      <c r="K43" s="3">
        <f>_xlfn.VAR.S(M43:GJ43)</f>
        <v>1.0297421240944662</v>
      </c>
      <c r="M43" s="3">
        <v>13.951302999999999</v>
      </c>
      <c r="N43" s="3">
        <v>11.295118</v>
      </c>
      <c r="O43" s="3">
        <v>13.095935000000001</v>
      </c>
      <c r="P43" s="3">
        <v>13.232188000000001</v>
      </c>
      <c r="Q43" s="3">
        <v>14.20276</v>
      </c>
      <c r="R43" s="3">
        <v>13.240334000000001</v>
      </c>
      <c r="S43" s="3">
        <v>13.541945</v>
      </c>
      <c r="T43" s="3">
        <v>12.974716000000001</v>
      </c>
      <c r="U43" s="3">
        <v>13.815757</v>
      </c>
      <c r="V43" s="3">
        <v>13.565969000000001</v>
      </c>
      <c r="W43" s="3">
        <v>11.243921</v>
      </c>
      <c r="X43" s="3">
        <v>15.045669999999999</v>
      </c>
      <c r="Y43" s="3">
        <v>13.636796</v>
      </c>
      <c r="Z43" s="3">
        <v>11.648966</v>
      </c>
      <c r="AA43" s="3">
        <v>13.328135</v>
      </c>
      <c r="AB43" s="3">
        <v>12.563008999999999</v>
      </c>
      <c r="AC43" s="3">
        <v>13.34482</v>
      </c>
      <c r="AD43" s="3">
        <v>13.399469</v>
      </c>
      <c r="AE43" s="3">
        <v>12.570342</v>
      </c>
      <c r="AF43" s="3">
        <v>13.719526999999999</v>
      </c>
      <c r="AG43" s="3">
        <v>11.917285</v>
      </c>
      <c r="AH43" s="3">
        <v>12.762245999999999</v>
      </c>
      <c r="AI43" s="3">
        <v>10.852307</v>
      </c>
      <c r="AJ43" s="3">
        <v>14.299991</v>
      </c>
      <c r="AK43" s="3">
        <v>14.756774</v>
      </c>
      <c r="AL43" s="3">
        <v>12.346811000000001</v>
      </c>
      <c r="AM43" s="3">
        <v>13.942867</v>
      </c>
      <c r="AN43" s="3">
        <v>12.120385000000001</v>
      </c>
      <c r="AO43" s="3">
        <v>15.492630999999999</v>
      </c>
      <c r="AP43" s="3">
        <v>13.145495</v>
      </c>
      <c r="AQ43" s="3">
        <v>13.10313</v>
      </c>
      <c r="AR43" s="3">
        <v>14.794919</v>
      </c>
      <c r="AS43" s="3">
        <v>13.207246</v>
      </c>
      <c r="AT43" s="3">
        <v>14.459882</v>
      </c>
      <c r="AU43" s="3">
        <v>13.605791</v>
      </c>
      <c r="AV43" s="3">
        <v>13.590674999999999</v>
      </c>
      <c r="AW43" s="3">
        <v>12.772864</v>
      </c>
      <c r="AX43" s="3">
        <v>13.682589999999999</v>
      </c>
      <c r="AY43" s="3">
        <v>13.175288999999999</v>
      </c>
      <c r="AZ43" s="3">
        <v>12.414289999999999</v>
      </c>
      <c r="BA43" s="3">
        <v>13.605282000000001</v>
      </c>
      <c r="BB43" s="3">
        <v>13.8043</v>
      </c>
      <c r="BC43" s="3">
        <v>13.264236</v>
      </c>
      <c r="BD43" s="3">
        <v>13.31392</v>
      </c>
      <c r="BE43" s="3">
        <v>13.921824000000001</v>
      </c>
      <c r="BF43" s="3">
        <v>14.244227</v>
      </c>
      <c r="BG43" s="3">
        <v>13.264301</v>
      </c>
      <c r="BH43" s="3">
        <v>15.464516</v>
      </c>
      <c r="BI43" s="3">
        <v>13.398484</v>
      </c>
      <c r="BJ43" s="3">
        <v>12.534898</v>
      </c>
      <c r="BK43" s="3">
        <v>12.663423</v>
      </c>
      <c r="BL43" s="3">
        <v>11.713639000000001</v>
      </c>
      <c r="BM43" s="3">
        <v>12.831224000000001</v>
      </c>
      <c r="BN43" s="3">
        <v>13.915827999999999</v>
      </c>
      <c r="BO43" s="3">
        <v>12.903381</v>
      </c>
      <c r="BP43" s="3">
        <v>12.400046</v>
      </c>
      <c r="BQ43" s="3">
        <v>13.245088000000001</v>
      </c>
      <c r="BR43" s="3">
        <v>11.974246000000001</v>
      </c>
      <c r="BS43" s="3">
        <v>11.964471</v>
      </c>
      <c r="BT43" s="3">
        <v>11.427161999999999</v>
      </c>
      <c r="BU43" s="3">
        <v>13.124525</v>
      </c>
      <c r="BV43" s="3">
        <v>12.700942</v>
      </c>
      <c r="BW43" s="3">
        <v>13.254865000000001</v>
      </c>
      <c r="BX43" s="3">
        <v>14.638539</v>
      </c>
      <c r="BY43" s="3">
        <v>11.992188000000001</v>
      </c>
      <c r="BZ43" s="3">
        <v>13.469142</v>
      </c>
      <c r="CA43" s="3">
        <v>12.359512</v>
      </c>
      <c r="CB43" s="3">
        <v>11.3156</v>
      </c>
      <c r="CC43" s="3">
        <v>11.742169000000001</v>
      </c>
      <c r="CD43" s="3">
        <v>12.972416000000001</v>
      </c>
      <c r="CE43" s="3">
        <v>11.990804000000001</v>
      </c>
      <c r="CF43" s="3">
        <v>12.44299</v>
      </c>
      <c r="CG43" s="3">
        <v>13.397202</v>
      </c>
      <c r="CH43" s="3">
        <v>12.243781</v>
      </c>
      <c r="CI43" s="3">
        <v>11.779888</v>
      </c>
      <c r="CJ43" s="3">
        <v>11.600286000000001</v>
      </c>
      <c r="CK43" s="3">
        <v>14.328938000000001</v>
      </c>
      <c r="CL43" s="3">
        <v>11.843438000000001</v>
      </c>
      <c r="CM43" s="3">
        <v>11.891114</v>
      </c>
      <c r="CN43" s="3">
        <v>12.321991000000001</v>
      </c>
      <c r="CO43" s="3">
        <v>11.300121000000001</v>
      </c>
      <c r="CP43" s="3">
        <v>12.006228</v>
      </c>
      <c r="CQ43" s="3">
        <v>12.044845</v>
      </c>
      <c r="CR43" s="3">
        <v>11.743893999999999</v>
      </c>
      <c r="CS43" s="3">
        <v>13.078154</v>
      </c>
      <c r="CT43" s="3">
        <v>12.609296000000001</v>
      </c>
      <c r="CU43" s="3">
        <v>11.621893</v>
      </c>
      <c r="CV43" s="3">
        <v>13.818133</v>
      </c>
      <c r="CW43" s="3">
        <v>13.309132999999999</v>
      </c>
      <c r="CX43" s="3">
        <v>12.330098</v>
      </c>
      <c r="CY43" s="3">
        <v>11.87162</v>
      </c>
      <c r="CZ43" s="3">
        <v>11.743572</v>
      </c>
      <c r="DA43" s="3">
        <v>11.119597000000001</v>
      </c>
      <c r="DB43" s="3">
        <v>11.985372999999999</v>
      </c>
      <c r="DC43" s="3">
        <v>13.415581</v>
      </c>
      <c r="DD43" s="3">
        <v>11.420531</v>
      </c>
      <c r="DE43" s="3">
        <v>12.634297999999999</v>
      </c>
      <c r="DF43" s="3">
        <v>13.490142000000001</v>
      </c>
      <c r="DG43" s="3">
        <v>14.427854999999999</v>
      </c>
      <c r="DH43" s="3">
        <v>13.176071</v>
      </c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 spans="2:207" x14ac:dyDescent="0.2">
      <c r="G44" s="3"/>
      <c r="H44" s="3"/>
      <c r="I44" s="3"/>
      <c r="J44" s="3"/>
      <c r="K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 spans="2:207" x14ac:dyDescent="0.2">
      <c r="D45" t="s">
        <v>10</v>
      </c>
      <c r="E45" t="s">
        <v>6</v>
      </c>
      <c r="F45">
        <f>COUNT(M45:GJ45)</f>
        <v>100</v>
      </c>
      <c r="G45" s="3">
        <f>AVERAGE(M45:GJ45)</f>
        <v>9.2484437200000009</v>
      </c>
      <c r="H45" s="3">
        <f>MAX(M45:GJ45)</f>
        <v>11.434328000000001</v>
      </c>
      <c r="I45" s="3">
        <f>MIN(M45:GJ45)</f>
        <v>8.0572970000000002</v>
      </c>
      <c r="J45" s="3">
        <f>_xlfn.STDEV.P(M45:GJ45)</f>
        <v>0.65391281602507356</v>
      </c>
      <c r="K45" s="3">
        <f>_xlfn.VAR.S(M45:GJ45)</f>
        <v>0.43192118278973918</v>
      </c>
      <c r="M45" s="3">
        <v>9.3455580000000005</v>
      </c>
      <c r="N45" s="3">
        <v>9.9260699999999993</v>
      </c>
      <c r="O45" s="3">
        <v>9.5069680000000005</v>
      </c>
      <c r="P45" s="3">
        <v>8.7403080000000006</v>
      </c>
      <c r="Q45" s="3">
        <v>10.725444</v>
      </c>
      <c r="R45" s="3">
        <v>8.559056</v>
      </c>
      <c r="S45" s="3">
        <v>8.936299</v>
      </c>
      <c r="T45" s="3">
        <v>9.7500769999999992</v>
      </c>
      <c r="U45" s="3">
        <v>9.2660549999999997</v>
      </c>
      <c r="V45" s="3">
        <v>9.1539800000000007</v>
      </c>
      <c r="W45" s="3">
        <v>9.5887069999999994</v>
      </c>
      <c r="X45" s="3">
        <v>8.782432</v>
      </c>
      <c r="Y45" s="3">
        <v>9.1121630000000007</v>
      </c>
      <c r="Z45" s="3">
        <v>9.4588169999999998</v>
      </c>
      <c r="AA45" s="3">
        <v>9.4498619999999995</v>
      </c>
      <c r="AB45" s="3">
        <v>9.5923400000000001</v>
      </c>
      <c r="AC45" s="3">
        <v>9.1327549999999995</v>
      </c>
      <c r="AD45" s="3">
        <v>8.8096689999999995</v>
      </c>
      <c r="AE45" s="3">
        <v>8.1349319999999992</v>
      </c>
      <c r="AF45" s="3">
        <v>9.7025989999999993</v>
      </c>
      <c r="AG45" s="3">
        <v>8.3169570000000004</v>
      </c>
      <c r="AH45" s="3">
        <v>8.4674990000000001</v>
      </c>
      <c r="AI45" s="3">
        <v>8.1115399999999998</v>
      </c>
      <c r="AJ45" s="3">
        <v>9.1458159999999999</v>
      </c>
      <c r="AK45" s="3">
        <v>9.3623689999999993</v>
      </c>
      <c r="AL45" s="3">
        <v>9.2570169999999994</v>
      </c>
      <c r="AM45" s="3">
        <v>9.1859590000000004</v>
      </c>
      <c r="AN45" s="3">
        <v>9.7909480000000002</v>
      </c>
      <c r="AO45" s="3">
        <v>8.5687479999999994</v>
      </c>
      <c r="AP45" s="3">
        <v>8.4799489999999995</v>
      </c>
      <c r="AQ45" s="3">
        <v>8.6734030000000004</v>
      </c>
      <c r="AR45" s="3">
        <v>8.972073</v>
      </c>
      <c r="AS45" s="3">
        <v>8.4679990000000007</v>
      </c>
      <c r="AT45" s="3">
        <v>8.7326149999999991</v>
      </c>
      <c r="AU45" s="3">
        <v>8.3516790000000007</v>
      </c>
      <c r="AV45" s="3">
        <v>9.362914</v>
      </c>
      <c r="AW45" s="3">
        <v>9.8897860000000009</v>
      </c>
      <c r="AX45" s="3">
        <v>10.164218</v>
      </c>
      <c r="AY45" s="3">
        <v>9.5825340000000008</v>
      </c>
      <c r="AZ45" s="3">
        <v>9.2567260000000005</v>
      </c>
      <c r="BA45" s="3">
        <v>8.8376269999999995</v>
      </c>
      <c r="BB45" s="3">
        <v>9.8739360000000005</v>
      </c>
      <c r="BC45" s="3">
        <v>8.4913439999999998</v>
      </c>
      <c r="BD45" s="3">
        <v>8.9781960000000005</v>
      </c>
      <c r="BE45" s="3">
        <v>8.0572970000000002</v>
      </c>
      <c r="BF45" s="3">
        <v>9.3630580000000005</v>
      </c>
      <c r="BG45" s="3">
        <v>8.7041129999999995</v>
      </c>
      <c r="BH45" s="3">
        <v>9.2277299999999993</v>
      </c>
      <c r="BI45" s="3">
        <v>9.8358019999999993</v>
      </c>
      <c r="BJ45" s="3">
        <v>8.5936509999999995</v>
      </c>
      <c r="BK45" s="3">
        <v>8.4526149999999998</v>
      </c>
      <c r="BL45" s="3">
        <v>10.065212000000001</v>
      </c>
      <c r="BM45" s="3">
        <v>9.112838</v>
      </c>
      <c r="BN45" s="3">
        <v>9.4615989999999996</v>
      </c>
      <c r="BO45" s="3">
        <v>9.4909560000000006</v>
      </c>
      <c r="BP45" s="3">
        <v>9.8807500000000008</v>
      </c>
      <c r="BQ45" s="3">
        <v>8.903257</v>
      </c>
      <c r="BR45" s="3">
        <v>9.0690709999999992</v>
      </c>
      <c r="BS45" s="3">
        <v>8.8505219999999998</v>
      </c>
      <c r="BT45" s="3">
        <v>8.6792459999999991</v>
      </c>
      <c r="BU45" s="3">
        <v>9.5719209999999997</v>
      </c>
      <c r="BV45" s="3">
        <v>10.203483</v>
      </c>
      <c r="BW45" s="3">
        <v>8.6403280000000002</v>
      </c>
      <c r="BX45" s="3">
        <v>10.574073</v>
      </c>
      <c r="BY45" s="3">
        <v>10.039849999999999</v>
      </c>
      <c r="BZ45" s="3">
        <v>8.1732150000000008</v>
      </c>
      <c r="CA45" s="3">
        <v>10.327279000000001</v>
      </c>
      <c r="CB45" s="3">
        <v>9.2850029999999997</v>
      </c>
      <c r="CC45" s="3">
        <v>8.7904479999999996</v>
      </c>
      <c r="CD45" s="3">
        <v>9.1363529999999997</v>
      </c>
      <c r="CE45" s="3">
        <v>8.9363700000000001</v>
      </c>
      <c r="CF45" s="3">
        <v>8.5374090000000002</v>
      </c>
      <c r="CG45" s="3">
        <v>9.5039949999999997</v>
      </c>
      <c r="CH45" s="3">
        <v>9.8629510000000007</v>
      </c>
      <c r="CI45" s="3">
        <v>10.82795</v>
      </c>
      <c r="CJ45" s="3">
        <v>9.2734079999999999</v>
      </c>
      <c r="CK45" s="3">
        <v>11.434328000000001</v>
      </c>
      <c r="CL45" s="3">
        <v>9.7946679999999997</v>
      </c>
      <c r="CM45" s="3">
        <v>8.8321489999999994</v>
      </c>
      <c r="CN45" s="3">
        <v>9.6006710000000002</v>
      </c>
      <c r="CO45" s="3">
        <v>9.2386149999999994</v>
      </c>
      <c r="CP45" s="3">
        <v>9.1422659999999993</v>
      </c>
      <c r="CQ45" s="3">
        <v>9.5431539999999995</v>
      </c>
      <c r="CR45" s="3">
        <v>8.8046570000000006</v>
      </c>
      <c r="CS45" s="3">
        <v>8.3368570000000002</v>
      </c>
      <c r="CT45" s="3">
        <v>9.2425069999999998</v>
      </c>
      <c r="CU45" s="3">
        <v>9.3472399999999993</v>
      </c>
      <c r="CV45" s="3">
        <v>9.1088839999999998</v>
      </c>
      <c r="CW45" s="3">
        <v>10.558723000000001</v>
      </c>
      <c r="CX45" s="3">
        <v>9.4466079999999994</v>
      </c>
      <c r="CY45" s="3">
        <v>8.3919119999999996</v>
      </c>
      <c r="CZ45" s="3">
        <v>9.8503720000000001</v>
      </c>
      <c r="DA45" s="3">
        <v>10.05977</v>
      </c>
      <c r="DB45" s="3">
        <v>8.5774069999999991</v>
      </c>
      <c r="DC45" s="3">
        <v>9.2855699999999999</v>
      </c>
      <c r="DD45" s="3">
        <v>8.7532099999999993</v>
      </c>
      <c r="DE45" s="3">
        <v>8.4855529999999995</v>
      </c>
      <c r="DF45" s="3">
        <v>9.7137370000000001</v>
      </c>
      <c r="DG45" s="3">
        <v>9.3664459999999998</v>
      </c>
      <c r="DH45" s="3">
        <v>10.501372</v>
      </c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 spans="2:207" x14ac:dyDescent="0.2">
      <c r="G46" s="3"/>
      <c r="H46" s="3"/>
      <c r="I46" s="3"/>
      <c r="J46" s="3"/>
      <c r="K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 spans="2:207" x14ac:dyDescent="0.2">
      <c r="D47" t="s">
        <v>11</v>
      </c>
      <c r="E47" t="s">
        <v>6</v>
      </c>
      <c r="F47">
        <f>COUNT(M47:GJ47)</f>
        <v>100</v>
      </c>
      <c r="G47" s="3">
        <f>AVERAGE(M47:GJ47)</f>
        <v>9.7700834699999959</v>
      </c>
      <c r="H47" s="3">
        <f>MAX(M47:GJ47)</f>
        <v>13.84224</v>
      </c>
      <c r="I47" s="3">
        <f>MIN(M47:GJ47)</f>
        <v>7.6454310000000003</v>
      </c>
      <c r="J47" s="3">
        <f>_xlfn.STDEV.P(M47:GJ47)</f>
        <v>1.3234090598027883</v>
      </c>
      <c r="K47" s="3">
        <f>_xlfn.VAR.S(M47:GJ47)</f>
        <v>1.7691025652202921</v>
      </c>
      <c r="M47" s="3">
        <v>9.7879939999999994</v>
      </c>
      <c r="N47" s="3">
        <v>9.9517749999999996</v>
      </c>
      <c r="O47" s="3">
        <v>9.5475510000000003</v>
      </c>
      <c r="P47" s="3">
        <v>10.328315</v>
      </c>
      <c r="Q47" s="3">
        <v>10.993575</v>
      </c>
      <c r="R47" s="3">
        <v>8.4950589999999995</v>
      </c>
      <c r="S47" s="3">
        <v>10.01402</v>
      </c>
      <c r="T47" s="3">
        <v>9.0345980000000008</v>
      </c>
      <c r="U47" s="3">
        <v>10.064568</v>
      </c>
      <c r="V47" s="3">
        <v>8.8932850000000006</v>
      </c>
      <c r="W47" s="3">
        <v>9.0404499999999999</v>
      </c>
      <c r="X47" s="3">
        <v>11.426602000000001</v>
      </c>
      <c r="Y47" s="3">
        <v>11.386803</v>
      </c>
      <c r="Z47" s="3">
        <v>9.7951359999999994</v>
      </c>
      <c r="AA47" s="3">
        <v>8.6273280000000003</v>
      </c>
      <c r="AB47" s="3">
        <v>11.394613</v>
      </c>
      <c r="AC47" s="3">
        <v>12.316520000000001</v>
      </c>
      <c r="AD47" s="3">
        <v>9.6915969999999998</v>
      </c>
      <c r="AE47" s="3">
        <v>11.919433</v>
      </c>
      <c r="AF47" s="3">
        <v>9.9621779999999998</v>
      </c>
      <c r="AG47" s="3">
        <v>8.5296900000000004</v>
      </c>
      <c r="AH47" s="3">
        <v>12.235996999999999</v>
      </c>
      <c r="AI47" s="3">
        <v>10.229352</v>
      </c>
      <c r="AJ47" s="3">
        <v>8.9945660000000007</v>
      </c>
      <c r="AK47" s="3">
        <v>8.4176149999999996</v>
      </c>
      <c r="AL47" s="3">
        <v>11.418735</v>
      </c>
      <c r="AM47" s="3">
        <v>8.8453750000000007</v>
      </c>
      <c r="AN47" s="3">
        <v>12.673145</v>
      </c>
      <c r="AO47" s="3">
        <v>7.6454310000000003</v>
      </c>
      <c r="AP47" s="3">
        <v>8.212847</v>
      </c>
      <c r="AQ47" s="3">
        <v>9.4812519999999996</v>
      </c>
      <c r="AR47" s="3">
        <v>12.643720999999999</v>
      </c>
      <c r="AS47" s="3">
        <v>8.3015000000000008</v>
      </c>
      <c r="AT47" s="3">
        <v>10.941599999999999</v>
      </c>
      <c r="AU47" s="3">
        <v>9.4519680000000008</v>
      </c>
      <c r="AV47" s="3">
        <v>8.6755040000000001</v>
      </c>
      <c r="AW47" s="3">
        <v>8.2859370000000006</v>
      </c>
      <c r="AX47" s="3">
        <v>13.173204999999999</v>
      </c>
      <c r="AY47" s="3">
        <v>8.1186469999999993</v>
      </c>
      <c r="AZ47" s="3">
        <v>8.9444499999999998</v>
      </c>
      <c r="BA47" s="3">
        <v>8.3993420000000008</v>
      </c>
      <c r="BB47" s="3">
        <v>10.004352000000001</v>
      </c>
      <c r="BC47" s="3">
        <v>8.969735</v>
      </c>
      <c r="BD47" s="3">
        <v>9.6712360000000004</v>
      </c>
      <c r="BE47" s="3">
        <v>11.306253</v>
      </c>
      <c r="BF47" s="3">
        <v>10.518530999999999</v>
      </c>
      <c r="BG47" s="3">
        <v>8.5156349999999996</v>
      </c>
      <c r="BH47" s="3">
        <v>10.144012999999999</v>
      </c>
      <c r="BI47" s="3">
        <v>8.8258130000000001</v>
      </c>
      <c r="BJ47" s="3">
        <v>8.8668279999999999</v>
      </c>
      <c r="BK47" s="3">
        <v>9.5763510000000007</v>
      </c>
      <c r="BL47" s="3">
        <v>12.045804</v>
      </c>
      <c r="BM47" s="3">
        <v>8.9217239999999993</v>
      </c>
      <c r="BN47" s="3">
        <v>8.1171729999999993</v>
      </c>
      <c r="BO47" s="3">
        <v>9.2085740000000005</v>
      </c>
      <c r="BP47" s="3">
        <v>8.3668639999999996</v>
      </c>
      <c r="BQ47" s="3">
        <v>10.172857</v>
      </c>
      <c r="BR47" s="3">
        <v>9.1115630000000003</v>
      </c>
      <c r="BS47" s="3">
        <v>11.385218999999999</v>
      </c>
      <c r="BT47" s="3">
        <v>9.4726780000000002</v>
      </c>
      <c r="BU47" s="3">
        <v>9.9570489999999996</v>
      </c>
      <c r="BV47" s="3">
        <v>9.1788319999999999</v>
      </c>
      <c r="BW47" s="3">
        <v>9.7691189999999999</v>
      </c>
      <c r="BX47" s="3">
        <v>9.3839290000000002</v>
      </c>
      <c r="BY47" s="3">
        <v>9.4066759999999991</v>
      </c>
      <c r="BZ47" s="3">
        <v>10.556330000000001</v>
      </c>
      <c r="CA47" s="3">
        <v>8.6470479999999998</v>
      </c>
      <c r="CB47" s="3">
        <v>9.6740410000000008</v>
      </c>
      <c r="CC47" s="3">
        <v>8.9984450000000002</v>
      </c>
      <c r="CD47" s="3">
        <v>7.8438619999999997</v>
      </c>
      <c r="CE47" s="3">
        <v>10.630482000000001</v>
      </c>
      <c r="CF47" s="3">
        <v>10.646584000000001</v>
      </c>
      <c r="CG47" s="3">
        <v>12.062113</v>
      </c>
      <c r="CH47" s="3">
        <v>9.2200900000000008</v>
      </c>
      <c r="CI47" s="3">
        <v>9.4159600000000001</v>
      </c>
      <c r="CJ47" s="3">
        <v>10.376955000000001</v>
      </c>
      <c r="CK47" s="3">
        <v>8.2539929999999995</v>
      </c>
      <c r="CL47" s="3">
        <v>7.9898259999999999</v>
      </c>
      <c r="CM47" s="3">
        <v>9.3081469999999999</v>
      </c>
      <c r="CN47" s="3">
        <v>10.212528000000001</v>
      </c>
      <c r="CO47" s="3">
        <v>8.0983059999999991</v>
      </c>
      <c r="CP47" s="3">
        <v>11.855275000000001</v>
      </c>
      <c r="CQ47" s="3">
        <v>9.9608299999999996</v>
      </c>
      <c r="CR47" s="3">
        <v>11.136013999999999</v>
      </c>
      <c r="CS47" s="3">
        <v>8.0919600000000003</v>
      </c>
      <c r="CT47" s="3">
        <v>10.460692999999999</v>
      </c>
      <c r="CU47" s="3">
        <v>9.2762700000000002</v>
      </c>
      <c r="CV47" s="3">
        <v>8.5760550000000002</v>
      </c>
      <c r="CW47" s="3">
        <v>8.8540759999999992</v>
      </c>
      <c r="CX47" s="3">
        <v>9.6470739999999999</v>
      </c>
      <c r="CY47" s="3">
        <v>8.7262330000000006</v>
      </c>
      <c r="CZ47" s="3">
        <v>8.2317420000000006</v>
      </c>
      <c r="DA47" s="3">
        <v>8.2551640000000006</v>
      </c>
      <c r="DB47" s="3">
        <v>9.0171589999999995</v>
      </c>
      <c r="DC47" s="3">
        <v>13.84224</v>
      </c>
      <c r="DD47" s="3">
        <v>9.8301189999999998</v>
      </c>
      <c r="DE47" s="3">
        <v>11.800155999999999</v>
      </c>
      <c r="DF47" s="3">
        <v>11.540112000000001</v>
      </c>
      <c r="DG47" s="3">
        <v>10.044195999999999</v>
      </c>
      <c r="DH47" s="3">
        <v>8.7401820000000008</v>
      </c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</row>
    <row r="49" spans="2:207" x14ac:dyDescent="0.2">
      <c r="D49" s="1"/>
    </row>
    <row r="50" spans="2:207" x14ac:dyDescent="0.2">
      <c r="B50" s="2"/>
      <c r="G50" s="2"/>
      <c r="H50" s="3"/>
      <c r="I50" s="3"/>
      <c r="J50" s="3"/>
      <c r="K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 spans="2:207" x14ac:dyDescent="0.2">
      <c r="B51" s="2"/>
      <c r="G51" s="3"/>
      <c r="H51" s="3"/>
      <c r="I51" s="3"/>
      <c r="J51" s="3"/>
      <c r="K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 spans="2:207" x14ac:dyDescent="0.2">
      <c r="B52" s="2"/>
      <c r="G52" s="3"/>
      <c r="H52" s="3"/>
      <c r="I52" s="3"/>
      <c r="J52" s="3"/>
      <c r="K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 spans="2:207" x14ac:dyDescent="0.2">
      <c r="G53" s="3"/>
      <c r="H53" s="3"/>
      <c r="I53" s="3"/>
      <c r="J53" s="3"/>
      <c r="K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 spans="2:207" x14ac:dyDescent="0.2">
      <c r="G54" s="3"/>
      <c r="H54" s="3"/>
      <c r="I54" s="3"/>
      <c r="J54" s="3"/>
      <c r="K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 spans="2:207" x14ac:dyDescent="0.2">
      <c r="G55" s="3"/>
      <c r="H55" s="3"/>
      <c r="I55" s="3"/>
      <c r="J55" s="3"/>
      <c r="K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 spans="2:207" x14ac:dyDescent="0.2">
      <c r="G56" s="3"/>
      <c r="H56" s="3"/>
      <c r="I56" s="3"/>
      <c r="J56" s="3"/>
      <c r="K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 spans="2:207" x14ac:dyDescent="0.2">
      <c r="G57" s="3"/>
      <c r="H57" s="3"/>
      <c r="I57" s="3"/>
      <c r="J57" s="3"/>
      <c r="K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 spans="2:207" x14ac:dyDescent="0.2">
      <c r="G58" s="3"/>
      <c r="H58" s="3"/>
      <c r="I58" s="3"/>
      <c r="J58" s="3"/>
      <c r="K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 spans="2:207" x14ac:dyDescent="0.2">
      <c r="G59" s="3"/>
      <c r="H59" s="3"/>
      <c r="I59" s="3"/>
      <c r="J59" s="3"/>
      <c r="K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</row>
    <row r="60" spans="2:207" x14ac:dyDescent="0.2">
      <c r="G60" s="3"/>
      <c r="H60" s="3"/>
      <c r="I60" s="3"/>
      <c r="J60" s="3"/>
      <c r="K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</row>
    <row r="61" spans="2:207" x14ac:dyDescent="0.2">
      <c r="G61" s="3"/>
      <c r="H61" s="3"/>
      <c r="I61" s="3"/>
      <c r="J61" s="3"/>
      <c r="K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</row>
    <row r="62" spans="2:207" x14ac:dyDescent="0.2">
      <c r="G62" s="3"/>
      <c r="H62" s="3"/>
      <c r="I62" s="3"/>
      <c r="J62" s="3"/>
      <c r="K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 spans="2:207" x14ac:dyDescent="0.2">
      <c r="G63" s="3"/>
      <c r="H63" s="3"/>
      <c r="I63" s="3"/>
      <c r="J63" s="3"/>
      <c r="K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Meiser</dc:creator>
  <cp:lastModifiedBy>Michael Meiser</cp:lastModifiedBy>
  <dcterms:created xsi:type="dcterms:W3CDTF">2022-05-13T08:47:45Z</dcterms:created>
  <dcterms:modified xsi:type="dcterms:W3CDTF">2026-03-05T19:02:16Z</dcterms:modified>
</cp:coreProperties>
</file>