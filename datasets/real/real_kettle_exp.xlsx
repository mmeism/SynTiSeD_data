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real/"/>
    </mc:Choice>
  </mc:AlternateContent>
  <xr:revisionPtr revIDLastSave="0" documentId="13_ncr:1_{10CEEF91-D48F-8F4B-9109-BD39D1903F41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7" i="1" l="1"/>
  <c r="K47" i="1" l="1"/>
  <c r="J47" i="1"/>
  <c r="H47" i="1"/>
  <c r="G47" i="1"/>
  <c r="F47" i="1"/>
  <c r="K45" i="1"/>
  <c r="J45" i="1"/>
  <c r="I45" i="1"/>
  <c r="H45" i="1"/>
  <c r="G45" i="1"/>
  <c r="F45" i="1"/>
  <c r="K43" i="1"/>
  <c r="J43" i="1"/>
  <c r="I43" i="1"/>
  <c r="H43" i="1"/>
  <c r="G43" i="1"/>
  <c r="F43" i="1"/>
  <c r="K41" i="1"/>
  <c r="J41" i="1"/>
  <c r="I41" i="1"/>
  <c r="H41" i="1"/>
  <c r="G41" i="1"/>
  <c r="F41" i="1"/>
  <c r="K39" i="1"/>
  <c r="J39" i="1"/>
  <c r="I39" i="1"/>
  <c r="H39" i="1"/>
  <c r="G39" i="1"/>
  <c r="F39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3" i="1"/>
  <c r="J23" i="1"/>
  <c r="I23" i="1"/>
  <c r="H23" i="1"/>
  <c r="G23" i="1"/>
  <c r="F23" i="1"/>
  <c r="K21" i="1"/>
  <c r="J21" i="1"/>
  <c r="I21" i="1"/>
  <c r="H21" i="1"/>
  <c r="G21" i="1"/>
  <c r="F21" i="1"/>
  <c r="K19" i="1"/>
  <c r="J19" i="1"/>
  <c r="I19" i="1"/>
  <c r="H19" i="1"/>
  <c r="G19" i="1"/>
  <c r="F19" i="1"/>
  <c r="K17" i="1"/>
  <c r="J17" i="1"/>
  <c r="I17" i="1"/>
  <c r="H17" i="1"/>
  <c r="G17" i="1"/>
  <c r="F17" i="1"/>
  <c r="K15" i="1"/>
  <c r="J15" i="1"/>
  <c r="I15" i="1"/>
  <c r="H15" i="1"/>
  <c r="G15" i="1"/>
  <c r="F15" i="1"/>
  <c r="G11" i="1" l="1"/>
  <c r="G7" i="1"/>
  <c r="G8" i="1"/>
  <c r="G10" i="1"/>
  <c r="G9" i="1"/>
</calcChain>
</file>

<file path=xl/sharedStrings.xml><?xml version="1.0" encoding="utf-8"?>
<sst xmlns="http://schemas.openxmlformats.org/spreadsheetml/2006/main" count="78" uniqueCount="52">
  <si>
    <t>Konfig:</t>
  </si>
  <si>
    <t>device: kettle</t>
  </si>
  <si>
    <t>NILM Algorithms:</t>
  </si>
  <si>
    <t>Metric</t>
  </si>
  <si>
    <t>Mean</t>
  </si>
  <si>
    <t>Experiments</t>
  </si>
  <si>
    <t>MAE</t>
  </si>
  <si>
    <t>DAE</t>
  </si>
  <si>
    <t>RNN</t>
  </si>
  <si>
    <t>WindowGRU</t>
  </si>
  <si>
    <t>Seq2Seq</t>
  </si>
  <si>
    <t>Seq2Point</t>
  </si>
  <si>
    <t>Max</t>
  </si>
  <si>
    <t>Min</t>
  </si>
  <si>
    <t>Variance</t>
  </si>
  <si>
    <t>Standart deviation</t>
  </si>
  <si>
    <t>für alle Algorithmen stardart NILM settings</t>
  </si>
  <si>
    <t>Number of exp</t>
  </si>
  <si>
    <t>start_time': '2020-03-01'</t>
  </si>
  <si>
    <t>end_time': '2020-03-14'</t>
  </si>
  <si>
    <t>buildings': 8</t>
  </si>
  <si>
    <t>buildings': 11</t>
  </si>
  <si>
    <t>buildings': 17</t>
  </si>
  <si>
    <t>reale Testdaten(hh_08):</t>
  </si>
  <si>
    <t>reale Testdaten(hh_11):</t>
  </si>
  <si>
    <t>reale Testdaten(hh_17):</t>
  </si>
  <si>
    <t>start_time': '2020-01-03'</t>
  </si>
  <si>
    <t>end_time': '2020-01-31'</t>
  </si>
  <si>
    <t>start_time': '2019-12-12'</t>
  </si>
  <si>
    <t>end_time': '2019-12-29'</t>
  </si>
  <si>
    <t>start_time': '2020-01-07'</t>
  </si>
  <si>
    <t>start_time': '2020-01-31'</t>
  </si>
  <si>
    <t>validierung: Validation from training data (15%)</t>
  </si>
  <si>
    <t>train_real (hh_01):</t>
  </si>
  <si>
    <t>train_real (hh_14):</t>
  </si>
  <si>
    <t>train_real (hh_07):</t>
  </si>
  <si>
    <t>train_real (hh_04):</t>
  </si>
  <si>
    <t>start_time': '2020-01-04'</t>
  </si>
  <si>
    <t>end_time': '2020-01-17'</t>
  </si>
  <si>
    <t>start_time': '2019-11-01'</t>
  </si>
  <si>
    <t>end_time': '2019-11-14'</t>
  </si>
  <si>
    <t>start_time': '2020-04-01'</t>
  </si>
  <si>
    <t>end_time': '2020-04-14'</t>
  </si>
  <si>
    <t>WindowGRU_total</t>
  </si>
  <si>
    <t>Seq2Point_total</t>
  </si>
  <si>
    <t>RNN_total</t>
  </si>
  <si>
    <t>DAE_total</t>
  </si>
  <si>
    <t>Seq2Seq_total</t>
  </si>
  <si>
    <t>train: real_dataset.h5</t>
  </si>
  <si>
    <t>test_real: test_dataset.h5</t>
  </si>
  <si>
    <t>MAE_total</t>
  </si>
  <si>
    <t>test_dataset.h5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</si>
</sst>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63"/>
  <sheetViews>
    <sheetView tabSelected="1" workbookViewId="0">
      <selection activeCell="B11" sqref="B11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</v>
      </c>
    </row>
    <row r="3" spans="1:207" x14ac:dyDescent="0.2">
      <c r="A3" t="s">
        <v>48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33</v>
      </c>
      <c r="B4" s="2" t="s">
        <v>18</v>
      </c>
      <c r="C4" s="2" t="s">
        <v>19</v>
      </c>
      <c r="E4" s="2"/>
      <c r="F4" s="2"/>
      <c r="G4" s="2"/>
      <c r="H4" s="2"/>
      <c r="I4" s="2"/>
      <c r="J4" s="2"/>
      <c r="K4" s="2"/>
      <c r="L4" s="2"/>
    </row>
    <row r="5" spans="1:207" x14ac:dyDescent="0.2">
      <c r="A5" t="s">
        <v>36</v>
      </c>
      <c r="B5" s="2" t="s">
        <v>37</v>
      </c>
      <c r="C5" s="2" t="s">
        <v>38</v>
      </c>
      <c r="E5" s="2"/>
      <c r="F5" s="2"/>
      <c r="G5" s="2"/>
      <c r="H5" s="2"/>
      <c r="I5" s="2"/>
      <c r="J5" s="2"/>
      <c r="K5" s="2"/>
      <c r="L5" s="2"/>
    </row>
    <row r="6" spans="1:207" x14ac:dyDescent="0.2">
      <c r="A6" t="s">
        <v>35</v>
      </c>
      <c r="B6" s="2" t="s">
        <v>39</v>
      </c>
      <c r="C6" s="2" t="s">
        <v>40</v>
      </c>
      <c r="E6" s="2"/>
      <c r="F6" s="2"/>
      <c r="G6" s="4" t="s">
        <v>50</v>
      </c>
      <c r="H6" s="2"/>
      <c r="I6" s="2"/>
      <c r="J6" s="2"/>
      <c r="K6" s="2"/>
      <c r="L6" s="2"/>
    </row>
    <row r="7" spans="1:207" x14ac:dyDescent="0.2">
      <c r="A7" t="s">
        <v>34</v>
      </c>
      <c r="B7" s="2" t="s">
        <v>41</v>
      </c>
      <c r="C7" s="2" t="s">
        <v>42</v>
      </c>
      <c r="E7" s="2"/>
      <c r="F7" t="s">
        <v>45</v>
      </c>
      <c r="G7" s="3">
        <f>SUM(G15,G27,G39)/3</f>
        <v>29.432034696666658</v>
      </c>
    </row>
    <row r="8" spans="1:207" x14ac:dyDescent="0.2">
      <c r="A8" t="s">
        <v>49</v>
      </c>
      <c r="E8" s="2"/>
      <c r="F8" t="s">
        <v>43</v>
      </c>
      <c r="G8" s="3">
        <f>SUM(G17,G29,G41)/3</f>
        <v>15.946916780000002</v>
      </c>
    </row>
    <row r="9" spans="1:207" x14ac:dyDescent="0.2">
      <c r="A9" t="s">
        <v>32</v>
      </c>
      <c r="B9" s="2"/>
      <c r="C9" s="2"/>
      <c r="F9" t="s">
        <v>46</v>
      </c>
      <c r="G9" s="3">
        <f>SUM(G19,G31,G43)/3</f>
        <v>22.603991320000006</v>
      </c>
    </row>
    <row r="10" spans="1:207" x14ac:dyDescent="0.2">
      <c r="A10" t="s">
        <v>16</v>
      </c>
      <c r="F10" t="s">
        <v>47</v>
      </c>
      <c r="G10" s="3">
        <f>SUM(G21,G33,G45)/3</f>
        <v>21.748198846666657</v>
      </c>
    </row>
    <row r="11" spans="1:207" x14ac:dyDescent="0.2">
      <c r="F11" t="s">
        <v>44</v>
      </c>
      <c r="G11" s="3">
        <f>SUM(G23,G35,G47)/3</f>
        <v>24.355267176666672</v>
      </c>
    </row>
    <row r="13" spans="1:207" x14ac:dyDescent="0.2">
      <c r="B13" t="s">
        <v>51</v>
      </c>
      <c r="D13" s="1" t="s">
        <v>23</v>
      </c>
    </row>
    <row r="14" spans="1:207" x14ac:dyDescent="0.2">
      <c r="B14" s="2" t="s">
        <v>20</v>
      </c>
      <c r="D14" s="1" t="s">
        <v>2</v>
      </c>
      <c r="E14" s="1" t="s">
        <v>3</v>
      </c>
      <c r="F14" s="1" t="s">
        <v>17</v>
      </c>
      <c r="G14" s="1" t="s">
        <v>4</v>
      </c>
      <c r="H14" s="1" t="s">
        <v>12</v>
      </c>
      <c r="I14" s="1" t="s">
        <v>13</v>
      </c>
      <c r="J14" s="1" t="s">
        <v>15</v>
      </c>
      <c r="K14" s="1" t="s">
        <v>14</v>
      </c>
      <c r="L14" s="1"/>
      <c r="M14" s="1" t="s">
        <v>5</v>
      </c>
    </row>
    <row r="15" spans="1:207" x14ac:dyDescent="0.2">
      <c r="B15" s="2" t="s">
        <v>26</v>
      </c>
      <c r="D15" t="s">
        <v>8</v>
      </c>
      <c r="E15" t="s">
        <v>6</v>
      </c>
      <c r="F15">
        <f>COUNT(M15:GJ15)</f>
        <v>100</v>
      </c>
      <c r="G15" s="3">
        <f>AVERAGE(M15:GJ15)</f>
        <v>48.763569529999984</v>
      </c>
      <c r="H15" s="3">
        <f>MAX(M15:GJ15)</f>
        <v>66.714134000000001</v>
      </c>
      <c r="I15" s="3">
        <f>MIN(M15:GJ15)</f>
        <v>40.008656000000002</v>
      </c>
      <c r="J15" s="3">
        <f>_xlfn.STDEV.P(M15:GJ15)</f>
        <v>4.8714458949362855</v>
      </c>
      <c r="K15" s="3">
        <f>_xlfn.VAR.S(M15:GJ15)</f>
        <v>23.970692027567264</v>
      </c>
      <c r="M15" s="3">
        <v>49.183791999999997</v>
      </c>
      <c r="N15" s="3">
        <v>50.147739000000001</v>
      </c>
      <c r="O15" s="3">
        <v>56.587798999999997</v>
      </c>
      <c r="P15" s="3">
        <v>52.505093000000002</v>
      </c>
      <c r="Q15" s="3">
        <v>65.829284999999999</v>
      </c>
      <c r="R15" s="3">
        <v>48.350582000000003</v>
      </c>
      <c r="S15" s="3">
        <v>48.562702000000002</v>
      </c>
      <c r="T15" s="3">
        <v>48.784153000000003</v>
      </c>
      <c r="U15" s="3">
        <v>49.787998000000002</v>
      </c>
      <c r="V15" s="3">
        <v>53.659809000000003</v>
      </c>
      <c r="W15" s="3">
        <v>46.158054</v>
      </c>
      <c r="X15" s="3">
        <v>57.205128000000002</v>
      </c>
      <c r="Y15" s="3">
        <v>55.211063000000003</v>
      </c>
      <c r="Z15" s="3">
        <v>66.714134000000001</v>
      </c>
      <c r="AA15" s="3">
        <v>54.856639999999999</v>
      </c>
      <c r="AB15" s="3">
        <v>52.299725000000002</v>
      </c>
      <c r="AC15" s="3">
        <v>53.924270999999997</v>
      </c>
      <c r="AD15" s="3">
        <v>49.135787999999998</v>
      </c>
      <c r="AE15" s="3">
        <v>54.688206000000001</v>
      </c>
      <c r="AF15" s="3">
        <v>46.091042000000002</v>
      </c>
      <c r="AG15" s="3">
        <v>45.615997</v>
      </c>
      <c r="AH15" s="3">
        <v>48.321765999999997</v>
      </c>
      <c r="AI15" s="3">
        <v>58.448920999999999</v>
      </c>
      <c r="AJ15" s="3">
        <v>48.855727999999999</v>
      </c>
      <c r="AK15" s="3">
        <v>56.516224000000001</v>
      </c>
      <c r="AL15" s="3">
        <v>51.827807999999997</v>
      </c>
      <c r="AM15" s="3">
        <v>54.156238999999999</v>
      </c>
      <c r="AN15" s="3">
        <v>48.376877</v>
      </c>
      <c r="AO15" s="3">
        <v>52.837448000000002</v>
      </c>
      <c r="AP15" s="3">
        <v>49.916153000000001</v>
      </c>
      <c r="AQ15" s="3">
        <v>48.449809999999999</v>
      </c>
      <c r="AR15" s="3">
        <v>50.329788000000001</v>
      </c>
      <c r="AS15" s="3">
        <v>49.644973999999998</v>
      </c>
      <c r="AT15" s="3">
        <v>50.824283999999999</v>
      </c>
      <c r="AU15" s="3">
        <v>48.341991</v>
      </c>
      <c r="AV15" s="3">
        <v>47.487164</v>
      </c>
      <c r="AW15" s="3">
        <v>51.951709999999999</v>
      </c>
      <c r="AX15" s="3">
        <v>54.531143</v>
      </c>
      <c r="AY15" s="3">
        <v>49.037025</v>
      </c>
      <c r="AZ15" s="3">
        <v>47.967934</v>
      </c>
      <c r="BA15" s="3">
        <v>47.613579000000001</v>
      </c>
      <c r="BB15" s="3">
        <v>54.802376000000002</v>
      </c>
      <c r="BC15" s="3">
        <v>46.222191000000002</v>
      </c>
      <c r="BD15" s="3">
        <v>58.450252999999996</v>
      </c>
      <c r="BE15" s="3">
        <v>45.451327999999997</v>
      </c>
      <c r="BF15" s="3">
        <v>46.071429999999999</v>
      </c>
      <c r="BG15" s="3">
        <v>50.225807000000003</v>
      </c>
      <c r="BH15" s="3">
        <v>45.583117999999999</v>
      </c>
      <c r="BI15" s="3">
        <v>50.419196999999997</v>
      </c>
      <c r="BJ15" s="3">
        <v>52.833129999999997</v>
      </c>
      <c r="BK15" s="3">
        <v>41.372337000000002</v>
      </c>
      <c r="BL15" s="3">
        <v>40.700885999999997</v>
      </c>
      <c r="BM15" s="3">
        <v>43.437125999999999</v>
      </c>
      <c r="BN15" s="3">
        <v>43.270305999999998</v>
      </c>
      <c r="BO15" s="3">
        <v>45.628529</v>
      </c>
      <c r="BP15" s="3">
        <v>42.974345999999997</v>
      </c>
      <c r="BQ15" s="3">
        <v>44.842384000000003</v>
      </c>
      <c r="BR15" s="3">
        <v>50.055019000000001</v>
      </c>
      <c r="BS15" s="3">
        <v>47.358902</v>
      </c>
      <c r="BT15" s="3">
        <v>44.874282999999998</v>
      </c>
      <c r="BU15" s="3">
        <v>49.246498000000003</v>
      </c>
      <c r="BV15" s="3">
        <v>42.460814999999997</v>
      </c>
      <c r="BW15" s="3">
        <v>44.4114</v>
      </c>
      <c r="BX15" s="3">
        <v>57.930790000000002</v>
      </c>
      <c r="BY15" s="3">
        <v>43.139481000000004</v>
      </c>
      <c r="BZ15" s="3">
        <v>50.972904</v>
      </c>
      <c r="CA15" s="3">
        <v>46.659923999999997</v>
      </c>
      <c r="CB15" s="3">
        <v>44.378273</v>
      </c>
      <c r="CC15" s="3">
        <v>45.907429</v>
      </c>
      <c r="CD15" s="3">
        <v>45.274433000000002</v>
      </c>
      <c r="CE15" s="3">
        <v>44.025795000000002</v>
      </c>
      <c r="CF15" s="3">
        <v>48.487552999999998</v>
      </c>
      <c r="CG15" s="3">
        <v>45.408588000000002</v>
      </c>
      <c r="CH15" s="3">
        <v>48.172035000000001</v>
      </c>
      <c r="CI15" s="3">
        <v>48.367111000000001</v>
      </c>
      <c r="CJ15" s="3">
        <v>47.94997</v>
      </c>
      <c r="CK15" s="3">
        <v>53.059463999999998</v>
      </c>
      <c r="CL15" s="3">
        <v>43.740532000000002</v>
      </c>
      <c r="CM15" s="3">
        <v>41.077454000000003</v>
      </c>
      <c r="CN15" s="3">
        <v>51.736317</v>
      </c>
      <c r="CO15" s="3">
        <v>47.308228</v>
      </c>
      <c r="CP15" s="3">
        <v>44.994221000000003</v>
      </c>
      <c r="CQ15" s="3">
        <v>41.490219000000003</v>
      </c>
      <c r="CR15" s="3">
        <v>45.425545</v>
      </c>
      <c r="CS15" s="3">
        <v>40.008656000000002</v>
      </c>
      <c r="CT15" s="3">
        <v>43.633541000000001</v>
      </c>
      <c r="CU15" s="3">
        <v>45.938865999999997</v>
      </c>
      <c r="CV15" s="3">
        <v>44.695393000000003</v>
      </c>
      <c r="CW15" s="3">
        <v>49.380665</v>
      </c>
      <c r="CX15" s="3">
        <v>46.362957000000002</v>
      </c>
      <c r="CY15" s="3">
        <v>49.798659999999998</v>
      </c>
      <c r="CZ15" s="3">
        <v>44.635857000000001</v>
      </c>
      <c r="DA15" s="3">
        <v>49.824069999999999</v>
      </c>
      <c r="DB15" s="3">
        <v>43.640045000000001</v>
      </c>
      <c r="DC15" s="3">
        <v>46.596274999999999</v>
      </c>
      <c r="DD15" s="3">
        <v>46.785187000000001</v>
      </c>
      <c r="DE15" s="3">
        <v>48.469883000000003</v>
      </c>
      <c r="DF15" s="3">
        <v>41.066986</v>
      </c>
      <c r="DG15" s="3">
        <v>50.567428999999997</v>
      </c>
      <c r="DH15" s="3">
        <v>48.018990000000002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31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D17" t="s">
        <v>9</v>
      </c>
      <c r="E17" t="s">
        <v>6</v>
      </c>
      <c r="F17">
        <f>COUNT(M17:GJ17)</f>
        <v>100</v>
      </c>
      <c r="G17" s="3">
        <f>AVERAGE(M17:GJ17)</f>
        <v>24.589278610000001</v>
      </c>
      <c r="H17" s="3">
        <f>MAX(M17:GJ17)</f>
        <v>31.304901000000001</v>
      </c>
      <c r="I17" s="3">
        <f>MIN(M17:GJ17)</f>
        <v>21.380376999999999</v>
      </c>
      <c r="J17" s="3">
        <f>_xlfn.STDEV.P(M17:GJ17)</f>
        <v>2.0669672234265151</v>
      </c>
      <c r="K17" s="3">
        <f>_xlfn.VAR.S(M17:GJ17)</f>
        <v>4.3155085886055726</v>
      </c>
      <c r="M17" s="3">
        <v>22.103888000000001</v>
      </c>
      <c r="N17" s="3">
        <v>27.616420999999999</v>
      </c>
      <c r="O17" s="3">
        <v>22.233613999999999</v>
      </c>
      <c r="P17" s="3">
        <v>25.299575999999998</v>
      </c>
      <c r="Q17" s="3">
        <v>24.309072</v>
      </c>
      <c r="R17" s="3">
        <v>25.525742000000001</v>
      </c>
      <c r="S17" s="3">
        <v>26.586292</v>
      </c>
      <c r="T17" s="3">
        <v>27.172910999999999</v>
      </c>
      <c r="U17" s="3">
        <v>22.814727999999999</v>
      </c>
      <c r="V17" s="3">
        <v>26.200844</v>
      </c>
      <c r="W17" s="3">
        <v>24.174804999999999</v>
      </c>
      <c r="X17" s="3">
        <v>23.106452999999998</v>
      </c>
      <c r="Y17" s="3">
        <v>22.855991</v>
      </c>
      <c r="Z17" s="3">
        <v>23.709429</v>
      </c>
      <c r="AA17" s="3">
        <v>26.390160000000002</v>
      </c>
      <c r="AB17" s="3">
        <v>24.249693000000001</v>
      </c>
      <c r="AC17" s="3">
        <v>23.520652999999999</v>
      </c>
      <c r="AD17" s="3">
        <v>23.553149999999999</v>
      </c>
      <c r="AE17" s="3">
        <v>24.542629000000002</v>
      </c>
      <c r="AF17" s="3">
        <v>25.040009999999999</v>
      </c>
      <c r="AG17" s="3">
        <v>22.812104999999999</v>
      </c>
      <c r="AH17" s="3">
        <v>25.377763999999999</v>
      </c>
      <c r="AI17" s="3">
        <v>24.089478</v>
      </c>
      <c r="AJ17" s="3">
        <v>26.179697000000001</v>
      </c>
      <c r="AK17" s="3">
        <v>27.845715999999999</v>
      </c>
      <c r="AL17" s="3">
        <v>21.440083000000001</v>
      </c>
      <c r="AM17" s="3">
        <v>31.304901000000001</v>
      </c>
      <c r="AN17" s="3">
        <v>23.524177999999999</v>
      </c>
      <c r="AO17" s="3">
        <v>24.235434000000001</v>
      </c>
      <c r="AP17" s="3">
        <v>22.472332000000002</v>
      </c>
      <c r="AQ17" s="3">
        <v>26.883673000000002</v>
      </c>
      <c r="AR17" s="3">
        <v>22.043257000000001</v>
      </c>
      <c r="AS17" s="3">
        <v>24.160295000000001</v>
      </c>
      <c r="AT17" s="3">
        <v>24.465630999999998</v>
      </c>
      <c r="AU17" s="3">
        <v>23.394998999999999</v>
      </c>
      <c r="AV17" s="3">
        <v>21.883329</v>
      </c>
      <c r="AW17" s="3">
        <v>27.243048000000002</v>
      </c>
      <c r="AX17" s="3">
        <v>22.272138999999999</v>
      </c>
      <c r="AY17" s="3">
        <v>28.001476</v>
      </c>
      <c r="AZ17" s="3">
        <v>26.116287</v>
      </c>
      <c r="BA17" s="3">
        <v>23.890511</v>
      </c>
      <c r="BB17" s="3">
        <v>26.222586</v>
      </c>
      <c r="BC17" s="3">
        <v>24.084885</v>
      </c>
      <c r="BD17" s="3">
        <v>25.589109000000001</v>
      </c>
      <c r="BE17" s="3">
        <v>26.959641000000001</v>
      </c>
      <c r="BF17" s="3">
        <v>25.728497999999998</v>
      </c>
      <c r="BG17" s="3">
        <v>24.448902</v>
      </c>
      <c r="BH17" s="3">
        <v>23.614584000000001</v>
      </c>
      <c r="BI17" s="3">
        <v>26.485818999999999</v>
      </c>
      <c r="BJ17" s="3">
        <v>29.398492999999998</v>
      </c>
      <c r="BK17" s="3">
        <v>23.126459000000001</v>
      </c>
      <c r="BL17" s="3">
        <v>24.506878</v>
      </c>
      <c r="BM17" s="3">
        <v>22.127996</v>
      </c>
      <c r="BN17" s="3">
        <v>22.233477000000001</v>
      </c>
      <c r="BO17" s="3">
        <v>25.540606</v>
      </c>
      <c r="BP17" s="3">
        <v>26.580694000000001</v>
      </c>
      <c r="BQ17" s="3">
        <v>21.704279</v>
      </c>
      <c r="BR17" s="3">
        <v>22.317641999999999</v>
      </c>
      <c r="BS17" s="3">
        <v>24.593260000000001</v>
      </c>
      <c r="BT17" s="3">
        <v>23.63232</v>
      </c>
      <c r="BU17" s="3">
        <v>23.938697999999999</v>
      </c>
      <c r="BV17" s="3">
        <v>30.476751</v>
      </c>
      <c r="BW17" s="3">
        <v>27.620352</v>
      </c>
      <c r="BX17" s="3">
        <v>22.143827000000002</v>
      </c>
      <c r="BY17" s="3">
        <v>25.432787000000001</v>
      </c>
      <c r="BZ17" s="3">
        <v>24.013041999999999</v>
      </c>
      <c r="CA17" s="3">
        <v>28.075604999999999</v>
      </c>
      <c r="CB17" s="3">
        <v>23.240884999999999</v>
      </c>
      <c r="CC17" s="3">
        <v>25.625250000000001</v>
      </c>
      <c r="CD17" s="3">
        <v>24.064053999999999</v>
      </c>
      <c r="CE17" s="3">
        <v>22.944538000000001</v>
      </c>
      <c r="CF17" s="3">
        <v>24.890377000000001</v>
      </c>
      <c r="CG17" s="3">
        <v>22.954443000000001</v>
      </c>
      <c r="CH17" s="3">
        <v>25.686053999999999</v>
      </c>
      <c r="CI17" s="3">
        <v>21.767219999999998</v>
      </c>
      <c r="CJ17" s="3">
        <v>23.511472999999999</v>
      </c>
      <c r="CK17" s="3">
        <v>23.169070999999999</v>
      </c>
      <c r="CL17" s="3">
        <v>23.525614000000001</v>
      </c>
      <c r="CM17" s="3">
        <v>24.956612</v>
      </c>
      <c r="CN17" s="3">
        <v>24.016107999999999</v>
      </c>
      <c r="CO17" s="3">
        <v>28.821255000000001</v>
      </c>
      <c r="CP17" s="3">
        <v>24.561810000000001</v>
      </c>
      <c r="CQ17" s="3">
        <v>26.595078999999998</v>
      </c>
      <c r="CR17" s="3">
        <v>21.623139999999999</v>
      </c>
      <c r="CS17" s="3">
        <v>22.405101999999999</v>
      </c>
      <c r="CT17" s="3">
        <v>21.380376999999999</v>
      </c>
      <c r="CU17" s="3">
        <v>22.698591</v>
      </c>
      <c r="CV17" s="3">
        <v>23.043327000000001</v>
      </c>
      <c r="CW17" s="3">
        <v>21.572016000000001</v>
      </c>
      <c r="CX17" s="3">
        <v>26.458722999999999</v>
      </c>
      <c r="CY17" s="3">
        <v>24.868995999999999</v>
      </c>
      <c r="CZ17" s="3">
        <v>23.373851999999999</v>
      </c>
      <c r="DA17" s="3">
        <v>25.614650999999999</v>
      </c>
      <c r="DB17" s="3">
        <v>28.736678999999999</v>
      </c>
      <c r="DC17" s="3">
        <v>24.880310000000001</v>
      </c>
      <c r="DD17" s="3">
        <v>23.480637000000002</v>
      </c>
      <c r="DE17" s="3">
        <v>26.017749999999999</v>
      </c>
      <c r="DF17" s="3">
        <v>23.342708999999999</v>
      </c>
      <c r="DG17" s="3">
        <v>25.258516</v>
      </c>
      <c r="DH17" s="3">
        <v>22.603058000000001</v>
      </c>
      <c r="DI17" s="3"/>
      <c r="DJ17" s="3"/>
      <c r="DK17" s="3"/>
      <c r="DN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7</v>
      </c>
      <c r="E19" t="s">
        <v>6</v>
      </c>
      <c r="F19">
        <f>COUNT(M19:GJ19)</f>
        <v>100</v>
      </c>
      <c r="G19" s="3">
        <f>AVERAGE(M19:GJ19)</f>
        <v>37.810746660000007</v>
      </c>
      <c r="H19" s="3">
        <f>MAX(M19:GJ19)</f>
        <v>47.912838000000001</v>
      </c>
      <c r="I19" s="3">
        <f>MIN(M19:GJ19)</f>
        <v>30.296849999999999</v>
      </c>
      <c r="J19" s="3">
        <f>_xlfn.STDEV.P(M19:GJ19)</f>
        <v>3.7528088174610574</v>
      </c>
      <c r="K19" s="3">
        <f>_xlfn.VAR.S(M19:GJ19)</f>
        <v>14.225832343851982</v>
      </c>
      <c r="M19" s="3">
        <v>39.237670999999999</v>
      </c>
      <c r="N19" s="3">
        <v>35.986060999999999</v>
      </c>
      <c r="O19" s="3">
        <v>43.231270000000002</v>
      </c>
      <c r="P19" s="3">
        <v>32.919361000000002</v>
      </c>
      <c r="Q19" s="3">
        <v>41.307803999999997</v>
      </c>
      <c r="R19" s="3">
        <v>40.548305999999997</v>
      </c>
      <c r="S19" s="3">
        <v>47.522666999999998</v>
      </c>
      <c r="T19" s="3">
        <v>35.302093999999997</v>
      </c>
      <c r="U19" s="3">
        <v>36.253216000000002</v>
      </c>
      <c r="V19" s="3">
        <v>37.668404000000002</v>
      </c>
      <c r="W19" s="3">
        <v>39.597087999999999</v>
      </c>
      <c r="X19" s="3">
        <v>44.715206000000002</v>
      </c>
      <c r="Y19" s="3">
        <v>39.519497000000001</v>
      </c>
      <c r="Z19" s="3">
        <v>47.531021000000003</v>
      </c>
      <c r="AA19" s="3">
        <v>38.318129999999996</v>
      </c>
      <c r="AB19" s="3">
        <v>32.969214999999998</v>
      </c>
      <c r="AC19" s="3">
        <v>37.499957999999999</v>
      </c>
      <c r="AD19" s="3">
        <v>35.657969999999999</v>
      </c>
      <c r="AE19" s="3">
        <v>36.587254000000001</v>
      </c>
      <c r="AF19" s="3">
        <v>38.398251000000002</v>
      </c>
      <c r="AG19" s="3">
        <v>40.075474</v>
      </c>
      <c r="AH19" s="3">
        <v>32.059879000000002</v>
      </c>
      <c r="AI19" s="3">
        <v>38.327728</v>
      </c>
      <c r="AJ19" s="3">
        <v>41.130172999999999</v>
      </c>
      <c r="AK19" s="3">
        <v>38.978999999999999</v>
      </c>
      <c r="AL19" s="3">
        <v>44.043120999999999</v>
      </c>
      <c r="AM19" s="3">
        <v>37.685924999999997</v>
      </c>
      <c r="AN19" s="3">
        <v>34.433315</v>
      </c>
      <c r="AO19" s="3">
        <v>39.550609999999999</v>
      </c>
      <c r="AP19" s="3">
        <v>31.859618999999999</v>
      </c>
      <c r="AQ19" s="3">
        <v>40.246558999999998</v>
      </c>
      <c r="AR19" s="3">
        <v>33.602024</v>
      </c>
      <c r="AS19" s="3">
        <v>35.428761000000002</v>
      </c>
      <c r="AT19" s="3">
        <v>42.722855000000003</v>
      </c>
      <c r="AU19" s="3">
        <v>32.268715</v>
      </c>
      <c r="AV19" s="3">
        <v>37.588093000000001</v>
      </c>
      <c r="AW19" s="3">
        <v>35.567303000000003</v>
      </c>
      <c r="AX19" s="3">
        <v>37.351818000000002</v>
      </c>
      <c r="AY19" s="3">
        <v>39.989220000000003</v>
      </c>
      <c r="AZ19" s="3">
        <v>36.296348999999999</v>
      </c>
      <c r="BA19" s="3">
        <v>32.432636000000002</v>
      </c>
      <c r="BB19" s="3">
        <v>37.935321999999999</v>
      </c>
      <c r="BC19" s="3">
        <v>35.951031</v>
      </c>
      <c r="BD19" s="3">
        <v>37.187435000000001</v>
      </c>
      <c r="BE19" s="3">
        <v>37.328395999999998</v>
      </c>
      <c r="BF19" s="3">
        <v>42.141232000000002</v>
      </c>
      <c r="BG19" s="3">
        <v>35.265841999999999</v>
      </c>
      <c r="BH19" s="3">
        <v>37.629505000000002</v>
      </c>
      <c r="BI19" s="3">
        <v>38.142856999999999</v>
      </c>
      <c r="BJ19" s="3">
        <v>37.231158999999998</v>
      </c>
      <c r="BK19" s="3">
        <v>35.295833999999999</v>
      </c>
      <c r="BL19" s="3">
        <v>32.084899999999998</v>
      </c>
      <c r="BM19" s="3">
        <v>39.427906</v>
      </c>
      <c r="BN19" s="3">
        <v>34.139552999999999</v>
      </c>
      <c r="BO19" s="3">
        <v>35.958754999999996</v>
      </c>
      <c r="BP19" s="3">
        <v>35.793681999999997</v>
      </c>
      <c r="BQ19" s="3">
        <v>32.935935999999998</v>
      </c>
      <c r="BR19" s="3">
        <v>30.296849999999999</v>
      </c>
      <c r="BS19" s="3">
        <v>33.711123999999998</v>
      </c>
      <c r="BT19" s="3">
        <v>31.538796999999999</v>
      </c>
      <c r="BU19" s="3">
        <v>44.485602999999998</v>
      </c>
      <c r="BV19" s="3">
        <v>35.878371999999999</v>
      </c>
      <c r="BW19" s="3">
        <v>37.297736999999998</v>
      </c>
      <c r="BX19" s="3">
        <v>33.998417000000003</v>
      </c>
      <c r="BY19" s="3">
        <v>41.854328000000002</v>
      </c>
      <c r="BZ19" s="3">
        <v>30.681840999999999</v>
      </c>
      <c r="CA19" s="3">
        <v>32.620747000000001</v>
      </c>
      <c r="CB19" s="3">
        <v>37.885632000000001</v>
      </c>
      <c r="CC19" s="3">
        <v>32.166870000000003</v>
      </c>
      <c r="CD19" s="3">
        <v>37.936787000000002</v>
      </c>
      <c r="CE19" s="3">
        <v>36.250762999999999</v>
      </c>
      <c r="CF19" s="3">
        <v>34.184218999999999</v>
      </c>
      <c r="CG19" s="3">
        <v>40.763537999999997</v>
      </c>
      <c r="CH19" s="3">
        <v>36.154136999999999</v>
      </c>
      <c r="CI19" s="3">
        <v>36.340145</v>
      </c>
      <c r="CJ19" s="3">
        <v>34.346755999999999</v>
      </c>
      <c r="CK19" s="3">
        <v>38.548068999999998</v>
      </c>
      <c r="CL19" s="3">
        <v>44.029071999999999</v>
      </c>
      <c r="CM19" s="3">
        <v>41.700344000000001</v>
      </c>
      <c r="CN19" s="3">
        <v>41.834656000000003</v>
      </c>
      <c r="CO19" s="3">
        <v>39.483887000000003</v>
      </c>
      <c r="CP19" s="3">
        <v>47.912838000000001</v>
      </c>
      <c r="CQ19" s="3">
        <v>35.193840000000002</v>
      </c>
      <c r="CR19" s="3">
        <v>38.561107999999997</v>
      </c>
      <c r="CS19" s="3">
        <v>34.726157999999998</v>
      </c>
      <c r="CT19" s="3">
        <v>42.276150000000001</v>
      </c>
      <c r="CU19" s="3">
        <v>43.659503999999998</v>
      </c>
      <c r="CV19" s="3">
        <v>40.860466000000002</v>
      </c>
      <c r="CW19" s="3">
        <v>42.318187999999999</v>
      </c>
      <c r="CX19" s="3">
        <v>38.077987999999998</v>
      </c>
      <c r="CY19" s="3">
        <v>33.381808999999997</v>
      </c>
      <c r="CZ19" s="3">
        <v>38.735340000000001</v>
      </c>
      <c r="DA19" s="3">
        <v>37.738998000000002</v>
      </c>
      <c r="DB19" s="3">
        <v>37.649661999999999</v>
      </c>
      <c r="DC19" s="3">
        <v>39.761851999999998</v>
      </c>
      <c r="DD19" s="3">
        <v>38.928359999999998</v>
      </c>
      <c r="DE19" s="3">
        <v>39.198985999999998</v>
      </c>
      <c r="DF19" s="3">
        <v>40.361373999999998</v>
      </c>
      <c r="DG19" s="3">
        <v>40.793151999999999</v>
      </c>
      <c r="DH19" s="3">
        <v>40.091236000000002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10</v>
      </c>
      <c r="E21" t="s">
        <v>6</v>
      </c>
      <c r="F21">
        <f>COUNT(M21:GJ21)</f>
        <v>100</v>
      </c>
      <c r="G21" s="3">
        <f>AVERAGE(M21:GJ21)</f>
        <v>33.97459830999999</v>
      </c>
      <c r="H21" s="3">
        <f>MAX(M21:GJ21)</f>
        <v>46.108707000000003</v>
      </c>
      <c r="I21" s="3">
        <f>MIN(M21:GJ21)</f>
        <v>26.593018000000001</v>
      </c>
      <c r="J21" s="3">
        <f>_xlfn.STDEV.P(M21:GJ21)</f>
        <v>3.3444007069198753</v>
      </c>
      <c r="K21" s="3">
        <f>_xlfn.VAR.S(M21:GJ21)</f>
        <v>11.297996048935516</v>
      </c>
      <c r="M21" s="3">
        <v>30.720752999999998</v>
      </c>
      <c r="N21" s="3">
        <v>32.991146000000001</v>
      </c>
      <c r="O21" s="3">
        <v>26.593018000000001</v>
      </c>
      <c r="P21" s="3">
        <v>31.970175000000001</v>
      </c>
      <c r="Q21" s="3">
        <v>40.180954</v>
      </c>
      <c r="R21" s="3">
        <v>37.031627999999998</v>
      </c>
      <c r="S21" s="3">
        <v>36.583354999999997</v>
      </c>
      <c r="T21" s="3">
        <v>38.945137000000003</v>
      </c>
      <c r="U21" s="3">
        <v>34.147919000000002</v>
      </c>
      <c r="V21" s="3">
        <v>34.897125000000003</v>
      </c>
      <c r="W21" s="3">
        <v>33.217238999999999</v>
      </c>
      <c r="X21" s="3">
        <v>39.022823000000002</v>
      </c>
      <c r="Y21" s="3">
        <v>38.637405000000001</v>
      </c>
      <c r="Z21" s="3">
        <v>31.678281999999999</v>
      </c>
      <c r="AA21" s="3">
        <v>29.517966999999999</v>
      </c>
      <c r="AB21" s="3">
        <v>34.218215999999998</v>
      </c>
      <c r="AC21" s="3">
        <v>31.822158999999999</v>
      </c>
      <c r="AD21" s="3">
        <v>35.778305000000003</v>
      </c>
      <c r="AE21" s="3">
        <v>35.683582000000001</v>
      </c>
      <c r="AF21" s="3">
        <v>34.263069000000002</v>
      </c>
      <c r="AG21" s="3">
        <v>34.564700999999999</v>
      </c>
      <c r="AH21" s="3">
        <v>37.442005000000002</v>
      </c>
      <c r="AI21" s="3">
        <v>40.145172000000002</v>
      </c>
      <c r="AJ21" s="3">
        <v>39.113472000000002</v>
      </c>
      <c r="AK21" s="3">
        <v>46.108707000000003</v>
      </c>
      <c r="AL21" s="3">
        <v>41.634990999999999</v>
      </c>
      <c r="AM21" s="3">
        <v>34.470272000000001</v>
      </c>
      <c r="AN21" s="3">
        <v>32.29372</v>
      </c>
      <c r="AO21" s="3">
        <v>32.849487000000003</v>
      </c>
      <c r="AP21" s="3">
        <v>30.482824000000001</v>
      </c>
      <c r="AQ21" s="3">
        <v>34.995316000000003</v>
      </c>
      <c r="AR21" s="3">
        <v>32.914054999999998</v>
      </c>
      <c r="AS21" s="3">
        <v>31.314534999999999</v>
      </c>
      <c r="AT21" s="3">
        <v>33.481856999999998</v>
      </c>
      <c r="AU21" s="3">
        <v>37.165401000000003</v>
      </c>
      <c r="AV21" s="3">
        <v>31.284109000000001</v>
      </c>
      <c r="AW21" s="3">
        <v>34.687206000000003</v>
      </c>
      <c r="AX21" s="3">
        <v>36.067875000000001</v>
      </c>
      <c r="AY21" s="3">
        <v>36.500214</v>
      </c>
      <c r="AZ21" s="3">
        <v>39.785732000000003</v>
      </c>
      <c r="BA21" s="3">
        <v>31.170721</v>
      </c>
      <c r="BB21" s="3">
        <v>39.997912999999997</v>
      </c>
      <c r="BC21" s="3">
        <v>29.914916999999999</v>
      </c>
      <c r="BD21" s="3">
        <v>32.084418999999997</v>
      </c>
      <c r="BE21" s="3">
        <v>32.320129000000001</v>
      </c>
      <c r="BF21" s="3">
        <v>38.638153000000003</v>
      </c>
      <c r="BG21" s="3">
        <v>30.370642</v>
      </c>
      <c r="BH21" s="3">
        <v>33.486153000000002</v>
      </c>
      <c r="BI21" s="3">
        <v>39.855175000000003</v>
      </c>
      <c r="BJ21" s="3">
        <v>37.879855999999997</v>
      </c>
      <c r="BK21" s="3">
        <v>28.361908</v>
      </c>
      <c r="BL21" s="3">
        <v>32.923161</v>
      </c>
      <c r="BM21" s="3">
        <v>32.589596</v>
      </c>
      <c r="BN21" s="3">
        <v>36.320746999999997</v>
      </c>
      <c r="BO21" s="3">
        <v>34.473182999999999</v>
      </c>
      <c r="BP21" s="3">
        <v>34.539085</v>
      </c>
      <c r="BQ21" s="3">
        <v>33.573452000000003</v>
      </c>
      <c r="BR21" s="3">
        <v>32.006329000000001</v>
      </c>
      <c r="BS21" s="3">
        <v>35.183632000000003</v>
      </c>
      <c r="BT21" s="3">
        <v>30.835664999999999</v>
      </c>
      <c r="BU21" s="3">
        <v>34.911282</v>
      </c>
      <c r="BV21" s="3">
        <v>36.558506000000001</v>
      </c>
      <c r="BW21" s="3">
        <v>32.307918999999998</v>
      </c>
      <c r="BX21" s="3">
        <v>33.687930999999999</v>
      </c>
      <c r="BY21" s="3">
        <v>30.805727000000001</v>
      </c>
      <c r="BZ21" s="3">
        <v>34.470939999999999</v>
      </c>
      <c r="CA21" s="3">
        <v>35.341819999999998</v>
      </c>
      <c r="CB21" s="3">
        <v>32.640948999999999</v>
      </c>
      <c r="CC21" s="3">
        <v>32.778056999999997</v>
      </c>
      <c r="CD21" s="3">
        <v>30.600982999999999</v>
      </c>
      <c r="CE21" s="3">
        <v>31.910608</v>
      </c>
      <c r="CF21" s="3">
        <v>28.180298000000001</v>
      </c>
      <c r="CG21" s="3">
        <v>39.195385000000002</v>
      </c>
      <c r="CH21" s="3">
        <v>33.977187999999998</v>
      </c>
      <c r="CI21" s="3">
        <v>35.874405000000003</v>
      </c>
      <c r="CJ21" s="3">
        <v>32.365806999999997</v>
      </c>
      <c r="CK21" s="3">
        <v>31.500473</v>
      </c>
      <c r="CL21" s="3">
        <v>31.406030999999999</v>
      </c>
      <c r="CM21" s="3">
        <v>33.862873</v>
      </c>
      <c r="CN21" s="3">
        <v>36.223156000000003</v>
      </c>
      <c r="CO21" s="3">
        <v>32.600501999999999</v>
      </c>
      <c r="CP21" s="3">
        <v>33.702686</v>
      </c>
      <c r="CQ21" s="3">
        <v>31.290979</v>
      </c>
      <c r="CR21" s="3">
        <v>29.147020000000001</v>
      </c>
      <c r="CS21" s="3">
        <v>28.865870999999999</v>
      </c>
      <c r="CT21" s="3">
        <v>33.942616000000001</v>
      </c>
      <c r="CU21" s="3">
        <v>29.505517999999999</v>
      </c>
      <c r="CV21" s="3">
        <v>31.451839</v>
      </c>
      <c r="CW21" s="3">
        <v>31.318753999999998</v>
      </c>
      <c r="CX21" s="3">
        <v>35.755718000000002</v>
      </c>
      <c r="CY21" s="3">
        <v>35.009540999999999</v>
      </c>
      <c r="CZ21" s="3">
        <v>33.127422000000003</v>
      </c>
      <c r="DA21" s="3">
        <v>34.869208999999998</v>
      </c>
      <c r="DB21" s="3">
        <v>29.726717000000001</v>
      </c>
      <c r="DC21" s="3">
        <v>28.223023999999999</v>
      </c>
      <c r="DD21" s="3">
        <v>34.374713999999997</v>
      </c>
      <c r="DE21" s="3">
        <v>30.046748999999998</v>
      </c>
      <c r="DF21" s="3">
        <v>33.880676000000001</v>
      </c>
      <c r="DG21" s="3">
        <v>37.589633999999997</v>
      </c>
      <c r="DH21" s="3">
        <v>32.703560000000003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11</v>
      </c>
      <c r="E23" t="s">
        <v>6</v>
      </c>
      <c r="F23">
        <f>COUNT(M23:GJ23)</f>
        <v>100</v>
      </c>
      <c r="G23" s="3">
        <f>AVERAGE(M23:GJ23)</f>
        <v>39.07711638</v>
      </c>
      <c r="H23" s="3">
        <f>MAX(M23:GJ23)</f>
        <v>52.875107</v>
      </c>
      <c r="I23" s="3">
        <f>MIN(M23:GJ23)</f>
        <v>29.879760999999998</v>
      </c>
      <c r="J23" s="3">
        <f>_xlfn.STDEV.P(M23:GJ23)</f>
        <v>4.5126138435572178</v>
      </c>
      <c r="K23" s="3">
        <f>_xlfn.VAR.S(M23:GJ23)</f>
        <v>20.569377475822666</v>
      </c>
      <c r="M23" s="3">
        <v>37.714703</v>
      </c>
      <c r="N23" s="3">
        <v>40.837761</v>
      </c>
      <c r="O23" s="3">
        <v>33.172969999999999</v>
      </c>
      <c r="P23" s="3">
        <v>35.510241999999998</v>
      </c>
      <c r="Q23" s="3">
        <v>31.575039</v>
      </c>
      <c r="R23" s="3">
        <v>38.349133000000002</v>
      </c>
      <c r="S23" s="3">
        <v>33.222599000000002</v>
      </c>
      <c r="T23" s="3">
        <v>33.717998999999999</v>
      </c>
      <c r="U23" s="3">
        <v>38.390555999999997</v>
      </c>
      <c r="V23" s="3">
        <v>45.367702000000001</v>
      </c>
      <c r="W23" s="3">
        <v>34.997504999999997</v>
      </c>
      <c r="X23" s="3">
        <v>44.788176999999997</v>
      </c>
      <c r="Y23" s="3">
        <v>48.845073999999997</v>
      </c>
      <c r="Z23" s="3">
        <v>34.169209000000002</v>
      </c>
      <c r="AA23" s="3">
        <v>35.819735999999999</v>
      </c>
      <c r="AB23" s="3">
        <v>48.099269999999997</v>
      </c>
      <c r="AC23" s="3">
        <v>36.429295000000003</v>
      </c>
      <c r="AD23" s="3">
        <v>38.317188000000002</v>
      </c>
      <c r="AE23" s="3">
        <v>38.806849999999997</v>
      </c>
      <c r="AF23" s="3">
        <v>38.134369</v>
      </c>
      <c r="AG23" s="3">
        <v>36.709797000000002</v>
      </c>
      <c r="AH23" s="3">
        <v>39.850082</v>
      </c>
      <c r="AI23" s="3">
        <v>36.896510999999997</v>
      </c>
      <c r="AJ23" s="3">
        <v>41.887526999999999</v>
      </c>
      <c r="AK23" s="3">
        <v>45.521583999999997</v>
      </c>
      <c r="AL23" s="3">
        <v>32.336342000000002</v>
      </c>
      <c r="AM23" s="3">
        <v>38.805320999999999</v>
      </c>
      <c r="AN23" s="3">
        <v>34.036667000000001</v>
      </c>
      <c r="AO23" s="3">
        <v>42.384304</v>
      </c>
      <c r="AP23" s="3">
        <v>30.387135000000001</v>
      </c>
      <c r="AQ23" s="3">
        <v>48.061000999999997</v>
      </c>
      <c r="AR23" s="3">
        <v>39.143822</v>
      </c>
      <c r="AS23" s="3">
        <v>37.784306000000001</v>
      </c>
      <c r="AT23" s="3">
        <v>36.327641</v>
      </c>
      <c r="AU23" s="3">
        <v>37.708305000000003</v>
      </c>
      <c r="AV23" s="3">
        <v>37.426806999999997</v>
      </c>
      <c r="AW23" s="3">
        <v>46.153174999999997</v>
      </c>
      <c r="AX23" s="3">
        <v>40.788215999999998</v>
      </c>
      <c r="AY23" s="3">
        <v>37.763840000000002</v>
      </c>
      <c r="AZ23" s="3">
        <v>34.882770999999998</v>
      </c>
      <c r="BA23" s="3">
        <v>38.904769999999999</v>
      </c>
      <c r="BB23" s="3">
        <v>38.900832999999999</v>
      </c>
      <c r="BC23" s="3">
        <v>41.724026000000002</v>
      </c>
      <c r="BD23" s="3">
        <v>44.901096000000003</v>
      </c>
      <c r="BE23" s="3">
        <v>37.727974000000003</v>
      </c>
      <c r="BF23" s="3">
        <v>43.807200999999999</v>
      </c>
      <c r="BG23" s="3">
        <v>44.239910000000002</v>
      </c>
      <c r="BH23" s="3">
        <v>35.636508999999997</v>
      </c>
      <c r="BI23" s="3">
        <v>36.765098999999999</v>
      </c>
      <c r="BJ23" s="3">
        <v>40.367972999999999</v>
      </c>
      <c r="BK23" s="3">
        <v>35.665787000000002</v>
      </c>
      <c r="BL23" s="3">
        <v>48.151206999999999</v>
      </c>
      <c r="BM23" s="3">
        <v>36.484116</v>
      </c>
      <c r="BN23" s="3">
        <v>39.783034999999998</v>
      </c>
      <c r="BO23" s="3">
        <v>40.676696999999997</v>
      </c>
      <c r="BP23" s="3">
        <v>31.093078999999999</v>
      </c>
      <c r="BQ23" s="3">
        <v>39.623344000000003</v>
      </c>
      <c r="BR23" s="3">
        <v>46.052382999999999</v>
      </c>
      <c r="BS23" s="3">
        <v>37.573371999999999</v>
      </c>
      <c r="BT23" s="3">
        <v>43.424339000000003</v>
      </c>
      <c r="BU23" s="3">
        <v>34.723193999999999</v>
      </c>
      <c r="BV23" s="3">
        <v>39.869858000000001</v>
      </c>
      <c r="BW23" s="3">
        <v>52.875107</v>
      </c>
      <c r="BX23" s="3">
        <v>34.066409999999998</v>
      </c>
      <c r="BY23" s="3">
        <v>29.879760999999998</v>
      </c>
      <c r="BZ23" s="3">
        <v>42.104461999999998</v>
      </c>
      <c r="CA23" s="3">
        <v>37.751083000000001</v>
      </c>
      <c r="CB23" s="3">
        <v>39.015430000000002</v>
      </c>
      <c r="CC23" s="3">
        <v>35.200915999999999</v>
      </c>
      <c r="CD23" s="3">
        <v>41.519936000000001</v>
      </c>
      <c r="CE23" s="3">
        <v>35.650021000000002</v>
      </c>
      <c r="CF23" s="3">
        <v>41.849358000000002</v>
      </c>
      <c r="CG23" s="3">
        <v>29.894204999999999</v>
      </c>
      <c r="CH23" s="3">
        <v>42.906067</v>
      </c>
      <c r="CI23" s="3">
        <v>42.035133000000002</v>
      </c>
      <c r="CJ23" s="3">
        <v>36.540019999999998</v>
      </c>
      <c r="CK23" s="3">
        <v>40.396633000000001</v>
      </c>
      <c r="CL23" s="3">
        <v>42.297668000000002</v>
      </c>
      <c r="CM23" s="3">
        <v>43.51482</v>
      </c>
      <c r="CN23" s="3">
        <v>40.903976</v>
      </c>
      <c r="CO23" s="3">
        <v>36.261482000000001</v>
      </c>
      <c r="CP23" s="3">
        <v>37.021641000000002</v>
      </c>
      <c r="CQ23" s="3">
        <v>45.573402000000002</v>
      </c>
      <c r="CR23" s="3">
        <v>35.861651999999999</v>
      </c>
      <c r="CS23" s="3">
        <v>51.686748999999999</v>
      </c>
      <c r="CT23" s="3">
        <v>37.848930000000003</v>
      </c>
      <c r="CU23" s="3">
        <v>36.196930000000002</v>
      </c>
      <c r="CV23" s="3">
        <v>41.411262999999998</v>
      </c>
      <c r="CW23" s="3">
        <v>40.094658000000003</v>
      </c>
      <c r="CX23" s="3">
        <v>34.859112000000003</v>
      </c>
      <c r="CY23" s="3">
        <v>36.084583000000002</v>
      </c>
      <c r="CZ23" s="3">
        <v>35.296683999999999</v>
      </c>
      <c r="DA23" s="3">
        <v>39.451981000000004</v>
      </c>
      <c r="DB23" s="3">
        <v>40.443069000000001</v>
      </c>
      <c r="DC23" s="3">
        <v>36.630569000000001</v>
      </c>
      <c r="DD23" s="3">
        <v>41.417541999999997</v>
      </c>
      <c r="DE23" s="3">
        <v>40.172809999999998</v>
      </c>
      <c r="DF23" s="3">
        <v>37.106479999999998</v>
      </c>
      <c r="DG23" s="3">
        <v>38.415095999999998</v>
      </c>
      <c r="DH23" s="3">
        <v>40.259666000000003</v>
      </c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51</v>
      </c>
      <c r="D26" s="1" t="s">
        <v>24</v>
      </c>
    </row>
    <row r="27" spans="2:207" x14ac:dyDescent="0.2">
      <c r="B27" s="2" t="s">
        <v>21</v>
      </c>
      <c r="D27" t="s">
        <v>8</v>
      </c>
      <c r="E27" t="s">
        <v>6</v>
      </c>
      <c r="F27">
        <f>COUNT(M27:GJ27)</f>
        <v>100</v>
      </c>
      <c r="G27" s="3">
        <f>AVERAGE(M27:GJ27)</f>
        <v>20.703100829999997</v>
      </c>
      <c r="H27" s="3">
        <f>MAX(M27:GJ27)</f>
        <v>29.889327999999999</v>
      </c>
      <c r="I27" s="3">
        <f>MIN(M27:GJ27)</f>
        <v>16.102587</v>
      </c>
      <c r="J27" s="3">
        <f>_xlfn.STDEV.P(M27:GJ27)</f>
        <v>2.266317695180136</v>
      </c>
      <c r="K27" s="3">
        <f>_xlfn.VAR.S(M27:GJ27)</f>
        <v>5.188076662107675</v>
      </c>
      <c r="M27" s="3">
        <v>20.758827</v>
      </c>
      <c r="N27" s="3">
        <v>21.174939999999999</v>
      </c>
      <c r="O27" s="3">
        <v>25.433392000000001</v>
      </c>
      <c r="P27" s="3">
        <v>20.409075000000001</v>
      </c>
      <c r="Q27" s="3">
        <v>19.386028</v>
      </c>
      <c r="R27" s="3">
        <v>19.925453000000001</v>
      </c>
      <c r="S27" s="3">
        <v>23.194147000000001</v>
      </c>
      <c r="T27" s="3">
        <v>21.133101</v>
      </c>
      <c r="U27" s="3">
        <v>21.468575999999999</v>
      </c>
      <c r="V27" s="3">
        <v>19.868272999999999</v>
      </c>
      <c r="W27" s="3">
        <v>18.120481000000002</v>
      </c>
      <c r="X27" s="3">
        <v>19.155892999999999</v>
      </c>
      <c r="Y27" s="3">
        <v>21.085889999999999</v>
      </c>
      <c r="Z27" s="3">
        <v>29.889327999999999</v>
      </c>
      <c r="AA27" s="3">
        <v>24.299126000000001</v>
      </c>
      <c r="AB27" s="3">
        <v>19.450678</v>
      </c>
      <c r="AC27" s="3">
        <v>18.357796</v>
      </c>
      <c r="AD27" s="3">
        <v>20.596895</v>
      </c>
      <c r="AE27" s="3">
        <v>19.082156999999999</v>
      </c>
      <c r="AF27" s="3">
        <v>17.003778000000001</v>
      </c>
      <c r="AG27" s="3">
        <v>19.204474999999999</v>
      </c>
      <c r="AH27" s="3">
        <v>21.324842</v>
      </c>
      <c r="AI27" s="3">
        <v>22.304319</v>
      </c>
      <c r="AJ27" s="3">
        <v>23.689333000000001</v>
      </c>
      <c r="AK27" s="3">
        <v>19.543738999999999</v>
      </c>
      <c r="AL27" s="3">
        <v>20.482977000000002</v>
      </c>
      <c r="AM27" s="3">
        <v>23.478041000000001</v>
      </c>
      <c r="AN27" s="3">
        <v>20.677212000000001</v>
      </c>
      <c r="AO27" s="3">
        <v>23.128626000000001</v>
      </c>
      <c r="AP27" s="3">
        <v>18.342334999999999</v>
      </c>
      <c r="AQ27" s="3">
        <v>18.139728999999999</v>
      </c>
      <c r="AR27" s="3">
        <v>21.389164000000001</v>
      </c>
      <c r="AS27" s="3">
        <v>21.15523</v>
      </c>
      <c r="AT27" s="3">
        <v>20.345873000000001</v>
      </c>
      <c r="AU27" s="3">
        <v>22.539484000000002</v>
      </c>
      <c r="AV27" s="3">
        <v>21.415686000000001</v>
      </c>
      <c r="AW27" s="3">
        <v>21.578931999999998</v>
      </c>
      <c r="AX27" s="3">
        <v>24.655956</v>
      </c>
      <c r="AY27" s="3">
        <v>20.094087999999999</v>
      </c>
      <c r="AZ27" s="3">
        <v>19.822164999999998</v>
      </c>
      <c r="BA27" s="3">
        <v>18.725161</v>
      </c>
      <c r="BB27" s="3">
        <v>21.320791</v>
      </c>
      <c r="BC27" s="3">
        <v>18.64179</v>
      </c>
      <c r="BD27" s="3">
        <v>26.405149000000002</v>
      </c>
      <c r="BE27" s="3">
        <v>21.901285000000001</v>
      </c>
      <c r="BF27" s="3">
        <v>19.577673000000001</v>
      </c>
      <c r="BG27" s="3">
        <v>24.245943</v>
      </c>
      <c r="BH27" s="3">
        <v>23.516950999999999</v>
      </c>
      <c r="BI27" s="3">
        <v>19.617896999999999</v>
      </c>
      <c r="BJ27" s="3">
        <v>21.785699999999999</v>
      </c>
      <c r="BK27" s="3">
        <v>16.102587</v>
      </c>
      <c r="BL27" s="3">
        <v>17.104973000000001</v>
      </c>
      <c r="BM27" s="3">
        <v>22.519379000000001</v>
      </c>
      <c r="BN27" s="3">
        <v>19.840693000000002</v>
      </c>
      <c r="BO27" s="3">
        <v>20.466545</v>
      </c>
      <c r="BP27" s="3">
        <v>20.06119</v>
      </c>
      <c r="BQ27" s="3">
        <v>18.836137999999998</v>
      </c>
      <c r="BR27" s="3">
        <v>21.287624000000001</v>
      </c>
      <c r="BS27" s="3">
        <v>20.192305000000001</v>
      </c>
      <c r="BT27" s="3">
        <v>18.765663</v>
      </c>
      <c r="BU27" s="3">
        <v>21.506945000000002</v>
      </c>
      <c r="BV27" s="3">
        <v>19.274014000000001</v>
      </c>
      <c r="BW27" s="3">
        <v>19.225012</v>
      </c>
      <c r="BX27" s="3">
        <v>25.844861999999999</v>
      </c>
      <c r="BY27" s="3">
        <v>19.174759000000002</v>
      </c>
      <c r="BZ27" s="3">
        <v>20.971755999999999</v>
      </c>
      <c r="CA27" s="3">
        <v>19.10848</v>
      </c>
      <c r="CB27" s="3">
        <v>19.646388999999999</v>
      </c>
      <c r="CC27" s="3">
        <v>21.382483000000001</v>
      </c>
      <c r="CD27" s="3">
        <v>19.315764999999999</v>
      </c>
      <c r="CE27" s="3">
        <v>18.074238000000001</v>
      </c>
      <c r="CF27" s="3">
        <v>21.093184000000001</v>
      </c>
      <c r="CG27" s="3">
        <v>19.447727</v>
      </c>
      <c r="CH27" s="3">
        <v>21.867605000000001</v>
      </c>
      <c r="CI27" s="3">
        <v>18.746492</v>
      </c>
      <c r="CJ27" s="3">
        <v>18.024055000000001</v>
      </c>
      <c r="CK27" s="3">
        <v>22.645036999999999</v>
      </c>
      <c r="CL27" s="3">
        <v>17.287859000000001</v>
      </c>
      <c r="CM27" s="3">
        <v>17.201687</v>
      </c>
      <c r="CN27" s="3">
        <v>26.194223000000001</v>
      </c>
      <c r="CO27" s="3">
        <v>20.375923</v>
      </c>
      <c r="CP27" s="3">
        <v>17.467891999999999</v>
      </c>
      <c r="CQ27" s="3">
        <v>18.901579000000002</v>
      </c>
      <c r="CR27" s="3">
        <v>20.270323000000001</v>
      </c>
      <c r="CS27" s="3">
        <v>20.205390999999999</v>
      </c>
      <c r="CT27" s="3">
        <v>21.856943000000001</v>
      </c>
      <c r="CU27" s="3">
        <v>19.466757000000001</v>
      </c>
      <c r="CV27" s="3">
        <v>21.017731000000001</v>
      </c>
      <c r="CW27" s="3">
        <v>23.497510999999999</v>
      </c>
      <c r="CX27" s="3">
        <v>21.344024999999998</v>
      </c>
      <c r="CY27" s="3">
        <v>17.487704999999998</v>
      </c>
      <c r="CZ27" s="3">
        <v>20.883251000000001</v>
      </c>
      <c r="DA27" s="3">
        <v>19.849606999999999</v>
      </c>
      <c r="DB27" s="3">
        <v>20.773095999999999</v>
      </c>
      <c r="DC27" s="3">
        <v>20.803599999999999</v>
      </c>
      <c r="DD27" s="3">
        <v>24.065092</v>
      </c>
      <c r="DE27" s="3">
        <v>22.465347000000001</v>
      </c>
      <c r="DF27" s="3">
        <v>18.740879</v>
      </c>
      <c r="DG27" s="3">
        <v>21.057860999999999</v>
      </c>
      <c r="DH27" s="3">
        <v>19.725521000000001</v>
      </c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28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29</v>
      </c>
      <c r="D29" t="s">
        <v>9</v>
      </c>
      <c r="E29" t="s">
        <v>6</v>
      </c>
      <c r="F29">
        <f>COUNT(M29:GJ29)</f>
        <v>100</v>
      </c>
      <c r="G29" s="3">
        <f>AVERAGE(M29:GJ29)</f>
        <v>12.216446540000002</v>
      </c>
      <c r="H29" s="3">
        <f>MAX(M29:GJ29)</f>
        <v>16.562462</v>
      </c>
      <c r="I29" s="3">
        <f>MIN(M29:GJ29)</f>
        <v>8.7936130000000006</v>
      </c>
      <c r="J29" s="3">
        <f>_xlfn.STDEV.P(M29:GJ29)</f>
        <v>1.6486494140527594</v>
      </c>
      <c r="K29" s="3">
        <f>_xlfn.VAR.S(M29:GJ29)</f>
        <v>2.7454998893500129</v>
      </c>
      <c r="M29" s="3">
        <v>11.389086000000001</v>
      </c>
      <c r="N29" s="3">
        <v>16.562462</v>
      </c>
      <c r="O29" s="3">
        <v>10.273908</v>
      </c>
      <c r="P29" s="3">
        <v>15.065977</v>
      </c>
      <c r="Q29" s="3">
        <v>13.199106</v>
      </c>
      <c r="R29" s="3">
        <v>14.871718</v>
      </c>
      <c r="S29" s="3">
        <v>13.788449</v>
      </c>
      <c r="T29" s="3">
        <v>13.502209000000001</v>
      </c>
      <c r="U29" s="3">
        <v>13.030303</v>
      </c>
      <c r="V29" s="3">
        <v>12.400105999999999</v>
      </c>
      <c r="W29" s="3">
        <v>11.533030999999999</v>
      </c>
      <c r="X29" s="3">
        <v>10.220242000000001</v>
      </c>
      <c r="Y29" s="3">
        <v>10.977947</v>
      </c>
      <c r="Z29" s="3">
        <v>10.728059</v>
      </c>
      <c r="AA29" s="3">
        <v>14.294362</v>
      </c>
      <c r="AB29" s="3">
        <v>12.117913</v>
      </c>
      <c r="AC29" s="3">
        <v>13.149816</v>
      </c>
      <c r="AD29" s="3">
        <v>12.648561000000001</v>
      </c>
      <c r="AE29" s="3">
        <v>12.403962</v>
      </c>
      <c r="AF29" s="3">
        <v>11.655528</v>
      </c>
      <c r="AG29" s="3">
        <v>13.587557</v>
      </c>
      <c r="AH29" s="3">
        <v>12.828462999999999</v>
      </c>
      <c r="AI29" s="3">
        <v>13.945055</v>
      </c>
      <c r="AJ29" s="3">
        <v>11.788727</v>
      </c>
      <c r="AK29" s="3">
        <v>11.780554</v>
      </c>
      <c r="AL29" s="3">
        <v>11.396836</v>
      </c>
      <c r="AM29" s="3">
        <v>16.067489999999999</v>
      </c>
      <c r="AN29" s="3">
        <v>12.578256</v>
      </c>
      <c r="AO29" s="3">
        <v>12.616657</v>
      </c>
      <c r="AP29" s="3">
        <v>12.279503</v>
      </c>
      <c r="AQ29" s="3">
        <v>13.587631999999999</v>
      </c>
      <c r="AR29" s="3">
        <v>8.8120930000000008</v>
      </c>
      <c r="AS29" s="3">
        <v>11.428341</v>
      </c>
      <c r="AT29" s="3">
        <v>11.134963000000001</v>
      </c>
      <c r="AU29" s="3">
        <v>10.594979</v>
      </c>
      <c r="AV29" s="3">
        <v>11.898474</v>
      </c>
      <c r="AW29" s="3">
        <v>11.196939</v>
      </c>
      <c r="AX29" s="3">
        <v>9.9105819999999998</v>
      </c>
      <c r="AY29" s="3">
        <v>14.597602999999999</v>
      </c>
      <c r="AZ29" s="3">
        <v>14.143134</v>
      </c>
      <c r="BA29" s="3">
        <v>11.720864000000001</v>
      </c>
      <c r="BB29" s="3">
        <v>13.233466</v>
      </c>
      <c r="BC29" s="3">
        <v>11.525347999999999</v>
      </c>
      <c r="BD29" s="3">
        <v>9.7344460000000002</v>
      </c>
      <c r="BE29" s="3">
        <v>14.499924999999999</v>
      </c>
      <c r="BF29" s="3">
        <v>13.860279999999999</v>
      </c>
      <c r="BG29" s="3">
        <v>13.889621</v>
      </c>
      <c r="BH29" s="3">
        <v>11.151534</v>
      </c>
      <c r="BI29" s="3">
        <v>10.801588000000001</v>
      </c>
      <c r="BJ29" s="3">
        <v>13.202128999999999</v>
      </c>
      <c r="BK29" s="3">
        <v>9.0192820000000005</v>
      </c>
      <c r="BL29" s="3">
        <v>12.730124999999999</v>
      </c>
      <c r="BM29" s="3">
        <v>11.289085999999999</v>
      </c>
      <c r="BN29" s="3">
        <v>10.607511000000001</v>
      </c>
      <c r="BO29" s="3">
        <v>12.942974</v>
      </c>
      <c r="BP29" s="3">
        <v>13.42252</v>
      </c>
      <c r="BQ29" s="3">
        <v>10.280131000000001</v>
      </c>
      <c r="BR29" s="3">
        <v>13.455133</v>
      </c>
      <c r="BS29" s="3">
        <v>12.428127999999999</v>
      </c>
      <c r="BT29" s="3">
        <v>12.188091</v>
      </c>
      <c r="BU29" s="3">
        <v>10.713498</v>
      </c>
      <c r="BV29" s="3">
        <v>14.370445</v>
      </c>
      <c r="BW29" s="3">
        <v>14.118964999999999</v>
      </c>
      <c r="BX29" s="3">
        <v>10.578813</v>
      </c>
      <c r="BY29" s="3">
        <v>15.663588000000001</v>
      </c>
      <c r="BZ29" s="3">
        <v>12.494759999999999</v>
      </c>
      <c r="CA29" s="3">
        <v>13.323522000000001</v>
      </c>
      <c r="CB29" s="3">
        <v>12.536822000000001</v>
      </c>
      <c r="CC29" s="3">
        <v>11.395633</v>
      </c>
      <c r="CD29" s="3">
        <v>12.86678</v>
      </c>
      <c r="CE29" s="3">
        <v>11.957006</v>
      </c>
      <c r="CF29" s="3">
        <v>11.098663</v>
      </c>
      <c r="CG29" s="3">
        <v>10.509570999999999</v>
      </c>
      <c r="CH29" s="3">
        <v>11.733283999999999</v>
      </c>
      <c r="CI29" s="3">
        <v>11.798025000000001</v>
      </c>
      <c r="CJ29" s="3">
        <v>10.819089999999999</v>
      </c>
      <c r="CK29" s="3">
        <v>10.148415999999999</v>
      </c>
      <c r="CL29" s="3">
        <v>10.481664</v>
      </c>
      <c r="CM29" s="3">
        <v>13.532419000000001</v>
      </c>
      <c r="CN29" s="3">
        <v>13.869377</v>
      </c>
      <c r="CO29" s="3">
        <v>13.996831999999999</v>
      </c>
      <c r="CP29" s="3">
        <v>9.8436800000000009</v>
      </c>
      <c r="CQ29" s="3">
        <v>12.934051999999999</v>
      </c>
      <c r="CR29" s="3">
        <v>10.048230999999999</v>
      </c>
      <c r="CS29" s="3">
        <v>10.674165</v>
      </c>
      <c r="CT29" s="3">
        <v>10.499243</v>
      </c>
      <c r="CU29" s="3">
        <v>8.7936130000000006</v>
      </c>
      <c r="CV29" s="3">
        <v>10.565561000000001</v>
      </c>
      <c r="CW29" s="3">
        <v>9.8256789999999992</v>
      </c>
      <c r="CX29" s="3">
        <v>15.118781</v>
      </c>
      <c r="CY29" s="3">
        <v>13.959899999999999</v>
      </c>
      <c r="CZ29" s="3">
        <v>12.484628000000001</v>
      </c>
      <c r="DA29" s="3">
        <v>11.478014</v>
      </c>
      <c r="DB29" s="3">
        <v>12.743636</v>
      </c>
      <c r="DC29" s="3">
        <v>13.793912000000001</v>
      </c>
      <c r="DD29" s="3">
        <v>14.419974</v>
      </c>
      <c r="DE29" s="3">
        <v>12.720019000000001</v>
      </c>
      <c r="DF29" s="3">
        <v>10.436226</v>
      </c>
      <c r="DG29" s="3">
        <v>9.9336749999999991</v>
      </c>
      <c r="DH29" s="3">
        <v>11.395727000000001</v>
      </c>
      <c r="DI29" s="3"/>
      <c r="DJ29" s="3"/>
      <c r="DK29" s="3"/>
      <c r="DN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7</v>
      </c>
      <c r="E31" t="s">
        <v>6</v>
      </c>
      <c r="F31">
        <f>COUNT(M31:GJ31)</f>
        <v>100</v>
      </c>
      <c r="G31" s="3">
        <f>AVERAGE(M31:GJ31)</f>
        <v>13.661877379999998</v>
      </c>
      <c r="H31" s="3">
        <f>MAX(M31:GJ31)</f>
        <v>17.635462</v>
      </c>
      <c r="I31" s="3">
        <f>MIN(M31:GJ31)</f>
        <v>9.5484869999999997</v>
      </c>
      <c r="J31" s="3">
        <f>_xlfn.STDEV.P(M31:GJ31)</f>
        <v>1.5324824595858206</v>
      </c>
      <c r="K31" s="3">
        <f>_xlfn.VAR.S(M31:GJ31)</f>
        <v>2.3722247363012232</v>
      </c>
      <c r="M31" s="3">
        <v>12.386165</v>
      </c>
      <c r="N31" s="3">
        <v>13.790528999999999</v>
      </c>
      <c r="O31" s="3">
        <v>17.635462</v>
      </c>
      <c r="P31" s="3">
        <v>9.7389759999999992</v>
      </c>
      <c r="Q31" s="3">
        <v>14.200775</v>
      </c>
      <c r="R31" s="3">
        <v>12.702677</v>
      </c>
      <c r="S31" s="3">
        <v>14.594048000000001</v>
      </c>
      <c r="T31" s="3">
        <v>12.563457</v>
      </c>
      <c r="U31" s="3">
        <v>13.808901000000001</v>
      </c>
      <c r="V31" s="3">
        <v>11.904579</v>
      </c>
      <c r="W31" s="3">
        <v>14.059536</v>
      </c>
      <c r="X31" s="3">
        <v>15.144382</v>
      </c>
      <c r="Y31" s="3">
        <v>14.225251999999999</v>
      </c>
      <c r="Z31" s="3">
        <v>14.173631</v>
      </c>
      <c r="AA31" s="3">
        <v>14.81944</v>
      </c>
      <c r="AB31" s="3">
        <v>13.73921</v>
      </c>
      <c r="AC31" s="3">
        <v>12.495642999999999</v>
      </c>
      <c r="AD31" s="3">
        <v>12.84671</v>
      </c>
      <c r="AE31" s="3">
        <v>15.182957</v>
      </c>
      <c r="AF31" s="3">
        <v>12.134083</v>
      </c>
      <c r="AG31" s="3">
        <v>12.579110999999999</v>
      </c>
      <c r="AH31" s="3">
        <v>10.610659999999999</v>
      </c>
      <c r="AI31" s="3">
        <v>14.547815999999999</v>
      </c>
      <c r="AJ31" s="3">
        <v>14.178042</v>
      </c>
      <c r="AK31" s="3">
        <v>12.598542999999999</v>
      </c>
      <c r="AL31" s="3">
        <v>14.623702</v>
      </c>
      <c r="AM31" s="3">
        <v>15.544165</v>
      </c>
      <c r="AN31" s="3">
        <v>12.911094</v>
      </c>
      <c r="AO31" s="3">
        <v>11.868594</v>
      </c>
      <c r="AP31" s="3">
        <v>14.571272</v>
      </c>
      <c r="AQ31" s="3">
        <v>14.003386000000001</v>
      </c>
      <c r="AR31" s="3">
        <v>14.367664</v>
      </c>
      <c r="AS31" s="3">
        <v>12.980124</v>
      </c>
      <c r="AT31" s="3">
        <v>15.74933</v>
      </c>
      <c r="AU31" s="3">
        <v>11.638655999999999</v>
      </c>
      <c r="AV31" s="3">
        <v>14.747534</v>
      </c>
      <c r="AW31" s="3">
        <v>13.286238000000001</v>
      </c>
      <c r="AX31" s="3">
        <v>12.319003</v>
      </c>
      <c r="AY31" s="3">
        <v>14.017884</v>
      </c>
      <c r="AZ31" s="3">
        <v>14.880615000000001</v>
      </c>
      <c r="BA31" s="3">
        <v>13.416899000000001</v>
      </c>
      <c r="BB31" s="3">
        <v>15.640396000000001</v>
      </c>
      <c r="BC31" s="3">
        <v>11.722912000000001</v>
      </c>
      <c r="BD31" s="3">
        <v>15.584104999999999</v>
      </c>
      <c r="BE31" s="3">
        <v>11.884377000000001</v>
      </c>
      <c r="BF31" s="3">
        <v>14.994465</v>
      </c>
      <c r="BG31" s="3">
        <v>14.096546</v>
      </c>
      <c r="BH31" s="3">
        <v>13.519588000000001</v>
      </c>
      <c r="BI31" s="3">
        <v>12.716676</v>
      </c>
      <c r="BJ31" s="3">
        <v>14.388928999999999</v>
      </c>
      <c r="BK31" s="3">
        <v>10.248624</v>
      </c>
      <c r="BL31" s="3">
        <v>14.248507999999999</v>
      </c>
      <c r="BM31" s="3">
        <v>15.211551999999999</v>
      </c>
      <c r="BN31" s="3">
        <v>12.712761</v>
      </c>
      <c r="BO31" s="3">
        <v>12.858413000000001</v>
      </c>
      <c r="BP31" s="3">
        <v>14.979755000000001</v>
      </c>
      <c r="BQ31" s="3">
        <v>13.211149000000001</v>
      </c>
      <c r="BR31" s="3">
        <v>13.560938</v>
      </c>
      <c r="BS31" s="3">
        <v>11.00465</v>
      </c>
      <c r="BT31" s="3">
        <v>9.5484869999999997</v>
      </c>
      <c r="BU31" s="3">
        <v>16.184275</v>
      </c>
      <c r="BV31" s="3">
        <v>13.357106</v>
      </c>
      <c r="BW31" s="3">
        <v>16.367557999999999</v>
      </c>
      <c r="BX31" s="3">
        <v>14.269837000000001</v>
      </c>
      <c r="BY31" s="3">
        <v>16.636213000000001</v>
      </c>
      <c r="BZ31" s="3">
        <v>12.370044999999999</v>
      </c>
      <c r="CA31" s="3">
        <v>11.69628</v>
      </c>
      <c r="CB31" s="3">
        <v>15.645547000000001</v>
      </c>
      <c r="CC31" s="3">
        <v>14.318910000000001</v>
      </c>
      <c r="CD31" s="3">
        <v>13.793132999999999</v>
      </c>
      <c r="CE31" s="3">
        <v>12.316406000000001</v>
      </c>
      <c r="CF31" s="3">
        <v>13.826040000000001</v>
      </c>
      <c r="CG31" s="3">
        <v>14.247699000000001</v>
      </c>
      <c r="CH31" s="3">
        <v>12.674172</v>
      </c>
      <c r="CI31" s="3">
        <v>12.758048</v>
      </c>
      <c r="CJ31" s="3">
        <v>12.396140000000001</v>
      </c>
      <c r="CK31" s="3">
        <v>12.651033999999999</v>
      </c>
      <c r="CL31" s="3">
        <v>16.906445999999999</v>
      </c>
      <c r="CM31" s="3">
        <v>12.592684999999999</v>
      </c>
      <c r="CN31" s="3">
        <v>15.666202999999999</v>
      </c>
      <c r="CO31" s="3">
        <v>15.139326000000001</v>
      </c>
      <c r="CP31" s="3">
        <v>14.492001999999999</v>
      </c>
      <c r="CQ31" s="3">
        <v>13.166067</v>
      </c>
      <c r="CR31" s="3">
        <v>15.599914</v>
      </c>
      <c r="CS31" s="3">
        <v>12.893559</v>
      </c>
      <c r="CT31" s="3">
        <v>13.269824</v>
      </c>
      <c r="CU31" s="3">
        <v>13.182468999999999</v>
      </c>
      <c r="CV31" s="3">
        <v>13.432199000000001</v>
      </c>
      <c r="CW31" s="3">
        <v>12.845893</v>
      </c>
      <c r="CX31" s="3">
        <v>14.853024</v>
      </c>
      <c r="CY31" s="3">
        <v>14.6332</v>
      </c>
      <c r="CZ31" s="3">
        <v>10.410985999999999</v>
      </c>
      <c r="DA31" s="3">
        <v>12.026011</v>
      </c>
      <c r="DB31" s="3">
        <v>15.114101</v>
      </c>
      <c r="DC31" s="3">
        <v>12.521800000000001</v>
      </c>
      <c r="DD31" s="3">
        <v>15.195632</v>
      </c>
      <c r="DE31" s="3">
        <v>14.245457999999999</v>
      </c>
      <c r="DF31" s="3">
        <v>15.449173</v>
      </c>
      <c r="DG31" s="3">
        <v>13.394544</v>
      </c>
      <c r="DH31" s="3">
        <v>13.929202999999999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10</v>
      </c>
      <c r="E33" t="s">
        <v>6</v>
      </c>
      <c r="F33">
        <f>COUNT(M33:GJ33)</f>
        <v>100</v>
      </c>
      <c r="G33" s="3">
        <f>AVERAGE(M33:GJ33)</f>
        <v>15.689007039999996</v>
      </c>
      <c r="H33" s="3">
        <f>MAX(M33:GJ33)</f>
        <v>22.908404999999998</v>
      </c>
      <c r="I33" s="3">
        <f>MIN(M33:GJ33)</f>
        <v>11.887505000000001</v>
      </c>
      <c r="J33" s="3">
        <f>_xlfn.STDEV.P(M33:GJ33)</f>
        <v>1.9946000506867991</v>
      </c>
      <c r="K33" s="3">
        <f>_xlfn.VAR.S(M33:GJ33)</f>
        <v>4.0186155173735214</v>
      </c>
      <c r="M33" s="3">
        <v>11.887505000000001</v>
      </c>
      <c r="N33" s="3">
        <v>15.281454</v>
      </c>
      <c r="O33" s="3">
        <v>14.359848</v>
      </c>
      <c r="P33" s="3">
        <v>14.498127</v>
      </c>
      <c r="Q33" s="3">
        <v>14.228389999999999</v>
      </c>
      <c r="R33" s="3">
        <v>13.496428999999999</v>
      </c>
      <c r="S33" s="3">
        <v>18.946612999999999</v>
      </c>
      <c r="T33" s="3">
        <v>12.978085</v>
      </c>
      <c r="U33" s="3">
        <v>17.514395</v>
      </c>
      <c r="V33" s="3">
        <v>22.908404999999998</v>
      </c>
      <c r="W33" s="3">
        <v>16.474603999999999</v>
      </c>
      <c r="X33" s="3">
        <v>15.736421</v>
      </c>
      <c r="Y33" s="3">
        <v>17.792197999999999</v>
      </c>
      <c r="Z33" s="3">
        <v>12.663333</v>
      </c>
      <c r="AA33" s="3">
        <v>14.787471</v>
      </c>
      <c r="AB33" s="3">
        <v>18.951983999999999</v>
      </c>
      <c r="AC33" s="3">
        <v>16.827862</v>
      </c>
      <c r="AD33" s="3">
        <v>16.668361999999998</v>
      </c>
      <c r="AE33" s="3">
        <v>16.407485999999999</v>
      </c>
      <c r="AF33" s="3">
        <v>17.548227000000001</v>
      </c>
      <c r="AG33" s="3">
        <v>14.769151000000001</v>
      </c>
      <c r="AH33" s="3">
        <v>16.731819000000002</v>
      </c>
      <c r="AI33" s="3">
        <v>14.097804</v>
      </c>
      <c r="AJ33" s="3">
        <v>19.248308000000002</v>
      </c>
      <c r="AK33" s="3">
        <v>16.049071999999999</v>
      </c>
      <c r="AL33" s="3">
        <v>16.419263999999998</v>
      </c>
      <c r="AM33" s="3">
        <v>15.017656000000001</v>
      </c>
      <c r="AN33" s="3">
        <v>17.350653000000001</v>
      </c>
      <c r="AO33" s="3">
        <v>16.114622000000001</v>
      </c>
      <c r="AP33" s="3">
        <v>13.879091000000001</v>
      </c>
      <c r="AQ33" s="3">
        <v>12.48052</v>
      </c>
      <c r="AR33" s="3">
        <v>15.340699000000001</v>
      </c>
      <c r="AS33" s="3">
        <v>15.250419000000001</v>
      </c>
      <c r="AT33" s="3">
        <v>14.864641000000001</v>
      </c>
      <c r="AU33" s="3">
        <v>18.548373999999999</v>
      </c>
      <c r="AV33" s="3">
        <v>13.364151</v>
      </c>
      <c r="AW33" s="3">
        <v>16.621051999999999</v>
      </c>
      <c r="AX33" s="3">
        <v>17.275590999999999</v>
      </c>
      <c r="AY33" s="3">
        <v>17.830466999999999</v>
      </c>
      <c r="AZ33" s="3">
        <v>15.878128999999999</v>
      </c>
      <c r="BA33" s="3">
        <v>15.783981000000001</v>
      </c>
      <c r="BB33" s="3">
        <v>17.013522999999999</v>
      </c>
      <c r="BC33" s="3">
        <v>16.865917</v>
      </c>
      <c r="BD33" s="3">
        <v>12.871264</v>
      </c>
      <c r="BE33" s="3">
        <v>17.794824999999999</v>
      </c>
      <c r="BF33" s="3">
        <v>18.295020999999998</v>
      </c>
      <c r="BG33" s="3">
        <v>12.638564000000001</v>
      </c>
      <c r="BH33" s="3">
        <v>15.420078</v>
      </c>
      <c r="BI33" s="3">
        <v>13.988825</v>
      </c>
      <c r="BJ33" s="3">
        <v>15.329800000000001</v>
      </c>
      <c r="BK33" s="3">
        <v>14.516171</v>
      </c>
      <c r="BL33" s="3">
        <v>14.28206</v>
      </c>
      <c r="BM33" s="3">
        <v>17.268709000000001</v>
      </c>
      <c r="BN33" s="3">
        <v>19.130119000000001</v>
      </c>
      <c r="BO33" s="3">
        <v>17.858526000000001</v>
      </c>
      <c r="BP33" s="3">
        <v>14.123775</v>
      </c>
      <c r="BQ33" s="3">
        <v>16.612831</v>
      </c>
      <c r="BR33" s="3">
        <v>13.722669</v>
      </c>
      <c r="BS33" s="3">
        <v>13.193604000000001</v>
      </c>
      <c r="BT33" s="3">
        <v>18.910869999999999</v>
      </c>
      <c r="BU33" s="3">
        <v>14.503380999999999</v>
      </c>
      <c r="BV33" s="3">
        <v>13.674384</v>
      </c>
      <c r="BW33" s="3">
        <v>14.707153999999999</v>
      </c>
      <c r="BX33" s="3">
        <v>14.804451</v>
      </c>
      <c r="BY33" s="3">
        <v>14.484147</v>
      </c>
      <c r="BZ33" s="3">
        <v>18.671472999999999</v>
      </c>
      <c r="CA33" s="3">
        <v>13.826435999999999</v>
      </c>
      <c r="CB33" s="3">
        <v>16.037447</v>
      </c>
      <c r="CC33" s="3">
        <v>13.803326999999999</v>
      </c>
      <c r="CD33" s="3">
        <v>16.820170999999998</v>
      </c>
      <c r="CE33" s="3">
        <v>17.042504999999998</v>
      </c>
      <c r="CF33" s="3">
        <v>17.9209</v>
      </c>
      <c r="CG33" s="3">
        <v>15.653605000000001</v>
      </c>
      <c r="CH33" s="3">
        <v>18.34178</v>
      </c>
      <c r="CI33" s="3">
        <v>14.286873999999999</v>
      </c>
      <c r="CJ33" s="3">
        <v>15.279342</v>
      </c>
      <c r="CK33" s="3">
        <v>15.443528000000001</v>
      </c>
      <c r="CL33" s="3">
        <v>13.690694000000001</v>
      </c>
      <c r="CM33" s="3">
        <v>17.419785000000001</v>
      </c>
      <c r="CN33" s="3">
        <v>13.26759</v>
      </c>
      <c r="CO33" s="3">
        <v>13.015558</v>
      </c>
      <c r="CP33" s="3">
        <v>14.255932</v>
      </c>
      <c r="CQ33" s="3">
        <v>15.979203</v>
      </c>
      <c r="CR33" s="3">
        <v>13.582210999999999</v>
      </c>
      <c r="CS33" s="3">
        <v>16.737013000000001</v>
      </c>
      <c r="CT33" s="3">
        <v>13.622049000000001</v>
      </c>
      <c r="CU33" s="3">
        <v>13.272911000000001</v>
      </c>
      <c r="CV33" s="3">
        <v>14.640905999999999</v>
      </c>
      <c r="CW33" s="3">
        <v>16.247429</v>
      </c>
      <c r="CX33" s="3">
        <v>17.054987000000001</v>
      </c>
      <c r="CY33" s="3">
        <v>18.124234999999999</v>
      </c>
      <c r="CZ33" s="3">
        <v>13.80251</v>
      </c>
      <c r="DA33" s="3">
        <v>14.50614</v>
      </c>
      <c r="DB33" s="3">
        <v>13.953108</v>
      </c>
      <c r="DC33" s="3">
        <v>15.040088000000001</v>
      </c>
      <c r="DD33" s="3">
        <v>20.545670000000001</v>
      </c>
      <c r="DE33" s="3">
        <v>14.977964</v>
      </c>
      <c r="DF33" s="3">
        <v>15.716283000000001</v>
      </c>
      <c r="DG33" s="3">
        <v>17.726814000000001</v>
      </c>
      <c r="DH33" s="3">
        <v>13.710905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11</v>
      </c>
      <c r="E35" t="s">
        <v>6</v>
      </c>
      <c r="F35">
        <f>COUNT(M35:GJ35)</f>
        <v>100</v>
      </c>
      <c r="G35" s="3">
        <f>AVERAGE(M35:GJ35)</f>
        <v>17.257299190000005</v>
      </c>
      <c r="H35" s="3">
        <f>MAX(M35:GJ35)</f>
        <v>22.968771</v>
      </c>
      <c r="I35" s="3">
        <f>MIN(M35:GJ35)</f>
        <v>12.044392999999999</v>
      </c>
      <c r="J35" s="3">
        <f>_xlfn.STDEV.P(M35:GJ35)</f>
        <v>2.4532219884892861</v>
      </c>
      <c r="K35" s="3">
        <f>_xlfn.VAR.S(M35:GJ35)</f>
        <v>6.0790890149568657</v>
      </c>
      <c r="M35" s="3">
        <v>15.622026999999999</v>
      </c>
      <c r="N35" s="3">
        <v>18.989806999999999</v>
      </c>
      <c r="O35" s="3">
        <v>13.968078</v>
      </c>
      <c r="P35" s="3">
        <v>14.825739</v>
      </c>
      <c r="Q35" s="3">
        <v>16.835944999999999</v>
      </c>
      <c r="R35" s="3">
        <v>18.627345999999999</v>
      </c>
      <c r="S35" s="3">
        <v>17.971699000000001</v>
      </c>
      <c r="T35" s="3">
        <v>16.05612</v>
      </c>
      <c r="U35" s="3">
        <v>17.195060999999999</v>
      </c>
      <c r="V35" s="3">
        <v>14.321731</v>
      </c>
      <c r="W35" s="3">
        <v>15.953860000000001</v>
      </c>
      <c r="X35" s="3">
        <v>18.519026</v>
      </c>
      <c r="Y35" s="3">
        <v>19.133420999999998</v>
      </c>
      <c r="Z35" s="3">
        <v>14.105015</v>
      </c>
      <c r="AA35" s="3">
        <v>12.910456</v>
      </c>
      <c r="AB35" s="3">
        <v>17.318546000000001</v>
      </c>
      <c r="AC35" s="3">
        <v>17.939905</v>
      </c>
      <c r="AD35" s="3">
        <v>17.056768000000002</v>
      </c>
      <c r="AE35" s="3">
        <v>15.402596000000001</v>
      </c>
      <c r="AF35" s="3">
        <v>17.267676999999999</v>
      </c>
      <c r="AG35" s="3">
        <v>12.909160999999999</v>
      </c>
      <c r="AH35" s="3">
        <v>16.824316</v>
      </c>
      <c r="AI35" s="3">
        <v>19.188234000000001</v>
      </c>
      <c r="AJ35" s="3">
        <v>20.04542</v>
      </c>
      <c r="AK35" s="3">
        <v>19.415292999999998</v>
      </c>
      <c r="AL35" s="3">
        <v>14.148963999999999</v>
      </c>
      <c r="AM35" s="3">
        <v>18.406475</v>
      </c>
      <c r="AN35" s="3">
        <v>17.939772000000001</v>
      </c>
      <c r="AO35" s="3">
        <v>12.044392999999999</v>
      </c>
      <c r="AP35" s="3">
        <v>15.969021</v>
      </c>
      <c r="AQ35" s="3">
        <v>21.427738000000002</v>
      </c>
      <c r="AR35" s="3">
        <v>15.12346</v>
      </c>
      <c r="AS35" s="3">
        <v>20.060828999999998</v>
      </c>
      <c r="AT35" s="3">
        <v>17.209555000000002</v>
      </c>
      <c r="AU35" s="3">
        <v>19.193871999999999</v>
      </c>
      <c r="AV35" s="3">
        <v>16.754251</v>
      </c>
      <c r="AW35" s="3">
        <v>22.968771</v>
      </c>
      <c r="AX35" s="3">
        <v>22.651444999999999</v>
      </c>
      <c r="AY35" s="3">
        <v>14.191535999999999</v>
      </c>
      <c r="AZ35" s="3">
        <v>13.239148</v>
      </c>
      <c r="BA35" s="3">
        <v>18.958658</v>
      </c>
      <c r="BB35" s="3">
        <v>16.524355</v>
      </c>
      <c r="BC35" s="3">
        <v>19.908124999999998</v>
      </c>
      <c r="BD35" s="3">
        <v>18.750976999999999</v>
      </c>
      <c r="BE35" s="3">
        <v>19.922267999999999</v>
      </c>
      <c r="BF35" s="3">
        <v>13.436337</v>
      </c>
      <c r="BG35" s="3">
        <v>19.130327000000001</v>
      </c>
      <c r="BH35" s="3">
        <v>13.872719</v>
      </c>
      <c r="BI35" s="3">
        <v>19.732144999999999</v>
      </c>
      <c r="BJ35" s="3">
        <v>18.328012000000001</v>
      </c>
      <c r="BK35" s="3">
        <v>18.235181999999998</v>
      </c>
      <c r="BL35" s="3">
        <v>17.959745000000002</v>
      </c>
      <c r="BM35" s="3">
        <v>13.358898</v>
      </c>
      <c r="BN35" s="3">
        <v>13.473326999999999</v>
      </c>
      <c r="BO35" s="3">
        <v>18.106248999999998</v>
      </c>
      <c r="BP35" s="3">
        <v>15.87721</v>
      </c>
      <c r="BQ35" s="3">
        <v>15.523126</v>
      </c>
      <c r="BR35" s="3">
        <v>21.564703000000002</v>
      </c>
      <c r="BS35" s="3">
        <v>19.002724000000001</v>
      </c>
      <c r="BT35" s="3">
        <v>21.658985000000001</v>
      </c>
      <c r="BU35" s="3">
        <v>13.630238</v>
      </c>
      <c r="BV35" s="3">
        <v>16.741816</v>
      </c>
      <c r="BW35" s="3">
        <v>18.312256000000001</v>
      </c>
      <c r="BX35" s="3">
        <v>18.097235000000001</v>
      </c>
      <c r="BY35" s="3">
        <v>14.93285</v>
      </c>
      <c r="BZ35" s="3">
        <v>22.013824</v>
      </c>
      <c r="CA35" s="3">
        <v>17.189018000000001</v>
      </c>
      <c r="CB35" s="3">
        <v>17.055423999999999</v>
      </c>
      <c r="CC35" s="3">
        <v>20.292656000000001</v>
      </c>
      <c r="CD35" s="3">
        <v>19.373888000000001</v>
      </c>
      <c r="CE35" s="3">
        <v>14.833657000000001</v>
      </c>
      <c r="CF35" s="3">
        <v>19.526026000000002</v>
      </c>
      <c r="CG35" s="3">
        <v>13.171103</v>
      </c>
      <c r="CH35" s="3">
        <v>19.023813000000001</v>
      </c>
      <c r="CI35" s="3">
        <v>17.325137999999999</v>
      </c>
      <c r="CJ35" s="3">
        <v>14.360727000000001</v>
      </c>
      <c r="CK35" s="3">
        <v>17.587299000000002</v>
      </c>
      <c r="CL35" s="3">
        <v>16.544194999999998</v>
      </c>
      <c r="CM35" s="3">
        <v>14.962876</v>
      </c>
      <c r="CN35" s="3">
        <v>20.118334000000001</v>
      </c>
      <c r="CO35" s="3">
        <v>18.176746000000001</v>
      </c>
      <c r="CP35" s="3">
        <v>16.531403000000001</v>
      </c>
      <c r="CQ35" s="3">
        <v>17.424040000000002</v>
      </c>
      <c r="CR35" s="3">
        <v>18.872983999999999</v>
      </c>
      <c r="CS35" s="3">
        <v>21.692001000000001</v>
      </c>
      <c r="CT35" s="3">
        <v>13.444376</v>
      </c>
      <c r="CU35" s="3">
        <v>15.817985999999999</v>
      </c>
      <c r="CV35" s="3">
        <v>18.257829999999998</v>
      </c>
      <c r="CW35" s="3">
        <v>19.015812</v>
      </c>
      <c r="CX35" s="3">
        <v>17.720837</v>
      </c>
      <c r="CY35" s="3">
        <v>20.152661999999999</v>
      </c>
      <c r="CZ35" s="3">
        <v>15.236673</v>
      </c>
      <c r="DA35" s="3">
        <v>17.527998</v>
      </c>
      <c r="DB35" s="3">
        <v>15.790576</v>
      </c>
      <c r="DC35" s="3">
        <v>19.163397</v>
      </c>
      <c r="DD35" s="3">
        <v>13.155901</v>
      </c>
      <c r="DE35" s="3">
        <v>15.927972</v>
      </c>
      <c r="DF35" s="3">
        <v>16.397051000000001</v>
      </c>
      <c r="DG35" s="3">
        <v>18.756761999999998</v>
      </c>
      <c r="DH35" s="3">
        <v>18.517990000000001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51</v>
      </c>
      <c r="D38" s="1" t="s">
        <v>25</v>
      </c>
    </row>
    <row r="39" spans="2:207" x14ac:dyDescent="0.2">
      <c r="B39" s="2" t="s">
        <v>22</v>
      </c>
      <c r="D39" t="s">
        <v>8</v>
      </c>
      <c r="E39" t="s">
        <v>6</v>
      </c>
      <c r="F39">
        <f>COUNT(M39:GJ39)</f>
        <v>100</v>
      </c>
      <c r="G39" s="3">
        <f>AVERAGE(M39:GJ39)</f>
        <v>18.829433729999998</v>
      </c>
      <c r="H39" s="3">
        <f>MAX(M39:GJ39)</f>
        <v>26.369854</v>
      </c>
      <c r="I39" s="3">
        <f>MIN(M39:GJ39)</f>
        <v>15.349881</v>
      </c>
      <c r="J39" s="3">
        <f>_xlfn.STDEV.P(M39:GJ39)</f>
        <v>1.9452597574588861</v>
      </c>
      <c r="K39" s="3">
        <f>_xlfn.VAR.S(M39:GJ39)</f>
        <v>3.8222581050393991</v>
      </c>
      <c r="M39" s="3">
        <v>17.980215000000001</v>
      </c>
      <c r="N39" s="3">
        <v>19.463522000000001</v>
      </c>
      <c r="O39" s="3">
        <v>22.987289000000001</v>
      </c>
      <c r="P39" s="3">
        <v>18.574086999999999</v>
      </c>
      <c r="Q39" s="3">
        <v>18.057034000000002</v>
      </c>
      <c r="R39" s="3">
        <v>19.239806999999999</v>
      </c>
      <c r="S39" s="3">
        <v>19.097397000000001</v>
      </c>
      <c r="T39" s="3">
        <v>17.327587000000001</v>
      </c>
      <c r="U39" s="3">
        <v>18.360700999999999</v>
      </c>
      <c r="V39" s="3">
        <v>17.823107</v>
      </c>
      <c r="W39" s="3">
        <v>16.992463999999998</v>
      </c>
      <c r="X39" s="3">
        <v>17.643325999999998</v>
      </c>
      <c r="Y39" s="3">
        <v>19.358618</v>
      </c>
      <c r="Z39" s="3">
        <v>26.369854</v>
      </c>
      <c r="AA39" s="3">
        <v>21.722480999999998</v>
      </c>
      <c r="AB39" s="3">
        <v>18.314762000000002</v>
      </c>
      <c r="AC39" s="3">
        <v>16.867819000000001</v>
      </c>
      <c r="AD39" s="3">
        <v>19.392766999999999</v>
      </c>
      <c r="AE39" s="3">
        <v>18.251663000000001</v>
      </c>
      <c r="AF39" s="3">
        <v>17.613755999999999</v>
      </c>
      <c r="AG39" s="3">
        <v>16.985818999999999</v>
      </c>
      <c r="AH39" s="3">
        <v>17.788034</v>
      </c>
      <c r="AI39" s="3">
        <v>19.307198</v>
      </c>
      <c r="AJ39" s="3">
        <v>20.901737000000001</v>
      </c>
      <c r="AK39" s="3">
        <v>17.667325999999999</v>
      </c>
      <c r="AL39" s="3">
        <v>19.750996000000001</v>
      </c>
      <c r="AM39" s="3">
        <v>22.766884000000001</v>
      </c>
      <c r="AN39" s="3">
        <v>18.616215</v>
      </c>
      <c r="AO39" s="3">
        <v>19.877222</v>
      </c>
      <c r="AP39" s="3">
        <v>19.515042999999999</v>
      </c>
      <c r="AQ39" s="3">
        <v>17.305150999999999</v>
      </c>
      <c r="AR39" s="3">
        <v>19.387460999999998</v>
      </c>
      <c r="AS39" s="3">
        <v>18.7822</v>
      </c>
      <c r="AT39" s="3">
        <v>19.425121000000001</v>
      </c>
      <c r="AU39" s="3">
        <v>21.549897999999999</v>
      </c>
      <c r="AV39" s="3">
        <v>19.377583000000001</v>
      </c>
      <c r="AW39" s="3">
        <v>19.915330999999998</v>
      </c>
      <c r="AX39" s="3">
        <v>23.154184000000001</v>
      </c>
      <c r="AY39" s="3">
        <v>18.458770999999999</v>
      </c>
      <c r="AZ39" s="3">
        <v>17.872752999999999</v>
      </c>
      <c r="BA39" s="3">
        <v>17.299181000000001</v>
      </c>
      <c r="BB39" s="3">
        <v>18.447865</v>
      </c>
      <c r="BC39" s="3">
        <v>18.953907000000001</v>
      </c>
      <c r="BD39" s="3">
        <v>21.977990999999999</v>
      </c>
      <c r="BE39" s="3">
        <v>20.210277999999999</v>
      </c>
      <c r="BF39" s="3">
        <v>18.125872000000001</v>
      </c>
      <c r="BG39" s="3">
        <v>19.647760000000002</v>
      </c>
      <c r="BH39" s="3">
        <v>21.348082000000002</v>
      </c>
      <c r="BI39" s="3">
        <v>18.856594000000001</v>
      </c>
      <c r="BJ39" s="3">
        <v>18.585070000000002</v>
      </c>
      <c r="BK39" s="3">
        <v>15.714012</v>
      </c>
      <c r="BL39" s="3">
        <v>15.349881</v>
      </c>
      <c r="BM39" s="3">
        <v>18.543983000000001</v>
      </c>
      <c r="BN39" s="3">
        <v>18.437781999999999</v>
      </c>
      <c r="BO39" s="3">
        <v>20.112901999999998</v>
      </c>
      <c r="BP39" s="3">
        <v>18.147497000000001</v>
      </c>
      <c r="BQ39" s="3">
        <v>17.037673999999999</v>
      </c>
      <c r="BR39" s="3">
        <v>19.421078000000001</v>
      </c>
      <c r="BS39" s="3">
        <v>19.336718000000001</v>
      </c>
      <c r="BT39" s="3">
        <v>16.786035999999999</v>
      </c>
      <c r="BU39" s="3">
        <v>19.288111000000001</v>
      </c>
      <c r="BV39" s="3">
        <v>17.672359</v>
      </c>
      <c r="BW39" s="3">
        <v>18.711169999999999</v>
      </c>
      <c r="BX39" s="3">
        <v>25.652228999999998</v>
      </c>
      <c r="BY39" s="3">
        <v>17.248363000000001</v>
      </c>
      <c r="BZ39" s="3">
        <v>19.539262999999998</v>
      </c>
      <c r="CA39" s="3">
        <v>18.613821000000002</v>
      </c>
      <c r="CB39" s="3">
        <v>17.015613999999999</v>
      </c>
      <c r="CC39" s="3">
        <v>18.933244999999999</v>
      </c>
      <c r="CD39" s="3">
        <v>17.839324999999999</v>
      </c>
      <c r="CE39" s="3">
        <v>15.803115</v>
      </c>
      <c r="CF39" s="3">
        <v>18.356981000000001</v>
      </c>
      <c r="CG39" s="3">
        <v>18.340350999999998</v>
      </c>
      <c r="CH39" s="3">
        <v>17.750187</v>
      </c>
      <c r="CI39" s="3">
        <v>19.104331999999999</v>
      </c>
      <c r="CJ39" s="3">
        <v>16.170929000000001</v>
      </c>
      <c r="CK39" s="3">
        <v>19.744682000000001</v>
      </c>
      <c r="CL39" s="3">
        <v>16.088464999999999</v>
      </c>
      <c r="CM39" s="3">
        <v>16.949625000000001</v>
      </c>
      <c r="CN39" s="3">
        <v>24.539090999999999</v>
      </c>
      <c r="CO39" s="3">
        <v>18.169867</v>
      </c>
      <c r="CP39" s="3">
        <v>16.384803999999999</v>
      </c>
      <c r="CQ39" s="3">
        <v>16.641006000000001</v>
      </c>
      <c r="CR39" s="3">
        <v>18.956434000000002</v>
      </c>
      <c r="CS39" s="3">
        <v>16.450809</v>
      </c>
      <c r="CT39" s="3">
        <v>19.074498999999999</v>
      </c>
      <c r="CU39" s="3">
        <v>16.963965999999999</v>
      </c>
      <c r="CV39" s="3">
        <v>18.52862</v>
      </c>
      <c r="CW39" s="3">
        <v>21.413193</v>
      </c>
      <c r="CX39" s="3">
        <v>20.593176</v>
      </c>
      <c r="CY39" s="3">
        <v>17.024908</v>
      </c>
      <c r="CZ39" s="3">
        <v>18.23366</v>
      </c>
      <c r="DA39" s="3">
        <v>18.494226000000001</v>
      </c>
      <c r="DB39" s="3">
        <v>18.156915999999999</v>
      </c>
      <c r="DC39" s="3">
        <v>17.227810000000002</v>
      </c>
      <c r="DD39" s="3">
        <v>20.2346</v>
      </c>
      <c r="DE39" s="3">
        <v>18.292266999999999</v>
      </c>
      <c r="DF39" s="3">
        <v>16.584795</v>
      </c>
      <c r="DG39" s="3">
        <v>20.306453999999999</v>
      </c>
      <c r="DH39" s="3">
        <v>19.666758999999999</v>
      </c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30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27</v>
      </c>
      <c r="D41" t="s">
        <v>9</v>
      </c>
      <c r="E41" t="s">
        <v>6</v>
      </c>
      <c r="F41">
        <f>COUNT(M41:GJ41)</f>
        <v>100</v>
      </c>
      <c r="G41" s="3">
        <f>AVERAGE(M41:GJ41)</f>
        <v>11.035025190000006</v>
      </c>
      <c r="H41" s="3">
        <f>MAX(M41:GJ41)</f>
        <v>15.23799</v>
      </c>
      <c r="I41" s="3">
        <f>MIN(M41:GJ41)</f>
        <v>8.2805409999999995</v>
      </c>
      <c r="J41" s="3">
        <f>_xlfn.STDEV.P(M41:GJ41)</f>
        <v>1.4722860101609756</v>
      </c>
      <c r="K41" s="3">
        <f>_xlfn.VAR.S(M41:GJ41)</f>
        <v>2.1895213088037697</v>
      </c>
      <c r="M41" s="3">
        <v>10.018777999999999</v>
      </c>
      <c r="N41" s="3">
        <v>13.929918000000001</v>
      </c>
      <c r="O41" s="3">
        <v>10.079094</v>
      </c>
      <c r="P41" s="3">
        <v>12.047259</v>
      </c>
      <c r="Q41" s="3">
        <v>12.333181</v>
      </c>
      <c r="R41" s="3">
        <v>13.65626</v>
      </c>
      <c r="S41" s="3">
        <v>11.530557999999999</v>
      </c>
      <c r="T41" s="3">
        <v>13.255992000000001</v>
      </c>
      <c r="U41" s="3">
        <v>11.636888000000001</v>
      </c>
      <c r="V41" s="3">
        <v>11.561840999999999</v>
      </c>
      <c r="W41" s="3">
        <v>10.376120999999999</v>
      </c>
      <c r="X41" s="3">
        <v>8.3965219999999992</v>
      </c>
      <c r="Y41" s="3">
        <v>9.3322459999999996</v>
      </c>
      <c r="Z41" s="3">
        <v>8.8023749999999996</v>
      </c>
      <c r="AA41" s="3">
        <v>12.681077</v>
      </c>
      <c r="AB41" s="3">
        <v>11.777517</v>
      </c>
      <c r="AC41" s="3">
        <v>12.121339000000001</v>
      </c>
      <c r="AD41" s="3">
        <v>10.732423000000001</v>
      </c>
      <c r="AE41" s="3">
        <v>11.111667000000001</v>
      </c>
      <c r="AF41" s="3">
        <v>11.860137</v>
      </c>
      <c r="AG41" s="3">
        <v>12.03693</v>
      </c>
      <c r="AH41" s="3">
        <v>11.246798999999999</v>
      </c>
      <c r="AI41" s="3">
        <v>13.274137</v>
      </c>
      <c r="AJ41" s="3">
        <v>11.146791</v>
      </c>
      <c r="AK41" s="3">
        <v>9.8509980000000006</v>
      </c>
      <c r="AL41" s="3">
        <v>10.081721999999999</v>
      </c>
      <c r="AM41" s="3">
        <v>15.23799</v>
      </c>
      <c r="AN41" s="3">
        <v>11.575827</v>
      </c>
      <c r="AO41" s="3">
        <v>10.855377000000001</v>
      </c>
      <c r="AP41" s="3">
        <v>10.349989000000001</v>
      </c>
      <c r="AQ41" s="3">
        <v>12.172586000000001</v>
      </c>
      <c r="AR41" s="3">
        <v>9.4034519999999997</v>
      </c>
      <c r="AS41" s="3">
        <v>9.7313310000000008</v>
      </c>
      <c r="AT41" s="3">
        <v>9.9997939999999996</v>
      </c>
      <c r="AU41" s="3">
        <v>9.6974689999999999</v>
      </c>
      <c r="AV41" s="3">
        <v>9.6309819999999995</v>
      </c>
      <c r="AW41" s="3">
        <v>9.8876600000000003</v>
      </c>
      <c r="AX41" s="3">
        <v>8.2805409999999995</v>
      </c>
      <c r="AY41" s="3">
        <v>11.351521</v>
      </c>
      <c r="AZ41" s="3">
        <v>12.169218000000001</v>
      </c>
      <c r="BA41" s="3">
        <v>10.953775</v>
      </c>
      <c r="BB41" s="3">
        <v>12.83616</v>
      </c>
      <c r="BC41" s="3">
        <v>9.3036530000000006</v>
      </c>
      <c r="BD41" s="3">
        <v>9.4000749999999993</v>
      </c>
      <c r="BE41" s="3">
        <v>13.912737999999999</v>
      </c>
      <c r="BF41" s="3">
        <v>11.875359</v>
      </c>
      <c r="BG41" s="3">
        <v>12.258743000000001</v>
      </c>
      <c r="BH41" s="3">
        <v>10.284717000000001</v>
      </c>
      <c r="BI41" s="3">
        <v>11.081920999999999</v>
      </c>
      <c r="BJ41" s="3">
        <v>12.220751</v>
      </c>
      <c r="BK41" s="3">
        <v>11.005447</v>
      </c>
      <c r="BL41" s="3">
        <v>11.180191000000001</v>
      </c>
      <c r="BM41" s="3">
        <v>9.8848850000000006</v>
      </c>
      <c r="BN41" s="3">
        <v>9.8467549999999999</v>
      </c>
      <c r="BO41" s="3">
        <v>11.143719000000001</v>
      </c>
      <c r="BP41" s="3">
        <v>12.880566999999999</v>
      </c>
      <c r="BQ41" s="3">
        <v>10.205674999999999</v>
      </c>
      <c r="BR41" s="3">
        <v>12.682024</v>
      </c>
      <c r="BS41" s="3">
        <v>10.845761</v>
      </c>
      <c r="BT41" s="3">
        <v>11.087361</v>
      </c>
      <c r="BU41" s="3">
        <v>9.5071329999999996</v>
      </c>
      <c r="BV41" s="3">
        <v>12.669185000000001</v>
      </c>
      <c r="BW41" s="3">
        <v>14.501861999999999</v>
      </c>
      <c r="BX41" s="3">
        <v>10.739907000000001</v>
      </c>
      <c r="BY41" s="3">
        <v>13.184941</v>
      </c>
      <c r="BZ41" s="3">
        <v>11.553314</v>
      </c>
      <c r="CA41" s="3">
        <v>12.031138</v>
      </c>
      <c r="CB41" s="3">
        <v>11.711987000000001</v>
      </c>
      <c r="CC41" s="3">
        <v>9.5511090000000003</v>
      </c>
      <c r="CD41" s="3">
        <v>11.640040000000001</v>
      </c>
      <c r="CE41" s="3">
        <v>9.6482510000000001</v>
      </c>
      <c r="CF41" s="3">
        <v>9.3638119999999994</v>
      </c>
      <c r="CG41" s="3">
        <v>9.4839350000000007</v>
      </c>
      <c r="CH41" s="3">
        <v>10.396501000000001</v>
      </c>
      <c r="CI41" s="3">
        <v>9.0665420000000001</v>
      </c>
      <c r="CJ41" s="3">
        <v>9.6410920000000004</v>
      </c>
      <c r="CK41" s="3">
        <v>9.4610450000000004</v>
      </c>
      <c r="CL41" s="3">
        <v>10.048588000000001</v>
      </c>
      <c r="CM41" s="3">
        <v>11.475349</v>
      </c>
      <c r="CN41" s="3">
        <v>12.048344</v>
      </c>
      <c r="CO41" s="3">
        <v>13.495952000000001</v>
      </c>
      <c r="CP41" s="3">
        <v>8.3634070000000005</v>
      </c>
      <c r="CQ41" s="3">
        <v>11.910288</v>
      </c>
      <c r="CR41" s="3">
        <v>9.3596690000000002</v>
      </c>
      <c r="CS41" s="3">
        <v>9.7757509999999996</v>
      </c>
      <c r="CT41" s="3">
        <v>9.9697800000000001</v>
      </c>
      <c r="CU41" s="3">
        <v>8.4150930000000006</v>
      </c>
      <c r="CV41" s="3">
        <v>8.8681339999999995</v>
      </c>
      <c r="CW41" s="3">
        <v>9.4795750000000005</v>
      </c>
      <c r="CX41" s="3">
        <v>14.076775</v>
      </c>
      <c r="CY41" s="3">
        <v>12.054468999999999</v>
      </c>
      <c r="CZ41" s="3">
        <v>11.485087999999999</v>
      </c>
      <c r="DA41" s="3">
        <v>10.411816999999999</v>
      </c>
      <c r="DB41" s="3">
        <v>11.063781000000001</v>
      </c>
      <c r="DC41" s="3">
        <v>12.055781</v>
      </c>
      <c r="DD41" s="3">
        <v>10.941049</v>
      </c>
      <c r="DE41" s="3">
        <v>11.822032999999999</v>
      </c>
      <c r="DF41" s="3">
        <v>9.8250679999999999</v>
      </c>
      <c r="DG41" s="3">
        <v>11.580404</v>
      </c>
      <c r="DH41" s="3">
        <v>10.711945999999999</v>
      </c>
      <c r="DI41" s="3"/>
      <c r="DJ41" s="3"/>
      <c r="DK41" s="3"/>
      <c r="DN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7</v>
      </c>
      <c r="E43" t="s">
        <v>6</v>
      </c>
      <c r="F43">
        <f>COUNT(M43:GJ43)</f>
        <v>100</v>
      </c>
      <c r="G43" s="3">
        <f>AVERAGE(M43:GJ43)</f>
        <v>16.339349920000004</v>
      </c>
      <c r="H43" s="3">
        <f>MAX(M43:GJ43)</f>
        <v>18.933395000000001</v>
      </c>
      <c r="I43" s="3">
        <f>MIN(M43:GJ43)</f>
        <v>12.956818</v>
      </c>
      <c r="J43" s="3">
        <f>_xlfn.STDEV.P(M43:GJ43)</f>
        <v>1.1209283355794937</v>
      </c>
      <c r="K43" s="3">
        <f>_xlfn.VAR.S(M43:GJ43)</f>
        <v>1.2691720540454685</v>
      </c>
      <c r="M43" s="3">
        <v>15.79387</v>
      </c>
      <c r="N43" s="3">
        <v>15.864223000000001</v>
      </c>
      <c r="O43" s="3">
        <v>17.807461</v>
      </c>
      <c r="P43" s="3">
        <v>13.877034999999999</v>
      </c>
      <c r="Q43" s="3">
        <v>17.042079999999999</v>
      </c>
      <c r="R43" s="3">
        <v>15.364763999999999</v>
      </c>
      <c r="S43" s="3">
        <v>16.416491000000001</v>
      </c>
      <c r="T43" s="3">
        <v>15.399450999999999</v>
      </c>
      <c r="U43" s="3">
        <v>15.145087999999999</v>
      </c>
      <c r="V43" s="3">
        <v>15.366687000000001</v>
      </c>
      <c r="W43" s="3">
        <v>16.014171999999999</v>
      </c>
      <c r="X43" s="3">
        <v>18.399525000000001</v>
      </c>
      <c r="Y43" s="3">
        <v>16.842915999999999</v>
      </c>
      <c r="Z43" s="3">
        <v>17.339915999999999</v>
      </c>
      <c r="AA43" s="3">
        <v>16.813556999999999</v>
      </c>
      <c r="AB43" s="3">
        <v>16.736031000000001</v>
      </c>
      <c r="AC43" s="3">
        <v>15.546232</v>
      </c>
      <c r="AD43" s="3">
        <v>14.817513999999999</v>
      </c>
      <c r="AE43" s="3">
        <v>17.091379</v>
      </c>
      <c r="AF43" s="3">
        <v>15.056626</v>
      </c>
      <c r="AG43" s="3">
        <v>15.705824</v>
      </c>
      <c r="AH43" s="3">
        <v>12.956818</v>
      </c>
      <c r="AI43" s="3">
        <v>15.756303000000001</v>
      </c>
      <c r="AJ43" s="3">
        <v>17.162369000000002</v>
      </c>
      <c r="AK43" s="3">
        <v>16.106821</v>
      </c>
      <c r="AL43" s="3">
        <v>17.307205</v>
      </c>
      <c r="AM43" s="3">
        <v>17.285153999999999</v>
      </c>
      <c r="AN43" s="3">
        <v>15.274874000000001</v>
      </c>
      <c r="AO43" s="3">
        <v>16.211144999999998</v>
      </c>
      <c r="AP43" s="3">
        <v>16.806388999999999</v>
      </c>
      <c r="AQ43" s="3">
        <v>16.851046</v>
      </c>
      <c r="AR43" s="3">
        <v>16.676511999999999</v>
      </c>
      <c r="AS43" s="3">
        <v>15.59432</v>
      </c>
      <c r="AT43" s="3">
        <v>17.637212999999999</v>
      </c>
      <c r="AU43" s="3">
        <v>15.720078000000001</v>
      </c>
      <c r="AV43" s="3">
        <v>16.851095000000001</v>
      </c>
      <c r="AW43" s="3">
        <v>16.972435000000001</v>
      </c>
      <c r="AX43" s="3">
        <v>15.193049</v>
      </c>
      <c r="AY43" s="3">
        <v>16.322935000000001</v>
      </c>
      <c r="AZ43" s="3">
        <v>16.494734000000001</v>
      </c>
      <c r="BA43" s="3">
        <v>16.486794</v>
      </c>
      <c r="BB43" s="3">
        <v>17.879670999999998</v>
      </c>
      <c r="BC43" s="3">
        <v>14.922057000000001</v>
      </c>
      <c r="BD43" s="3">
        <v>17.700520999999998</v>
      </c>
      <c r="BE43" s="3">
        <v>16.537323000000001</v>
      </c>
      <c r="BF43" s="3">
        <v>17.374153</v>
      </c>
      <c r="BG43" s="3">
        <v>15.597052</v>
      </c>
      <c r="BH43" s="3">
        <v>16.609908999999998</v>
      </c>
      <c r="BI43" s="3">
        <v>15.275112</v>
      </c>
      <c r="BJ43" s="3">
        <v>18.121486999999998</v>
      </c>
      <c r="BK43" s="3">
        <v>14.822047</v>
      </c>
      <c r="BL43" s="3">
        <v>16.865704999999998</v>
      </c>
      <c r="BM43" s="3">
        <v>17.337229000000001</v>
      </c>
      <c r="BN43" s="3">
        <v>16.328959999999999</v>
      </c>
      <c r="BO43" s="3">
        <v>15.997719</v>
      </c>
      <c r="BP43" s="3">
        <v>17.003921999999999</v>
      </c>
      <c r="BQ43" s="3">
        <v>16.383382999999998</v>
      </c>
      <c r="BR43" s="3">
        <v>16.523588</v>
      </c>
      <c r="BS43" s="3">
        <v>13.705313</v>
      </c>
      <c r="BT43" s="3">
        <v>15.002786</v>
      </c>
      <c r="BU43" s="3">
        <v>18.904015999999999</v>
      </c>
      <c r="BV43" s="3">
        <v>17.943987</v>
      </c>
      <c r="BW43" s="3">
        <v>18.933395000000001</v>
      </c>
      <c r="BX43" s="3">
        <v>16.202141000000001</v>
      </c>
      <c r="BY43" s="3">
        <v>18.045667999999999</v>
      </c>
      <c r="BZ43" s="3">
        <v>15.831967000000001</v>
      </c>
      <c r="CA43" s="3">
        <v>15.139797</v>
      </c>
      <c r="CB43" s="3">
        <v>17.006951999999998</v>
      </c>
      <c r="CC43" s="3">
        <v>15.543449000000001</v>
      </c>
      <c r="CD43" s="3">
        <v>18.079139999999999</v>
      </c>
      <c r="CE43" s="3">
        <v>14.740705</v>
      </c>
      <c r="CF43" s="3">
        <v>16.680008000000001</v>
      </c>
      <c r="CG43" s="3">
        <v>16.438745000000001</v>
      </c>
      <c r="CH43" s="3">
        <v>17.543994999999999</v>
      </c>
      <c r="CI43" s="3">
        <v>16.190598000000001</v>
      </c>
      <c r="CJ43" s="3">
        <v>15.088545999999999</v>
      </c>
      <c r="CK43" s="3">
        <v>14.71557</v>
      </c>
      <c r="CL43" s="3">
        <v>18.186240999999999</v>
      </c>
      <c r="CM43" s="3">
        <v>16.601938000000001</v>
      </c>
      <c r="CN43" s="3">
        <v>18.402111000000001</v>
      </c>
      <c r="CO43" s="3">
        <v>16.908519999999999</v>
      </c>
      <c r="CP43" s="3">
        <v>16.631754000000001</v>
      </c>
      <c r="CQ43" s="3">
        <v>15.310162999999999</v>
      </c>
      <c r="CR43" s="3">
        <v>16.577976</v>
      </c>
      <c r="CS43" s="3">
        <v>14.890247</v>
      </c>
      <c r="CT43" s="3">
        <v>15.555066</v>
      </c>
      <c r="CU43" s="3">
        <v>17.202213</v>
      </c>
      <c r="CV43" s="3">
        <v>15.889811</v>
      </c>
      <c r="CW43" s="3">
        <v>16.404817999999999</v>
      </c>
      <c r="CX43" s="3">
        <v>16.465857</v>
      </c>
      <c r="CY43" s="3">
        <v>17.338642</v>
      </c>
      <c r="CZ43" s="3">
        <v>14.261044999999999</v>
      </c>
      <c r="DA43" s="3">
        <v>15.489198</v>
      </c>
      <c r="DB43" s="3">
        <v>16.751795000000001</v>
      </c>
      <c r="DC43" s="3">
        <v>15.097006</v>
      </c>
      <c r="DD43" s="3">
        <v>16.881067000000002</v>
      </c>
      <c r="DE43" s="3">
        <v>16.356833999999999</v>
      </c>
      <c r="DF43" s="3">
        <v>17.089663999999999</v>
      </c>
      <c r="DG43" s="3">
        <v>15.930408999999999</v>
      </c>
      <c r="DH43" s="3">
        <v>16.587869999999999</v>
      </c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10</v>
      </c>
      <c r="E45" t="s">
        <v>6</v>
      </c>
      <c r="F45">
        <f>COUNT(M45:GJ45)</f>
        <v>100</v>
      </c>
      <c r="G45" s="3">
        <f>AVERAGE(M45:GJ45)</f>
        <v>15.580991189999997</v>
      </c>
      <c r="H45" s="3">
        <f>MAX(M45:GJ45)</f>
        <v>18.153262999999999</v>
      </c>
      <c r="I45" s="3">
        <f>MIN(M45:GJ45)</f>
        <v>13.401090999999999</v>
      </c>
      <c r="J45" s="3">
        <f>_xlfn.STDEV.P(M45:GJ45)</f>
        <v>1.1409853822726801</v>
      </c>
      <c r="K45" s="3">
        <f>_xlfn.VAR.S(M45:GJ45)</f>
        <v>1.3149976187474077</v>
      </c>
      <c r="M45" s="3">
        <v>14.545669</v>
      </c>
      <c r="N45" s="3">
        <v>15.204677</v>
      </c>
      <c r="O45" s="3">
        <v>14.075811</v>
      </c>
      <c r="P45" s="3">
        <v>14.383800000000001</v>
      </c>
      <c r="Q45" s="3">
        <v>16.321722000000001</v>
      </c>
      <c r="R45" s="3">
        <v>14.791567000000001</v>
      </c>
      <c r="S45" s="3">
        <v>17.439491</v>
      </c>
      <c r="T45" s="3">
        <v>14.78471</v>
      </c>
      <c r="U45" s="3">
        <v>15.728902</v>
      </c>
      <c r="V45" s="3">
        <v>17.643892000000001</v>
      </c>
      <c r="W45" s="3">
        <v>15.750603</v>
      </c>
      <c r="X45" s="3">
        <v>16.878112999999999</v>
      </c>
      <c r="Y45" s="3">
        <v>17.948328</v>
      </c>
      <c r="Z45" s="3">
        <v>13.623469</v>
      </c>
      <c r="AA45" s="3">
        <v>13.401090999999999</v>
      </c>
      <c r="AB45" s="3">
        <v>16.763059999999999</v>
      </c>
      <c r="AC45" s="3">
        <v>15.129082</v>
      </c>
      <c r="AD45" s="3">
        <v>15.902941999999999</v>
      </c>
      <c r="AE45" s="3">
        <v>17.545072999999999</v>
      </c>
      <c r="AF45" s="3">
        <v>16.187456000000001</v>
      </c>
      <c r="AG45" s="3">
        <v>14.378622999999999</v>
      </c>
      <c r="AH45" s="3">
        <v>16.557836999999999</v>
      </c>
      <c r="AI45" s="3">
        <v>14.038698</v>
      </c>
      <c r="AJ45" s="3">
        <v>16.039898000000001</v>
      </c>
      <c r="AK45" s="3">
        <v>14.650271999999999</v>
      </c>
      <c r="AL45" s="3">
        <v>17.009664999999998</v>
      </c>
      <c r="AM45" s="3">
        <v>15.074928</v>
      </c>
      <c r="AN45" s="3">
        <v>15.823724</v>
      </c>
      <c r="AO45" s="3">
        <v>16.401337000000002</v>
      </c>
      <c r="AP45" s="3">
        <v>14.068796000000001</v>
      </c>
      <c r="AQ45" s="3">
        <v>14.347492000000001</v>
      </c>
      <c r="AR45" s="3">
        <v>14.525247</v>
      </c>
      <c r="AS45" s="3">
        <v>16.062926999999998</v>
      </c>
      <c r="AT45" s="3">
        <v>16.812055999999998</v>
      </c>
      <c r="AU45" s="3">
        <v>15.798417000000001</v>
      </c>
      <c r="AV45" s="3">
        <v>14.270422999999999</v>
      </c>
      <c r="AW45" s="3">
        <v>15.662315</v>
      </c>
      <c r="AX45" s="3">
        <v>17.196404000000001</v>
      </c>
      <c r="AY45" s="3">
        <v>16.924322</v>
      </c>
      <c r="AZ45" s="3">
        <v>14.748248</v>
      </c>
      <c r="BA45" s="3">
        <v>14.788157</v>
      </c>
      <c r="BB45" s="3">
        <v>16.191174</v>
      </c>
      <c r="BC45" s="3">
        <v>16.096914000000002</v>
      </c>
      <c r="BD45" s="3">
        <v>15.243479000000001</v>
      </c>
      <c r="BE45" s="3">
        <v>16.782859999999999</v>
      </c>
      <c r="BF45" s="3">
        <v>16.695007</v>
      </c>
      <c r="BG45" s="3">
        <v>13.595783000000001</v>
      </c>
      <c r="BH45" s="3">
        <v>15.855432</v>
      </c>
      <c r="BI45" s="3">
        <v>16.328458999999999</v>
      </c>
      <c r="BJ45" s="3">
        <v>16.620493</v>
      </c>
      <c r="BK45" s="3">
        <v>14.464912999999999</v>
      </c>
      <c r="BL45" s="3">
        <v>15.411402000000001</v>
      </c>
      <c r="BM45" s="3">
        <v>15.591748000000001</v>
      </c>
      <c r="BN45" s="3">
        <v>15.7766</v>
      </c>
      <c r="BO45" s="3">
        <v>15.516249</v>
      </c>
      <c r="BP45" s="3">
        <v>13.976203999999999</v>
      </c>
      <c r="BQ45" s="3">
        <v>17.397342999999999</v>
      </c>
      <c r="BR45" s="3">
        <v>14.980842000000001</v>
      </c>
      <c r="BS45" s="3">
        <v>15.003485</v>
      </c>
      <c r="BT45" s="3">
        <v>16.420774000000002</v>
      </c>
      <c r="BU45" s="3">
        <v>15.094319</v>
      </c>
      <c r="BV45" s="3">
        <v>15.816401000000001</v>
      </c>
      <c r="BW45" s="3">
        <v>14.888840999999999</v>
      </c>
      <c r="BX45" s="3">
        <v>15.628517</v>
      </c>
      <c r="BY45" s="3">
        <v>13.589316</v>
      </c>
      <c r="BZ45" s="3">
        <v>16.402692999999999</v>
      </c>
      <c r="CA45" s="3">
        <v>14.493259</v>
      </c>
      <c r="CB45" s="3">
        <v>15.945421</v>
      </c>
      <c r="CC45" s="3">
        <v>15.019583000000001</v>
      </c>
      <c r="CD45" s="3">
        <v>15.928281999999999</v>
      </c>
      <c r="CE45" s="3">
        <v>16.619956999999999</v>
      </c>
      <c r="CF45" s="3">
        <v>18.153262999999999</v>
      </c>
      <c r="CG45" s="3">
        <v>15.323591</v>
      </c>
      <c r="CH45" s="3">
        <v>17.213638</v>
      </c>
      <c r="CI45" s="3">
        <v>14.393216000000001</v>
      </c>
      <c r="CJ45" s="3">
        <v>16.130524000000001</v>
      </c>
      <c r="CK45" s="3">
        <v>15.847079000000001</v>
      </c>
      <c r="CL45" s="3">
        <v>14.288543000000001</v>
      </c>
      <c r="CM45" s="3">
        <v>15.452538000000001</v>
      </c>
      <c r="CN45" s="3">
        <v>15.154245</v>
      </c>
      <c r="CO45" s="3">
        <v>14.872366</v>
      </c>
      <c r="CP45" s="3">
        <v>14.611878000000001</v>
      </c>
      <c r="CQ45" s="3">
        <v>14.546958999999999</v>
      </c>
      <c r="CR45" s="3">
        <v>15.318289</v>
      </c>
      <c r="CS45" s="3">
        <v>14.265796</v>
      </c>
      <c r="CT45" s="3">
        <v>13.989924999999999</v>
      </c>
      <c r="CU45" s="3">
        <v>15.902029000000001</v>
      </c>
      <c r="CV45" s="3">
        <v>17.197047999999999</v>
      </c>
      <c r="CW45" s="3">
        <v>17.877941</v>
      </c>
      <c r="CX45" s="3">
        <v>15.033673</v>
      </c>
      <c r="CY45" s="3">
        <v>16.903283999999999</v>
      </c>
      <c r="CZ45" s="3">
        <v>13.979422</v>
      </c>
      <c r="DA45" s="3">
        <v>15.73197</v>
      </c>
      <c r="DB45" s="3">
        <v>15.363046000000001</v>
      </c>
      <c r="DC45" s="3">
        <v>16.708411999999999</v>
      </c>
      <c r="DD45" s="3">
        <v>17.801749999999998</v>
      </c>
      <c r="DE45" s="3">
        <v>15.045940999999999</v>
      </c>
      <c r="DF45" s="3">
        <v>14.350754999999999</v>
      </c>
      <c r="DG45" s="3">
        <v>16.389692</v>
      </c>
      <c r="DH45" s="3">
        <v>13.647311999999999</v>
      </c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11</v>
      </c>
      <c r="E47" t="s">
        <v>6</v>
      </c>
      <c r="F47">
        <f>COUNT(M47:GJ47)</f>
        <v>100</v>
      </c>
      <c r="G47" s="3">
        <f>AVERAGE(M47:GJ47)</f>
        <v>16.731385960000004</v>
      </c>
      <c r="H47" s="3">
        <f>MAX(M47:GJ47)</f>
        <v>20.465536</v>
      </c>
      <c r="I47" s="3">
        <f>MIN(M47:GJ47)</f>
        <v>13.671493</v>
      </c>
      <c r="J47" s="3">
        <f>_xlfn.STDEV.P(M47:GJ47)</f>
        <v>1.417498235521766</v>
      </c>
      <c r="K47" s="3">
        <f>_xlfn.VAR.S(M47:GJ47)</f>
        <v>2.0295972199063836</v>
      </c>
      <c r="M47" s="3">
        <v>15.560015999999999</v>
      </c>
      <c r="N47" s="3">
        <v>19.043177</v>
      </c>
      <c r="O47" s="3">
        <v>15.085260999999999</v>
      </c>
      <c r="P47" s="3">
        <v>15.164567999999999</v>
      </c>
      <c r="Q47" s="3">
        <v>15.290117</v>
      </c>
      <c r="R47" s="3">
        <v>17.728254</v>
      </c>
      <c r="S47" s="3">
        <v>16.757021000000002</v>
      </c>
      <c r="T47" s="3">
        <v>17.931502999999999</v>
      </c>
      <c r="U47" s="3">
        <v>18.186747</v>
      </c>
      <c r="V47" s="3">
        <v>18.595081</v>
      </c>
      <c r="W47" s="3">
        <v>16.240777999999999</v>
      </c>
      <c r="X47" s="3">
        <v>18.706579000000001</v>
      </c>
      <c r="Y47" s="3">
        <v>18.173877999999998</v>
      </c>
      <c r="Z47" s="3">
        <v>14.361927</v>
      </c>
      <c r="AA47" s="3">
        <v>14.329414</v>
      </c>
      <c r="AB47" s="3">
        <v>15.066895000000001</v>
      </c>
      <c r="AC47" s="3">
        <v>15.135756000000001</v>
      </c>
      <c r="AD47" s="3">
        <v>15.358435</v>
      </c>
      <c r="AE47" s="3">
        <v>16.988564</v>
      </c>
      <c r="AF47" s="3">
        <v>16.701543999999998</v>
      </c>
      <c r="AG47" s="3">
        <v>15.975733999999999</v>
      </c>
      <c r="AH47" s="3">
        <v>15.260312000000001</v>
      </c>
      <c r="AI47" s="3">
        <v>15.510634</v>
      </c>
      <c r="AJ47" s="3">
        <v>17.161711</v>
      </c>
      <c r="AK47" s="3">
        <v>17.852304</v>
      </c>
      <c r="AL47" s="3">
        <v>15.423876</v>
      </c>
      <c r="AM47" s="3">
        <v>17.309549000000001</v>
      </c>
      <c r="AN47" s="3">
        <v>17.485073</v>
      </c>
      <c r="AO47" s="3">
        <v>15.745428</v>
      </c>
      <c r="AP47" s="3">
        <v>16.29101</v>
      </c>
      <c r="AQ47" s="3">
        <v>19.181587</v>
      </c>
      <c r="AR47" s="3">
        <v>16.645664</v>
      </c>
      <c r="AS47" s="3">
        <v>18.149044</v>
      </c>
      <c r="AT47" s="3">
        <v>16.108274000000002</v>
      </c>
      <c r="AU47" s="3">
        <v>17.739768999999999</v>
      </c>
      <c r="AV47" s="3">
        <v>15.777227</v>
      </c>
      <c r="AW47" s="3">
        <v>19.539522000000002</v>
      </c>
      <c r="AX47" s="3">
        <v>20.465536</v>
      </c>
      <c r="AY47" s="3">
        <v>16.430885</v>
      </c>
      <c r="AZ47" s="3">
        <v>13.671493</v>
      </c>
      <c r="BA47" s="3">
        <v>19.434273000000001</v>
      </c>
      <c r="BB47" s="3">
        <v>16.130870999999999</v>
      </c>
      <c r="BC47" s="3">
        <v>18.203503000000001</v>
      </c>
      <c r="BD47" s="3">
        <v>16.723984000000002</v>
      </c>
      <c r="BE47" s="3">
        <v>16.694056</v>
      </c>
      <c r="BF47" s="3">
        <v>14.380663</v>
      </c>
      <c r="BG47" s="3">
        <v>17.543688</v>
      </c>
      <c r="BH47" s="3">
        <v>16.449905000000001</v>
      </c>
      <c r="BI47" s="3">
        <v>16.594609999999999</v>
      </c>
      <c r="BJ47" s="3">
        <v>16.404616999999998</v>
      </c>
      <c r="BK47" s="3">
        <v>16.830241999999998</v>
      </c>
      <c r="BL47" s="3">
        <v>17.794428</v>
      </c>
      <c r="BM47" s="3">
        <v>15.242361000000001</v>
      </c>
      <c r="BN47" s="3">
        <v>15.892329</v>
      </c>
      <c r="BO47" s="3">
        <v>17.160526000000001</v>
      </c>
      <c r="BP47" s="3">
        <v>15.212382</v>
      </c>
      <c r="BQ47" s="3">
        <v>15.774448</v>
      </c>
      <c r="BR47" s="3">
        <v>19.575168999999999</v>
      </c>
      <c r="BS47" s="3">
        <v>16.134819</v>
      </c>
      <c r="BT47" s="3">
        <v>19.776779000000001</v>
      </c>
      <c r="BU47" s="3">
        <v>15.872529</v>
      </c>
      <c r="BV47" s="3">
        <v>16.139309000000001</v>
      </c>
      <c r="BW47" s="3">
        <v>18.668223999999999</v>
      </c>
      <c r="BX47" s="3">
        <v>14.387788</v>
      </c>
      <c r="BY47" s="3">
        <v>15.208329000000001</v>
      </c>
      <c r="BZ47" s="3">
        <v>17.482365000000001</v>
      </c>
      <c r="CA47" s="3">
        <v>15.859324000000001</v>
      </c>
      <c r="CB47" s="3">
        <v>16.76754</v>
      </c>
      <c r="CC47" s="3">
        <v>16.055225</v>
      </c>
      <c r="CD47" s="3">
        <v>17.957149999999999</v>
      </c>
      <c r="CE47" s="3">
        <v>15.912393</v>
      </c>
      <c r="CF47" s="3">
        <v>18.231867000000001</v>
      </c>
      <c r="CG47" s="3">
        <v>14.483981</v>
      </c>
      <c r="CH47" s="3">
        <v>18.497188999999999</v>
      </c>
      <c r="CI47" s="3">
        <v>17.933233000000001</v>
      </c>
      <c r="CJ47" s="3">
        <v>15.937194999999999</v>
      </c>
      <c r="CK47" s="3">
        <v>18.154199999999999</v>
      </c>
      <c r="CL47" s="3">
        <v>16.225211999999999</v>
      </c>
      <c r="CM47" s="3">
        <v>17.756519000000001</v>
      </c>
      <c r="CN47" s="3">
        <v>16.246344000000001</v>
      </c>
      <c r="CO47" s="3">
        <v>17.752977000000001</v>
      </c>
      <c r="CP47" s="3">
        <v>16.840990000000001</v>
      </c>
      <c r="CQ47" s="3">
        <v>18.833283999999999</v>
      </c>
      <c r="CR47" s="3">
        <v>16.558257999999999</v>
      </c>
      <c r="CS47" s="3">
        <v>18.758306999999999</v>
      </c>
      <c r="CT47" s="3">
        <v>14.214905999999999</v>
      </c>
      <c r="CU47" s="3">
        <v>17.267970999999999</v>
      </c>
      <c r="CV47" s="3">
        <v>18.493842999999998</v>
      </c>
      <c r="CW47" s="3">
        <v>16.259429999999998</v>
      </c>
      <c r="CX47" s="3">
        <v>15.224416</v>
      </c>
      <c r="CY47" s="3">
        <v>16.953662999999999</v>
      </c>
      <c r="CZ47" s="3">
        <v>16.184691999999998</v>
      </c>
      <c r="DA47" s="3">
        <v>16.918773999999999</v>
      </c>
      <c r="DB47" s="3">
        <v>15.895905000000001</v>
      </c>
      <c r="DC47" s="3">
        <v>16.829146999999999</v>
      </c>
      <c r="DD47" s="3">
        <v>15.198506999999999</v>
      </c>
      <c r="DE47" s="3">
        <v>16.860796000000001</v>
      </c>
      <c r="DF47" s="3">
        <v>14.952111</v>
      </c>
      <c r="DG47" s="3">
        <v>17.116420999999999</v>
      </c>
      <c r="DH47" s="3">
        <v>16.164482</v>
      </c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9" spans="2:207" x14ac:dyDescent="0.2">
      <c r="D49" s="1"/>
    </row>
    <row r="50" spans="2:207" x14ac:dyDescent="0.2">
      <c r="B50" s="2"/>
      <c r="G50" s="2"/>
      <c r="H50" s="3"/>
      <c r="I50" s="3"/>
      <c r="J50" s="3"/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/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/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 spans="2:207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 spans="2:207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2026-03-05T19:21:42Z</dcterms:modified>
</cp:coreProperties>
</file>