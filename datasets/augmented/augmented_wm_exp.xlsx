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augmented/"/>
    </mc:Choice>
  </mc:AlternateContent>
  <xr:revisionPtr revIDLastSave="0" documentId="13_ncr:1_{5FEB49BC-F9C2-D945-8E12-12F111C14708}" xr6:coauthVersionLast="47" xr6:coauthVersionMax="47" xr10:uidLastSave="{00000000-0000-0000-0000-000000000000}"/>
  <bookViews>
    <workbookView xWindow="1920" yWindow="10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F20" i="1"/>
  <c r="G7" i="1" l="1"/>
  <c r="G6" i="1"/>
  <c r="G9" i="1"/>
  <c r="G8" i="1"/>
  <c r="G10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<sst xmlns="http://schemas.openxmlformats.org/spreadsheetml/2006/main" count="138" uniqueCount="61">
  <si>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</si>
  <si>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</si>
  <si>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</si>
  <si>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</si>
  <si>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</si>
  <si>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</si>
  <si>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</si>
  <si>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</si>
  <si>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</si>
  <si>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</si>
  <si>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</si>
  <si>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</si>
  <si>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</si>
  <si>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</si>
  <si>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</si>
  <si>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</si>
  <si>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</si>
  <si>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</si>
  <si>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</si>
  <si>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</si>
  <si>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</si>
  <si>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</si>
  <si>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</si>
  <si>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</si>
  <si>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</si>
  <si>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</si>
  <si>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</si>
  <si>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</si>
  <si>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</si>
  <si>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</si>
  <si>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</si>
  <si>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</si>
  <si>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</si>
  <si>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</si>
  <si>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</si>
  <si>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</si>
  <si>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</si>
  <si>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</si>
  <si>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</si>
  <si>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</si>
  <si>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</si>
  <si>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</si>
  <si>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</si>
  <si>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</si>
  <si>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</si>
  <si>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</si>
  <si>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train_synthetic: (hh_01)</t>
  </si>
  <si>
    <t>train_synthetic: (hh_04)</t>
  </si>
  <si>
    <t>train_synthetic: (hh_14)</t>
  </si>
  <si>
    <t>train_synthetic: (hh_15)</t>
  </si>
  <si>
    <t>RNN_total</t>
  </si>
  <si>
    <t>WindowGRU_total</t>
  </si>
  <si>
    <t>DAE_total</t>
  </si>
  <si>
    <t>Seq2Seq_total</t>
  </si>
  <si>
    <t>Seq2Point_total</t>
  </si>
  <si>
    <t>start_time': '2024-07-01'</t>
  </si>
  <si>
    <t>end_time': '2024-07-28'</t>
  </si>
  <si>
    <t>MAE_total</t>
  </si>
  <si>
    <t>train: augmented_dataset.h5</t>
  </si>
  <si>
    <t>test_real: test_dataset.h5</t>
  </si>
  <si>
    <t>test_dataset.h5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</si>
</sst>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4"/>
  <sheetViews>
    <sheetView tabSelected="1" workbookViewId="0">
      <selection activeCell="C11" sqref="C11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58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46</v>
      </c>
      <c r="B4" s="2" t="s">
        <v>55</v>
      </c>
      <c r="C4" s="2" t="s">
        <v>56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47</v>
      </c>
      <c r="B5" s="2" t="s">
        <v>55</v>
      </c>
      <c r="C5" s="2" t="s">
        <v>56</v>
      </c>
      <c r="E5" s="2"/>
      <c r="G5" s="5" t="s">
        <v>57</v>
      </c>
      <c r="H5" s="2"/>
      <c r="I5" s="2"/>
      <c r="J5" s="3"/>
      <c r="K5" s="2"/>
      <c r="L5" s="2"/>
    </row>
    <row r="6" spans="1:207" x14ac:dyDescent="0.2">
      <c r="A6" t="s">
        <v>48</v>
      </c>
      <c r="B6" s="2" t="s">
        <v>55</v>
      </c>
      <c r="C6" s="2" t="s">
        <v>56</v>
      </c>
      <c r="E6" s="2"/>
      <c r="F6" t="s">
        <v>50</v>
      </c>
      <c r="G6" s="3">
        <f>SUM(G14,G26,G38,G50,G62,G74,G86)/7</f>
        <v>24.235053988571423</v>
      </c>
      <c r="H6" s="4"/>
      <c r="I6" s="2"/>
      <c r="J6" s="3"/>
      <c r="K6" s="2"/>
      <c r="L6" s="2"/>
    </row>
    <row r="7" spans="1:207" x14ac:dyDescent="0.2">
      <c r="A7" t="s">
        <v>49</v>
      </c>
      <c r="B7" s="2" t="s">
        <v>55</v>
      </c>
      <c r="C7" s="2" t="s">
        <v>56</v>
      </c>
      <c r="E7" s="2"/>
      <c r="F7" t="s">
        <v>51</v>
      </c>
      <c r="G7" s="3">
        <f>SUM(G16,G28,G40,G52,G64,G76,G88)/7</f>
        <v>24.487689375714286</v>
      </c>
      <c r="H7" s="4"/>
      <c r="I7" s="2"/>
      <c r="J7" s="2"/>
      <c r="K7" s="2"/>
      <c r="L7" s="2"/>
    </row>
    <row r="8" spans="1:207" x14ac:dyDescent="0.2">
      <c r="A8" t="s">
        <v>59</v>
      </c>
      <c r="E8" s="2"/>
      <c r="F8" t="s">
        <v>52</v>
      </c>
      <c r="G8" s="3">
        <f>SUM(G18,G30,G42,G54,G66,G78,G90)/7</f>
        <v>28.225805955714289</v>
      </c>
      <c r="H8" s="4"/>
    </row>
    <row r="9" spans="1:207" x14ac:dyDescent="0.2">
      <c r="A9" t="s">
        <v>45</v>
      </c>
      <c r="B9" s="2"/>
      <c r="C9" s="2"/>
      <c r="D9" s="2"/>
      <c r="E9" s="2"/>
      <c r="F9" t="s">
        <v>53</v>
      </c>
      <c r="G9" s="3">
        <f>SUM(G20,G32,G44,G56,G68,G80,G92)/7</f>
        <v>23.377443258571425</v>
      </c>
      <c r="H9" s="4"/>
    </row>
    <row r="10" spans="1:207" x14ac:dyDescent="0.2">
      <c r="A10" t="s">
        <v>7</v>
      </c>
      <c r="F10" t="s">
        <v>54</v>
      </c>
      <c r="G10" s="3">
        <f>SUM(G22,G34,G46,G58,G70,G82,G94)/7</f>
        <v>22.663550910000001</v>
      </c>
      <c r="H10" s="4"/>
    </row>
    <row r="12" spans="1:207" x14ac:dyDescent="0.2">
      <c r="B12" t="s">
        <v>60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14.429842709999994</v>
      </c>
      <c r="H14" s="3">
        <f>MAX(M14:GJ14)</f>
        <v>19.780425999999999</v>
      </c>
      <c r="I14" s="3">
        <f>MIN(M14:GJ14)</f>
        <v>9.4708079999999999</v>
      </c>
      <c r="J14" s="3">
        <f>_xlfn.STDEV.P(M14:GJ14)</f>
        <v>2.2296511339228244</v>
      </c>
      <c r="K14" s="3">
        <f>_xlfn.VAR.S(M14:GJ14)</f>
        <v>5.0215597767710278</v>
      </c>
      <c r="M14" s="3">
        <v>15.279472</v>
      </c>
      <c r="N14" s="3">
        <v>13.070754000000001</v>
      </c>
      <c r="O14" s="3">
        <v>13.658823</v>
      </c>
      <c r="P14" s="3">
        <v>14.218954</v>
      </c>
      <c r="Q14" s="3">
        <v>15.487990999999999</v>
      </c>
      <c r="R14" s="3">
        <v>17.616688</v>
      </c>
      <c r="S14" s="3">
        <v>15.911970999999999</v>
      </c>
      <c r="T14" s="3">
        <v>13.672919</v>
      </c>
      <c r="U14" s="3">
        <v>15.235833</v>
      </c>
      <c r="V14" s="3">
        <v>19.035767</v>
      </c>
      <c r="W14" s="3">
        <v>14.705043999999999</v>
      </c>
      <c r="X14" s="3">
        <v>9.7327370000000002</v>
      </c>
      <c r="Y14" s="3">
        <v>19.220333</v>
      </c>
      <c r="Z14" s="3">
        <v>12.230245999999999</v>
      </c>
      <c r="AA14" s="3">
        <v>13.776202</v>
      </c>
      <c r="AB14" s="3">
        <v>13.492571</v>
      </c>
      <c r="AC14" s="3">
        <v>15.754213</v>
      </c>
      <c r="AD14" s="3">
        <v>11.435337000000001</v>
      </c>
      <c r="AE14" s="3">
        <v>16.558738999999999</v>
      </c>
      <c r="AF14" s="3">
        <v>14.192080000000001</v>
      </c>
      <c r="AG14" s="3">
        <v>17.863541000000001</v>
      </c>
      <c r="AH14" s="3">
        <v>11.833879</v>
      </c>
      <c r="AI14" s="3">
        <v>15.250736</v>
      </c>
      <c r="AJ14" s="3">
        <v>12.874202</v>
      </c>
      <c r="AK14" s="3">
        <v>11.09548</v>
      </c>
      <c r="AL14" s="3">
        <v>14.226967</v>
      </c>
      <c r="AM14" s="3">
        <v>12.71942</v>
      </c>
      <c r="AN14" s="3">
        <v>11.501564</v>
      </c>
      <c r="AO14" s="3">
        <v>14.590140999999999</v>
      </c>
      <c r="AP14" s="3">
        <v>15.188559</v>
      </c>
      <c r="AQ14" s="3">
        <v>11.500238</v>
      </c>
      <c r="AR14" s="3">
        <v>10.783498</v>
      </c>
      <c r="AS14" s="3">
        <v>15.001905000000001</v>
      </c>
      <c r="AT14" s="3">
        <v>19.666678999999998</v>
      </c>
      <c r="AU14" s="3">
        <v>15.697819000000001</v>
      </c>
      <c r="AV14" s="3">
        <v>16.195734000000002</v>
      </c>
      <c r="AW14" s="3">
        <v>14.224244000000001</v>
      </c>
      <c r="AX14" s="3">
        <v>15.442549</v>
      </c>
      <c r="AY14" s="3">
        <v>19.780425999999999</v>
      </c>
      <c r="AZ14" s="3">
        <v>16.675068</v>
      </c>
      <c r="BA14" s="3">
        <v>14.651187</v>
      </c>
      <c r="BB14" s="3">
        <v>12.145942</v>
      </c>
      <c r="BC14" s="3">
        <v>16.838495000000002</v>
      </c>
      <c r="BD14" s="3">
        <v>13.876238000000001</v>
      </c>
      <c r="BE14" s="3">
        <v>13.993274</v>
      </c>
      <c r="BF14" s="3">
        <v>15.857466000000001</v>
      </c>
      <c r="BG14" s="3">
        <v>15.959580000000001</v>
      </c>
      <c r="BH14" s="3">
        <v>16.439036999999999</v>
      </c>
      <c r="BI14" s="3">
        <v>15.852492</v>
      </c>
      <c r="BJ14" s="3">
        <v>15.995654</v>
      </c>
      <c r="BK14" s="3">
        <v>11.080374000000001</v>
      </c>
      <c r="BL14" s="3">
        <v>9.4708079999999999</v>
      </c>
      <c r="BM14" s="3">
        <v>12.844151</v>
      </c>
      <c r="BN14" s="3">
        <v>15.92516</v>
      </c>
      <c r="BO14" s="3">
        <v>14.68721</v>
      </c>
      <c r="BP14" s="3">
        <v>17.125195999999999</v>
      </c>
      <c r="BQ14" s="3">
        <v>15.257237</v>
      </c>
      <c r="BR14" s="3">
        <v>15.077086</v>
      </c>
      <c r="BS14" s="3">
        <v>15.764127</v>
      </c>
      <c r="BT14" s="3">
        <v>16.479769000000001</v>
      </c>
      <c r="BU14" s="3">
        <v>12.038188</v>
      </c>
      <c r="BV14" s="3">
        <v>11.897486000000001</v>
      </c>
      <c r="BW14" s="3">
        <v>14.409342000000001</v>
      </c>
      <c r="BX14" s="3">
        <v>13.900506999999999</v>
      </c>
      <c r="BY14" s="3">
        <v>15.87646</v>
      </c>
      <c r="BZ14" s="3">
        <v>15.368651</v>
      </c>
      <c r="CA14" s="3">
        <v>16.060955</v>
      </c>
      <c r="CB14" s="3">
        <v>10.890568</v>
      </c>
      <c r="CC14" s="3">
        <v>14.244786</v>
      </c>
      <c r="CD14" s="3">
        <v>13.608177</v>
      </c>
      <c r="CE14" s="3">
        <v>13.834766999999999</v>
      </c>
      <c r="CF14" s="3">
        <v>13.632864</v>
      </c>
      <c r="CG14" s="3">
        <v>12.235901999999999</v>
      </c>
      <c r="CH14" s="3">
        <v>16.107771</v>
      </c>
      <c r="CI14" s="3">
        <v>15.823401</v>
      </c>
      <c r="CJ14" s="3">
        <v>12.174602999999999</v>
      </c>
      <c r="CK14" s="3">
        <v>16.862166999999999</v>
      </c>
      <c r="CL14" s="3">
        <v>16.303357999999999</v>
      </c>
      <c r="CM14" s="3">
        <v>15.188654</v>
      </c>
      <c r="CN14" s="3">
        <v>15.795864999999999</v>
      </c>
      <c r="CO14" s="3">
        <v>10.032470999999999</v>
      </c>
      <c r="CP14" s="3">
        <v>12.434438999999999</v>
      </c>
      <c r="CQ14" s="3">
        <v>11.258713</v>
      </c>
      <c r="CR14" s="3">
        <v>14.228251</v>
      </c>
      <c r="CS14" s="3">
        <v>14.190441</v>
      </c>
      <c r="CT14" s="3">
        <v>18.735357</v>
      </c>
      <c r="CU14" s="3">
        <v>9.7618279999999995</v>
      </c>
      <c r="CV14" s="3">
        <v>13.232927</v>
      </c>
      <c r="CW14" s="3">
        <v>10.269743</v>
      </c>
      <c r="CX14" s="3">
        <v>13.162516999999999</v>
      </c>
      <c r="CY14" s="3">
        <v>15.313107</v>
      </c>
      <c r="CZ14" s="3">
        <v>13.145644000000001</v>
      </c>
      <c r="DA14" s="3">
        <v>15.322266000000001</v>
      </c>
      <c r="DB14" s="3">
        <v>14.607354000000001</v>
      </c>
      <c r="DC14" s="3">
        <v>18.075641999999998</v>
      </c>
      <c r="DD14" s="3">
        <v>16.006671999999998</v>
      </c>
      <c r="DE14" s="3">
        <v>12.664346999999999</v>
      </c>
      <c r="DF14" s="3">
        <v>13.640107</v>
      </c>
      <c r="DG14" s="3">
        <v>15.546374999999999</v>
      </c>
      <c r="DH14" s="3">
        <v>13.381792000000001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17.039064740000004</v>
      </c>
      <c r="H16" s="3">
        <f>MAX(M16:GJ16)</f>
        <v>25.992701</v>
      </c>
      <c r="I16" s="3">
        <f>MIN(M16:GJ16)</f>
        <v>10.894242999999999</v>
      </c>
      <c r="J16" s="3">
        <f>_xlfn.STDEV.P(M16:GJ16)</f>
        <v>3.3079420981344563</v>
      </c>
      <c r="K16" s="3">
        <f>_xlfn.VAR.S(M16:GJ16)</f>
        <v>11.053011034959807</v>
      </c>
      <c r="M16" s="3">
        <v>15.210001999999999</v>
      </c>
      <c r="N16" s="3">
        <v>25.992701</v>
      </c>
      <c r="O16" s="3">
        <v>15.342112999999999</v>
      </c>
      <c r="P16" s="3">
        <v>16.017054000000002</v>
      </c>
      <c r="Q16" s="3">
        <v>14.493316</v>
      </c>
      <c r="R16" s="3">
        <v>14.246509</v>
      </c>
      <c r="S16" s="3">
        <v>13.514839</v>
      </c>
      <c r="T16" s="3">
        <v>11.094536</v>
      </c>
      <c r="U16" s="3">
        <v>16.389858</v>
      </c>
      <c r="V16" s="3">
        <v>17.853570999999999</v>
      </c>
      <c r="W16" s="3">
        <v>15.20553</v>
      </c>
      <c r="X16" s="3">
        <v>25.468464000000001</v>
      </c>
      <c r="Y16" s="3">
        <v>16.803470999999998</v>
      </c>
      <c r="Z16" s="3">
        <v>18.290792</v>
      </c>
      <c r="AA16" s="3">
        <v>15.680802999999999</v>
      </c>
      <c r="AB16" s="3">
        <v>15.895123</v>
      </c>
      <c r="AC16" s="3">
        <v>17.111115000000002</v>
      </c>
      <c r="AD16" s="3">
        <v>14.986336</v>
      </c>
      <c r="AE16" s="3">
        <v>14.586762</v>
      </c>
      <c r="AF16" s="3">
        <v>15.036129000000001</v>
      </c>
      <c r="AG16" s="3">
        <v>14.440364000000001</v>
      </c>
      <c r="AH16" s="3">
        <v>23.755649999999999</v>
      </c>
      <c r="AI16" s="3">
        <v>15.131454</v>
      </c>
      <c r="AJ16" s="3">
        <v>17.689267999999998</v>
      </c>
      <c r="AK16" s="3">
        <v>14.329026000000001</v>
      </c>
      <c r="AL16" s="3">
        <v>20.071546999999999</v>
      </c>
      <c r="AM16" s="3">
        <v>17.781303000000001</v>
      </c>
      <c r="AN16" s="3">
        <v>20.537621000000001</v>
      </c>
      <c r="AO16" s="3">
        <v>14.908272999999999</v>
      </c>
      <c r="AP16" s="3">
        <v>15.534427000000001</v>
      </c>
      <c r="AQ16" s="3">
        <v>20.048611000000001</v>
      </c>
      <c r="AR16" s="3">
        <v>21.853441</v>
      </c>
      <c r="AS16" s="3">
        <v>16.833573999999999</v>
      </c>
      <c r="AT16" s="3">
        <v>17.817264999999999</v>
      </c>
      <c r="AU16" s="3">
        <v>15.872108000000001</v>
      </c>
      <c r="AV16" s="3">
        <v>16.603601000000001</v>
      </c>
      <c r="AW16" s="3">
        <v>17.78417</v>
      </c>
      <c r="AX16" s="3">
        <v>16.355277999999998</v>
      </c>
      <c r="AY16" s="3">
        <v>15.997838</v>
      </c>
      <c r="AZ16" s="3">
        <v>16.715821999999999</v>
      </c>
      <c r="BA16" s="3">
        <v>16.571877000000001</v>
      </c>
      <c r="BB16" s="3">
        <v>20.852910999999999</v>
      </c>
      <c r="BC16" s="3">
        <v>16.200823</v>
      </c>
      <c r="BD16" s="3">
        <v>23.741121</v>
      </c>
      <c r="BE16" s="3">
        <v>16.412001</v>
      </c>
      <c r="BF16" s="3">
        <v>16.451118000000001</v>
      </c>
      <c r="BG16" s="3">
        <v>17.312823999999999</v>
      </c>
      <c r="BH16" s="3">
        <v>21.263286999999998</v>
      </c>
      <c r="BI16" s="3">
        <v>14.835374</v>
      </c>
      <c r="BJ16" s="3">
        <v>15.986586000000001</v>
      </c>
      <c r="BK16" s="3">
        <v>13.193512</v>
      </c>
      <c r="BL16" s="3">
        <v>12.168981</v>
      </c>
      <c r="BM16" s="3">
        <v>18.604258000000002</v>
      </c>
      <c r="BN16" s="3">
        <v>22.603650999999999</v>
      </c>
      <c r="BO16" s="3">
        <v>23.574695999999999</v>
      </c>
      <c r="BP16" s="3">
        <v>14.798171</v>
      </c>
      <c r="BQ16" s="3">
        <v>20.714725000000001</v>
      </c>
      <c r="BR16" s="3">
        <v>12.035170000000001</v>
      </c>
      <c r="BS16" s="3">
        <v>11.084203</v>
      </c>
      <c r="BT16" s="3">
        <v>13.112996000000001</v>
      </c>
      <c r="BU16" s="3">
        <v>11.919789</v>
      </c>
      <c r="BV16" s="3">
        <v>10.894242999999999</v>
      </c>
      <c r="BW16" s="3">
        <v>17.036004999999999</v>
      </c>
      <c r="BX16" s="3">
        <v>13.821728</v>
      </c>
      <c r="BY16" s="3">
        <v>25.85256</v>
      </c>
      <c r="BZ16" s="3">
        <v>18.726731999999998</v>
      </c>
      <c r="CA16" s="3">
        <v>16.355906999999998</v>
      </c>
      <c r="CB16" s="3">
        <v>14.486724000000001</v>
      </c>
      <c r="CC16" s="3">
        <v>17.461319</v>
      </c>
      <c r="CD16" s="3">
        <v>14.768299000000001</v>
      </c>
      <c r="CE16" s="3">
        <v>16.970320000000001</v>
      </c>
      <c r="CF16" s="3">
        <v>15.366091000000001</v>
      </c>
      <c r="CG16" s="3">
        <v>16.597367999999999</v>
      </c>
      <c r="CH16" s="3">
        <v>13.103959</v>
      </c>
      <c r="CI16" s="3">
        <v>23.667662</v>
      </c>
      <c r="CJ16" s="3">
        <v>16.566842999999999</v>
      </c>
      <c r="CK16" s="3">
        <v>18.865576000000001</v>
      </c>
      <c r="CL16" s="3">
        <v>13.524398</v>
      </c>
      <c r="CM16" s="3">
        <v>17.981138000000001</v>
      </c>
      <c r="CN16" s="3">
        <v>15.110728</v>
      </c>
      <c r="CO16" s="3">
        <v>20.770021</v>
      </c>
      <c r="CP16" s="3">
        <v>16.395620000000001</v>
      </c>
      <c r="CQ16" s="3">
        <v>18.676480999999999</v>
      </c>
      <c r="CR16" s="3">
        <v>12.382714</v>
      </c>
      <c r="CS16" s="3">
        <v>23.596357000000001</v>
      </c>
      <c r="CT16" s="3">
        <v>15.470525</v>
      </c>
      <c r="CU16" s="3">
        <v>17.090026999999999</v>
      </c>
      <c r="CV16" s="3">
        <v>16.362047</v>
      </c>
      <c r="CW16" s="3">
        <v>18.665835999999999</v>
      </c>
      <c r="CX16" s="3">
        <v>16.881701</v>
      </c>
      <c r="CY16" s="3">
        <v>20.841991</v>
      </c>
      <c r="CZ16" s="3">
        <v>15.296519999999999</v>
      </c>
      <c r="DA16" s="3">
        <v>20.251315999999999</v>
      </c>
      <c r="DB16" s="3">
        <v>12.314997999999999</v>
      </c>
      <c r="DC16" s="3">
        <v>21.749876</v>
      </c>
      <c r="DD16" s="3">
        <v>20.149193</v>
      </c>
      <c r="DE16" s="3">
        <v>16.595524000000001</v>
      </c>
      <c r="DF16" s="3">
        <v>14.607552</v>
      </c>
      <c r="DG16" s="3">
        <v>18.315291999999999</v>
      </c>
      <c r="DH16" s="3">
        <v>17.617543999999999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24.674233320000006</v>
      </c>
      <c r="H18" s="3">
        <f>MAX(M18:GJ18)</f>
        <v>27.773475999999999</v>
      </c>
      <c r="I18" s="3">
        <f>MIN(M18:GJ18)</f>
        <v>22.129812000000001</v>
      </c>
      <c r="J18" s="3">
        <f>_xlfn.STDEV.P(M18:GJ18)</f>
        <v>1.1332172602430028</v>
      </c>
      <c r="K18" s="3">
        <f>_xlfn.VAR.S(M18:GJ18)</f>
        <v>1.2971528877905634</v>
      </c>
      <c r="M18" s="3">
        <v>25.735451000000001</v>
      </c>
      <c r="N18" s="3">
        <v>25.673811000000001</v>
      </c>
      <c r="O18" s="3">
        <v>24.100897</v>
      </c>
      <c r="P18" s="3">
        <v>22.370470000000001</v>
      </c>
      <c r="Q18" s="3">
        <v>24.801583999999998</v>
      </c>
      <c r="R18" s="3">
        <v>24.283709000000002</v>
      </c>
      <c r="S18" s="3">
        <v>23.90785</v>
      </c>
      <c r="T18" s="3">
        <v>24.061419999999998</v>
      </c>
      <c r="U18" s="3">
        <v>23.739464000000002</v>
      </c>
      <c r="V18" s="3">
        <v>23.563171000000001</v>
      </c>
      <c r="W18" s="3">
        <v>24.817097</v>
      </c>
      <c r="X18" s="3">
        <v>26.151952999999999</v>
      </c>
      <c r="Y18" s="3">
        <v>25.048249999999999</v>
      </c>
      <c r="Z18" s="3">
        <v>22.129812000000001</v>
      </c>
      <c r="AA18" s="3">
        <v>24.293455000000002</v>
      </c>
      <c r="AB18" s="3">
        <v>23.890266</v>
      </c>
      <c r="AC18" s="3">
        <v>27.173506</v>
      </c>
      <c r="AD18" s="3">
        <v>24.809517</v>
      </c>
      <c r="AE18" s="3">
        <v>25.030328999999998</v>
      </c>
      <c r="AF18" s="3">
        <v>23.142510999999999</v>
      </c>
      <c r="AG18" s="3">
        <v>26.291439</v>
      </c>
      <c r="AH18" s="3">
        <v>24.118850999999999</v>
      </c>
      <c r="AI18" s="3">
        <v>24.155054</v>
      </c>
      <c r="AJ18" s="3">
        <v>24.233395000000002</v>
      </c>
      <c r="AK18" s="3">
        <v>24.8645</v>
      </c>
      <c r="AL18" s="3">
        <v>25.952846999999998</v>
      </c>
      <c r="AM18" s="3">
        <v>25.539131000000001</v>
      </c>
      <c r="AN18" s="3">
        <v>24.910646</v>
      </c>
      <c r="AO18" s="3">
        <v>26.034590000000001</v>
      </c>
      <c r="AP18" s="3">
        <v>22.652111000000001</v>
      </c>
      <c r="AQ18" s="3">
        <v>25.881703999999999</v>
      </c>
      <c r="AR18" s="3">
        <v>25.492298000000002</v>
      </c>
      <c r="AS18" s="3">
        <v>23.946756000000001</v>
      </c>
      <c r="AT18" s="3">
        <v>22.856997</v>
      </c>
      <c r="AU18" s="3">
        <v>24.817879000000001</v>
      </c>
      <c r="AV18" s="3">
        <v>26.010573999999998</v>
      </c>
      <c r="AW18" s="3">
        <v>25.406828000000001</v>
      </c>
      <c r="AX18" s="3">
        <v>22.647763999999999</v>
      </c>
      <c r="AY18" s="3">
        <v>24.177723</v>
      </c>
      <c r="AZ18" s="3">
        <v>24.284088000000001</v>
      </c>
      <c r="BA18" s="3">
        <v>27.383621000000002</v>
      </c>
      <c r="BB18" s="3">
        <v>25.731489</v>
      </c>
      <c r="BC18" s="3">
        <v>25.164722000000001</v>
      </c>
      <c r="BD18" s="3">
        <v>24.786003000000001</v>
      </c>
      <c r="BE18" s="3">
        <v>25.130815999999999</v>
      </c>
      <c r="BF18" s="3">
        <v>25.922939</v>
      </c>
      <c r="BG18" s="3">
        <v>27.104130000000001</v>
      </c>
      <c r="BH18" s="3">
        <v>23.618067</v>
      </c>
      <c r="BI18" s="3">
        <v>27.773475999999999</v>
      </c>
      <c r="BJ18" s="3">
        <v>23.430351000000002</v>
      </c>
      <c r="BK18" s="3">
        <v>26.231214999999999</v>
      </c>
      <c r="BL18" s="3">
        <v>25.086924</v>
      </c>
      <c r="BM18" s="3">
        <v>25.672438</v>
      </c>
      <c r="BN18" s="3">
        <v>26.174377</v>
      </c>
      <c r="BO18" s="3">
        <v>25.544975000000001</v>
      </c>
      <c r="BP18" s="3">
        <v>25.054531000000001</v>
      </c>
      <c r="BQ18" s="3">
        <v>26.341497</v>
      </c>
      <c r="BR18" s="3">
        <v>24.806706999999999</v>
      </c>
      <c r="BS18" s="3">
        <v>25.727900000000002</v>
      </c>
      <c r="BT18" s="3">
        <v>25.124489000000001</v>
      </c>
      <c r="BU18" s="3">
        <v>23.549593000000002</v>
      </c>
      <c r="BV18" s="3">
        <v>25.305188999999999</v>
      </c>
      <c r="BW18" s="3">
        <v>24.816700000000001</v>
      </c>
      <c r="BX18" s="3">
        <v>22.698473</v>
      </c>
      <c r="BY18" s="3">
        <v>24.707847999999998</v>
      </c>
      <c r="BZ18" s="3">
        <v>24.436968</v>
      </c>
      <c r="CA18" s="3">
        <v>24.287663999999999</v>
      </c>
      <c r="CB18" s="3">
        <v>23.913609999999998</v>
      </c>
      <c r="CC18" s="3">
        <v>24.698592999999999</v>
      </c>
      <c r="CD18" s="3">
        <v>22.900043</v>
      </c>
      <c r="CE18" s="3">
        <v>23.486046000000002</v>
      </c>
      <c r="CF18" s="3">
        <v>25.347329999999999</v>
      </c>
      <c r="CG18" s="3">
        <v>23.748578999999999</v>
      </c>
      <c r="CH18" s="3">
        <v>24.332998</v>
      </c>
      <c r="CI18" s="3">
        <v>23.769100000000002</v>
      </c>
      <c r="CJ18" s="3">
        <v>24.087620000000001</v>
      </c>
      <c r="CK18" s="3">
        <v>24.632935</v>
      </c>
      <c r="CL18" s="3">
        <v>25.388892999999999</v>
      </c>
      <c r="CM18" s="3">
        <v>23.666951999999998</v>
      </c>
      <c r="CN18" s="3">
        <v>22.761581</v>
      </c>
      <c r="CO18" s="3">
        <v>23.540533</v>
      </c>
      <c r="CP18" s="3">
        <v>25.511693999999999</v>
      </c>
      <c r="CQ18" s="3">
        <v>23.231159000000002</v>
      </c>
      <c r="CR18" s="3">
        <v>22.321472</v>
      </c>
      <c r="CS18" s="3">
        <v>24.114681000000001</v>
      </c>
      <c r="CT18" s="3">
        <v>25.507261</v>
      </c>
      <c r="CU18" s="3">
        <v>24.788620000000002</v>
      </c>
      <c r="CV18" s="3">
        <v>23.876307000000001</v>
      </c>
      <c r="CW18" s="3">
        <v>25.012857</v>
      </c>
      <c r="CX18" s="3">
        <v>24.631817000000002</v>
      </c>
      <c r="CY18" s="3">
        <v>25.202387000000002</v>
      </c>
      <c r="CZ18" s="3">
        <v>24.163992</v>
      </c>
      <c r="DA18" s="3">
        <v>25.855343000000001</v>
      </c>
      <c r="DB18" s="3">
        <v>24.779796999999999</v>
      </c>
      <c r="DC18" s="3">
        <v>24.756294</v>
      </c>
      <c r="DD18" s="3">
        <v>23.881585999999999</v>
      </c>
      <c r="DE18" s="3">
        <v>24.567088999999999</v>
      </c>
      <c r="DF18" s="3">
        <v>23.874082999999999</v>
      </c>
      <c r="DG18" s="3">
        <v>25.954733000000001</v>
      </c>
      <c r="DH18" s="3">
        <v>24.504546999999999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17.914728059999995</v>
      </c>
      <c r="H20" s="3">
        <f>MAX(M20:GJ20)</f>
        <v>25.147566000000001</v>
      </c>
      <c r="I20" s="3">
        <f>MIN(M20:GJ20)</f>
        <v>10.717457</v>
      </c>
      <c r="J20" s="3">
        <f>_xlfn.STDEV.P(M20:GJ20)</f>
        <v>3.0824845415267386</v>
      </c>
      <c r="K20" s="3">
        <f>_xlfn.VAR.S(M20:GJ20)</f>
        <v>9.5976878270215309</v>
      </c>
      <c r="M20" s="3">
        <v>17.142237000000002</v>
      </c>
      <c r="N20" s="3">
        <v>18.168398</v>
      </c>
      <c r="O20" s="3">
        <v>25.147566000000001</v>
      </c>
      <c r="P20" s="3">
        <v>18.286251</v>
      </c>
      <c r="Q20" s="3">
        <v>10.717457</v>
      </c>
      <c r="R20" s="3">
        <v>18.372591</v>
      </c>
      <c r="S20" s="3">
        <v>20.564564000000001</v>
      </c>
      <c r="T20" s="3">
        <v>17.323779999999999</v>
      </c>
      <c r="U20" s="3">
        <v>11.723507</v>
      </c>
      <c r="V20" s="3">
        <v>18.608630999999999</v>
      </c>
      <c r="W20" s="3">
        <v>18.422609000000001</v>
      </c>
      <c r="X20" s="3">
        <v>14.097322999999999</v>
      </c>
      <c r="Y20" s="3">
        <v>19.118282000000001</v>
      </c>
      <c r="Z20" s="3">
        <v>12.436075000000001</v>
      </c>
      <c r="AA20" s="3">
        <v>14.471107</v>
      </c>
      <c r="AB20" s="3">
        <v>19.99896</v>
      </c>
      <c r="AC20" s="3">
        <v>14.520250000000001</v>
      </c>
      <c r="AD20" s="3">
        <v>20.443273999999999</v>
      </c>
      <c r="AE20" s="3">
        <v>13.598563</v>
      </c>
      <c r="AF20" s="3">
        <v>19.107288</v>
      </c>
      <c r="AG20" s="3">
        <v>18.558043000000001</v>
      </c>
      <c r="AH20" s="3">
        <v>14.635156</v>
      </c>
      <c r="AI20" s="3">
        <v>22.633960999999999</v>
      </c>
      <c r="AJ20" s="3">
        <v>17.860281000000001</v>
      </c>
      <c r="AK20" s="3">
        <v>15.366398999999999</v>
      </c>
      <c r="AL20" s="3">
        <v>17.486474999999999</v>
      </c>
      <c r="AM20" s="3">
        <v>20.194693000000001</v>
      </c>
      <c r="AN20" s="3">
        <v>21.012447000000002</v>
      </c>
      <c r="AO20" s="3">
        <v>18.379894</v>
      </c>
      <c r="AP20" s="3">
        <v>12.300516</v>
      </c>
      <c r="AQ20" s="3">
        <v>16.561197</v>
      </c>
      <c r="AR20" s="3">
        <v>15.984825000000001</v>
      </c>
      <c r="AS20" s="3">
        <v>14.831054</v>
      </c>
      <c r="AT20" s="3">
        <v>17.211077</v>
      </c>
      <c r="AU20" s="3">
        <v>18.224547999999999</v>
      </c>
      <c r="AV20" s="3">
        <v>17.545535999999998</v>
      </c>
      <c r="AW20" s="3">
        <v>20.456236000000001</v>
      </c>
      <c r="AX20" s="3">
        <v>19.96463</v>
      </c>
      <c r="AY20" s="3">
        <v>22.959575999999998</v>
      </c>
      <c r="AZ20" s="3">
        <v>12.987259999999999</v>
      </c>
      <c r="BA20" s="3">
        <v>18.065650999999999</v>
      </c>
      <c r="BB20" s="3">
        <v>16.489543999999999</v>
      </c>
      <c r="BC20" s="3">
        <v>20.542687999999998</v>
      </c>
      <c r="BD20" s="3">
        <v>16.698923000000001</v>
      </c>
      <c r="BE20" s="3">
        <v>13.668862000000001</v>
      </c>
      <c r="BF20" s="3">
        <v>16.995781000000001</v>
      </c>
      <c r="BG20" s="3">
        <v>20.176023000000001</v>
      </c>
      <c r="BH20" s="3">
        <v>19.444782</v>
      </c>
      <c r="BI20" s="3">
        <v>14.936679</v>
      </c>
      <c r="BJ20" s="3">
        <v>20.592510000000001</v>
      </c>
      <c r="BK20" s="3">
        <v>18.735790000000001</v>
      </c>
      <c r="BL20" s="3">
        <v>14.184117000000001</v>
      </c>
      <c r="BM20" s="3">
        <v>15.302628</v>
      </c>
      <c r="BN20" s="3">
        <v>18.650151999999999</v>
      </c>
      <c r="BO20" s="3">
        <v>14.458743</v>
      </c>
      <c r="BP20" s="3">
        <v>10.994355000000001</v>
      </c>
      <c r="BQ20" s="3">
        <v>17.632155999999998</v>
      </c>
      <c r="BR20" s="3">
        <v>21.11289</v>
      </c>
      <c r="BS20" s="3">
        <v>16.411110000000001</v>
      </c>
      <c r="BT20" s="3">
        <v>15.848068</v>
      </c>
      <c r="BU20" s="3">
        <v>20.863873999999999</v>
      </c>
      <c r="BV20" s="3">
        <v>14.557983</v>
      </c>
      <c r="BW20" s="3">
        <v>23.982938999999998</v>
      </c>
      <c r="BX20" s="3">
        <v>19.568480000000001</v>
      </c>
      <c r="BY20" s="3">
        <v>22.558779000000001</v>
      </c>
      <c r="BZ20" s="3">
        <v>16.084591</v>
      </c>
      <c r="CA20" s="3">
        <v>15.223309</v>
      </c>
      <c r="CB20" s="3">
        <v>18.179940999999999</v>
      </c>
      <c r="CC20" s="3">
        <v>18.949511000000001</v>
      </c>
      <c r="CD20" s="3">
        <v>20.121727</v>
      </c>
      <c r="CE20" s="3">
        <v>17.186699000000001</v>
      </c>
      <c r="CF20" s="3">
        <v>15.416297</v>
      </c>
      <c r="CG20" s="3">
        <v>20.195271999999999</v>
      </c>
      <c r="CH20" s="3">
        <v>21.401892</v>
      </c>
      <c r="CI20" s="3">
        <v>22.046510999999999</v>
      </c>
      <c r="CJ20" s="3">
        <v>18.208931</v>
      </c>
      <c r="CK20" s="3">
        <v>16.754686</v>
      </c>
      <c r="CL20" s="3">
        <v>19.410530000000001</v>
      </c>
      <c r="CM20" s="3">
        <v>15.668364</v>
      </c>
      <c r="CN20" s="3">
        <v>22.979382000000001</v>
      </c>
      <c r="CO20" s="3">
        <v>20.122617999999999</v>
      </c>
      <c r="CP20" s="3">
        <v>20.865091</v>
      </c>
      <c r="CQ20" s="3">
        <v>22.251439999999999</v>
      </c>
      <c r="CR20" s="3">
        <v>22.755075000000001</v>
      </c>
      <c r="CS20" s="3">
        <v>21.225536000000002</v>
      </c>
      <c r="CT20" s="3">
        <v>15.023694000000001</v>
      </c>
      <c r="CU20" s="3">
        <v>14.865228</v>
      </c>
      <c r="CV20" s="3">
        <v>15.654885</v>
      </c>
      <c r="CW20" s="3">
        <v>16.384857</v>
      </c>
      <c r="CX20" s="3">
        <v>21.972114999999999</v>
      </c>
      <c r="CY20" s="3">
        <v>22.358847000000001</v>
      </c>
      <c r="CZ20" s="3">
        <v>16.181231</v>
      </c>
      <c r="DA20" s="3">
        <v>17.976320000000001</v>
      </c>
      <c r="DB20" s="3">
        <v>22.559505000000001</v>
      </c>
      <c r="DC20" s="3">
        <v>22.613213999999999</v>
      </c>
      <c r="DD20" s="3">
        <v>14.165792</v>
      </c>
      <c r="DE20" s="3">
        <v>16.970866999999998</v>
      </c>
      <c r="DF20" s="3">
        <v>14.941765999999999</v>
      </c>
      <c r="DG20" s="3">
        <v>19.865272999999998</v>
      </c>
      <c r="DH20" s="3">
        <v>14.995785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11.815977130000004</v>
      </c>
      <c r="H22" s="3">
        <f>MAX(M22:GJ22)</f>
        <v>22.502195</v>
      </c>
      <c r="I22" s="3">
        <f>MIN(M22:GJ22)</f>
        <v>7.8050660000000001</v>
      </c>
      <c r="J22" s="3">
        <f>_xlfn.STDEV.P(M22:GJ22)</f>
        <v>2.5037329839944618</v>
      </c>
      <c r="K22" s="3">
        <f>_xlfn.VAR.S(M22:GJ22)</f>
        <v>6.3319988435775825</v>
      </c>
      <c r="M22" s="3">
        <v>12.253831999999999</v>
      </c>
      <c r="N22" s="3">
        <v>10.389362999999999</v>
      </c>
      <c r="O22" s="3">
        <v>13.544686</v>
      </c>
      <c r="P22" s="3">
        <v>9.7163880000000002</v>
      </c>
      <c r="Q22" s="3">
        <v>12.906228</v>
      </c>
      <c r="R22" s="3">
        <v>12.625341000000001</v>
      </c>
      <c r="S22" s="3">
        <v>15.589442999999999</v>
      </c>
      <c r="T22" s="3">
        <v>10.627912999999999</v>
      </c>
      <c r="U22" s="3">
        <v>8.5847339999999992</v>
      </c>
      <c r="V22" s="3">
        <v>11.311680000000001</v>
      </c>
      <c r="W22" s="3">
        <v>13.183348000000001</v>
      </c>
      <c r="X22" s="3">
        <v>9.9722030000000004</v>
      </c>
      <c r="Y22" s="3">
        <v>11.812056</v>
      </c>
      <c r="Z22" s="3">
        <v>14.495132</v>
      </c>
      <c r="AA22" s="3">
        <v>14.716231000000001</v>
      </c>
      <c r="AB22" s="3">
        <v>11.313326999999999</v>
      </c>
      <c r="AC22" s="3">
        <v>12.354134</v>
      </c>
      <c r="AD22" s="3">
        <v>12.995813</v>
      </c>
      <c r="AE22" s="3">
        <v>11.606272000000001</v>
      </c>
      <c r="AF22" s="3">
        <v>10.707539000000001</v>
      </c>
      <c r="AG22" s="3">
        <v>15.383257</v>
      </c>
      <c r="AH22" s="3">
        <v>13.915525000000001</v>
      </c>
      <c r="AI22" s="3">
        <v>11.541388</v>
      </c>
      <c r="AJ22" s="3">
        <v>13.353806000000001</v>
      </c>
      <c r="AK22" s="3">
        <v>15.956407</v>
      </c>
      <c r="AL22" s="3">
        <v>11.098193</v>
      </c>
      <c r="AM22" s="3">
        <v>10.483452</v>
      </c>
      <c r="AN22" s="3">
        <v>8.0466979999999992</v>
      </c>
      <c r="AO22" s="3">
        <v>9.4731760000000005</v>
      </c>
      <c r="AP22" s="3">
        <v>9.6072550000000003</v>
      </c>
      <c r="AQ22" s="3">
        <v>11.974022</v>
      </c>
      <c r="AR22" s="3">
        <v>12.426423</v>
      </c>
      <c r="AS22" s="3">
        <v>9.9567960000000006</v>
      </c>
      <c r="AT22" s="3">
        <v>10.369173</v>
      </c>
      <c r="AU22" s="3">
        <v>13.542702999999999</v>
      </c>
      <c r="AV22" s="3">
        <v>12.284881</v>
      </c>
      <c r="AW22" s="3">
        <v>14.859632</v>
      </c>
      <c r="AX22" s="3">
        <v>15.014885</v>
      </c>
      <c r="AY22" s="3">
        <v>9.9880220000000008</v>
      </c>
      <c r="AZ22" s="3">
        <v>11.631904</v>
      </c>
      <c r="BA22" s="3">
        <v>11.684799999999999</v>
      </c>
      <c r="BB22" s="3">
        <v>10.356539</v>
      </c>
      <c r="BC22" s="3">
        <v>16.150214999999999</v>
      </c>
      <c r="BD22" s="3">
        <v>11.146300999999999</v>
      </c>
      <c r="BE22" s="3">
        <v>9.6127780000000005</v>
      </c>
      <c r="BF22" s="3">
        <v>13.73859</v>
      </c>
      <c r="BG22" s="3">
        <v>14.007463</v>
      </c>
      <c r="BH22" s="3">
        <v>10.220748</v>
      </c>
      <c r="BI22" s="3">
        <v>11.865238</v>
      </c>
      <c r="BJ22" s="3">
        <v>12.872517999999999</v>
      </c>
      <c r="BK22" s="3">
        <v>11.679629</v>
      </c>
      <c r="BL22" s="3">
        <v>15.591557</v>
      </c>
      <c r="BM22" s="3">
        <v>8.9260269999999995</v>
      </c>
      <c r="BN22" s="3">
        <v>9.2585569999999997</v>
      </c>
      <c r="BO22" s="3">
        <v>7.8050660000000001</v>
      </c>
      <c r="BP22" s="3">
        <v>13.259074999999999</v>
      </c>
      <c r="BQ22" s="3">
        <v>12.924572</v>
      </c>
      <c r="BR22" s="3">
        <v>11.771257</v>
      </c>
      <c r="BS22" s="3">
        <v>9.6092130000000004</v>
      </c>
      <c r="BT22" s="3">
        <v>8.8420909999999999</v>
      </c>
      <c r="BU22" s="3">
        <v>13.849778000000001</v>
      </c>
      <c r="BV22" s="3">
        <v>13.113985</v>
      </c>
      <c r="BW22" s="3">
        <v>14.903539</v>
      </c>
      <c r="BX22" s="3">
        <v>10.29879</v>
      </c>
      <c r="BY22" s="3">
        <v>9.917961</v>
      </c>
      <c r="BZ22" s="3">
        <v>16.875910000000001</v>
      </c>
      <c r="CA22" s="3">
        <v>10.509971</v>
      </c>
      <c r="CB22" s="3">
        <v>22.502195</v>
      </c>
      <c r="CC22" s="3">
        <v>10.756447</v>
      </c>
      <c r="CD22" s="3">
        <v>8.7033009999999997</v>
      </c>
      <c r="CE22" s="3">
        <v>11.022831999999999</v>
      </c>
      <c r="CF22" s="3">
        <v>9.8976570000000006</v>
      </c>
      <c r="CG22" s="3">
        <v>10.202401</v>
      </c>
      <c r="CH22" s="3">
        <v>8.5142670000000003</v>
      </c>
      <c r="CI22" s="3">
        <v>11.615508</v>
      </c>
      <c r="CJ22" s="3">
        <v>15.462438000000001</v>
      </c>
      <c r="CK22" s="3">
        <v>15.536948000000001</v>
      </c>
      <c r="CL22" s="3">
        <v>12.232011</v>
      </c>
      <c r="CM22" s="3">
        <v>13.020956999999999</v>
      </c>
      <c r="CN22" s="3">
        <v>9.055199</v>
      </c>
      <c r="CO22" s="3">
        <v>15.799167000000001</v>
      </c>
      <c r="CP22" s="3">
        <v>10.737691</v>
      </c>
      <c r="CQ22" s="3">
        <v>8.0692369999999993</v>
      </c>
      <c r="CR22" s="3">
        <v>9.6778080000000006</v>
      </c>
      <c r="CS22" s="3">
        <v>9.5759329999999991</v>
      </c>
      <c r="CT22" s="3">
        <v>9.0708870000000008</v>
      </c>
      <c r="CU22" s="3">
        <v>8.3787310000000002</v>
      </c>
      <c r="CV22" s="3">
        <v>17.413851000000001</v>
      </c>
      <c r="CW22" s="3">
        <v>9.0162370000000003</v>
      </c>
      <c r="CX22" s="3">
        <v>11.131328999999999</v>
      </c>
      <c r="CY22" s="3">
        <v>8.7424979999999994</v>
      </c>
      <c r="CZ22" s="3">
        <v>10.67774</v>
      </c>
      <c r="DA22" s="3">
        <v>14.897633000000001</v>
      </c>
      <c r="DB22" s="3">
        <v>11.707473999999999</v>
      </c>
      <c r="DC22" s="3">
        <v>11.600849999999999</v>
      </c>
      <c r="DD22" s="3">
        <v>13.948763</v>
      </c>
      <c r="DE22" s="3">
        <v>10.730237000000001</v>
      </c>
      <c r="DF22" s="3">
        <v>11.334255000000001</v>
      </c>
      <c r="DG22" s="3">
        <v>9.0023459999999993</v>
      </c>
      <c r="DH22" s="3">
        <v>9.1574559999999998</v>
      </c>
      <c r="DI22" s="3"/>
      <c r="DJ22" s="3"/>
      <c r="DM22" s="3"/>
      <c r="DN22" s="3"/>
      <c r="DP22" s="3"/>
      <c r="DQ22" s="3"/>
      <c r="DR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4" spans="2:207" x14ac:dyDescent="0.2">
      <c r="D24" s="1"/>
    </row>
    <row r="25" spans="2:207" x14ac:dyDescent="0.2">
      <c r="B25" t="s">
        <v>60</v>
      </c>
      <c r="D25" s="1" t="s">
        <v>24</v>
      </c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26.124047309999995</v>
      </c>
      <c r="H26" s="3">
        <f>MAX(M26:GJ26)</f>
        <v>29.114692999999999</v>
      </c>
      <c r="I26" s="3">
        <f>MIN(M26:GJ26)</f>
        <v>23.585169</v>
      </c>
      <c r="J26" s="3">
        <f>_xlfn.STDEV.P(M26:GJ26)</f>
        <v>0.99907427834929974</v>
      </c>
      <c r="K26" s="3">
        <f>_xlfn.VAR.S(M26:GJ26)</f>
        <v>1.0082317309688626</v>
      </c>
      <c r="M26" s="3">
        <v>25.715447999999999</v>
      </c>
      <c r="N26" s="3">
        <v>26.177778</v>
      </c>
      <c r="O26" s="3">
        <v>25.719822000000001</v>
      </c>
      <c r="P26" s="3">
        <v>26.367363000000001</v>
      </c>
      <c r="Q26" s="3">
        <v>28.765554000000002</v>
      </c>
      <c r="R26" s="3">
        <v>26.785164000000002</v>
      </c>
      <c r="S26" s="3">
        <v>25.855353999999998</v>
      </c>
      <c r="T26" s="3">
        <v>26.155601999999998</v>
      </c>
      <c r="U26" s="3">
        <v>26.038429000000001</v>
      </c>
      <c r="V26" s="3">
        <v>25.731186000000001</v>
      </c>
      <c r="W26" s="3">
        <v>25.554911000000001</v>
      </c>
      <c r="X26" s="3">
        <v>26.947506000000001</v>
      </c>
      <c r="Y26" s="3">
        <v>28.979400999999999</v>
      </c>
      <c r="Z26" s="3">
        <v>24.640343000000001</v>
      </c>
      <c r="AA26" s="3">
        <v>25.689747000000001</v>
      </c>
      <c r="AB26" s="3">
        <v>25.761361999999998</v>
      </c>
      <c r="AC26" s="3">
        <v>25.268906000000001</v>
      </c>
      <c r="AD26" s="3">
        <v>25.009163000000001</v>
      </c>
      <c r="AE26" s="3">
        <v>26.238700999999999</v>
      </c>
      <c r="AF26" s="3">
        <v>25.881661999999999</v>
      </c>
      <c r="AG26" s="3">
        <v>26.103428000000001</v>
      </c>
      <c r="AH26" s="3">
        <v>26.638596</v>
      </c>
      <c r="AI26" s="3">
        <v>25.345590999999999</v>
      </c>
      <c r="AJ26" s="3">
        <v>26.533688000000001</v>
      </c>
      <c r="AK26" s="3">
        <v>25.655419999999999</v>
      </c>
      <c r="AL26" s="3">
        <v>25.388345999999999</v>
      </c>
      <c r="AM26" s="3">
        <v>26.456516000000001</v>
      </c>
      <c r="AN26" s="3">
        <v>25.278631000000001</v>
      </c>
      <c r="AO26" s="3">
        <v>26.037065999999999</v>
      </c>
      <c r="AP26" s="3">
        <v>26.928460999999999</v>
      </c>
      <c r="AQ26" s="3">
        <v>25.695477</v>
      </c>
      <c r="AR26" s="3">
        <v>26.119327999999999</v>
      </c>
      <c r="AS26" s="3">
        <v>25.971964</v>
      </c>
      <c r="AT26" s="3">
        <v>28.519289000000001</v>
      </c>
      <c r="AU26" s="3">
        <v>27.237251000000001</v>
      </c>
      <c r="AV26" s="3">
        <v>25.438054999999999</v>
      </c>
      <c r="AW26" s="3">
        <v>25.160081999999999</v>
      </c>
      <c r="AX26" s="3">
        <v>25.862480000000001</v>
      </c>
      <c r="AY26" s="3">
        <v>29.114692999999999</v>
      </c>
      <c r="AZ26" s="3">
        <v>27.626574000000002</v>
      </c>
      <c r="BA26" s="3">
        <v>25.102377000000001</v>
      </c>
      <c r="BB26" s="3">
        <v>25.756125999999998</v>
      </c>
      <c r="BC26" s="3">
        <v>25.625101000000001</v>
      </c>
      <c r="BD26" s="3">
        <v>25.912078999999999</v>
      </c>
      <c r="BE26" s="3">
        <v>27.138901000000001</v>
      </c>
      <c r="BF26" s="3">
        <v>25.64658</v>
      </c>
      <c r="BG26" s="3">
        <v>25.940563000000001</v>
      </c>
      <c r="BH26" s="3">
        <v>29.019161</v>
      </c>
      <c r="BI26" s="3">
        <v>25.931342999999998</v>
      </c>
      <c r="BJ26" s="3">
        <v>26.923597000000001</v>
      </c>
      <c r="BK26" s="3">
        <v>25.653862</v>
      </c>
      <c r="BL26" s="3">
        <v>26.562365</v>
      </c>
      <c r="BM26" s="3">
        <v>25.826011999999999</v>
      </c>
      <c r="BN26" s="3">
        <v>25.151733</v>
      </c>
      <c r="BO26" s="3">
        <v>24.787012000000001</v>
      </c>
      <c r="BP26" s="3">
        <v>27.990299</v>
      </c>
      <c r="BQ26" s="3">
        <v>26.387249000000001</v>
      </c>
      <c r="BR26" s="3">
        <v>26.827014999999999</v>
      </c>
      <c r="BS26" s="3">
        <v>27.092264</v>
      </c>
      <c r="BT26" s="3">
        <v>25.248408999999999</v>
      </c>
      <c r="BU26" s="3">
        <v>26.658445</v>
      </c>
      <c r="BV26" s="3">
        <v>26.777277000000002</v>
      </c>
      <c r="BW26" s="3">
        <v>25.870245000000001</v>
      </c>
      <c r="BX26" s="3">
        <v>23.625451999999999</v>
      </c>
      <c r="BY26" s="3">
        <v>26.026306000000002</v>
      </c>
      <c r="BZ26" s="3">
        <v>25.562653999999998</v>
      </c>
      <c r="CA26" s="3">
        <v>27.695208000000001</v>
      </c>
      <c r="CB26" s="3">
        <v>26.411106</v>
      </c>
      <c r="CC26" s="3">
        <v>26.086739000000001</v>
      </c>
      <c r="CD26" s="3">
        <v>26.056787</v>
      </c>
      <c r="CE26" s="3">
        <v>25.626705000000001</v>
      </c>
      <c r="CF26" s="3">
        <v>26.883291</v>
      </c>
      <c r="CG26" s="3">
        <v>26.131578000000001</v>
      </c>
      <c r="CH26" s="3">
        <v>26.229130000000001</v>
      </c>
      <c r="CI26" s="3">
        <v>26.326521</v>
      </c>
      <c r="CJ26" s="3">
        <v>25.617944999999999</v>
      </c>
      <c r="CK26" s="3">
        <v>25.289707</v>
      </c>
      <c r="CL26" s="3">
        <v>25.271972999999999</v>
      </c>
      <c r="CM26" s="3">
        <v>25.948080000000001</v>
      </c>
      <c r="CN26" s="3">
        <v>25.729123999999999</v>
      </c>
      <c r="CO26" s="3">
        <v>25.997444000000002</v>
      </c>
      <c r="CP26" s="3">
        <v>26.014538000000002</v>
      </c>
      <c r="CQ26" s="3">
        <v>23.585169</v>
      </c>
      <c r="CR26" s="3">
        <v>25.776817000000001</v>
      </c>
      <c r="CS26" s="3">
        <v>25.811605</v>
      </c>
      <c r="CT26" s="3">
        <v>28.602184000000001</v>
      </c>
      <c r="CU26" s="3">
        <v>25.369997000000001</v>
      </c>
      <c r="CV26" s="3">
        <v>25.018274000000002</v>
      </c>
      <c r="CW26" s="3">
        <v>24.205055000000002</v>
      </c>
      <c r="CX26" s="3">
        <v>25.631561000000001</v>
      </c>
      <c r="CY26" s="3">
        <v>26.720421000000002</v>
      </c>
      <c r="CZ26" s="3">
        <v>26.439599999999999</v>
      </c>
      <c r="DA26" s="3">
        <v>26.059052999999999</v>
      </c>
      <c r="DB26" s="3">
        <v>25.660153999999999</v>
      </c>
      <c r="DC26" s="3">
        <v>26.583103000000001</v>
      </c>
      <c r="DD26" s="3">
        <v>26.578709</v>
      </c>
      <c r="DE26" s="3">
        <v>25.574659</v>
      </c>
      <c r="DF26" s="3">
        <v>26.874963999999999</v>
      </c>
      <c r="DG26" s="3">
        <v>25.151319999999998</v>
      </c>
      <c r="DH26" s="3">
        <v>26.009444999999999</v>
      </c>
      <c r="DI26" s="3"/>
      <c r="DJ26" s="3"/>
      <c r="DM26" s="3"/>
      <c r="DN26" s="3"/>
      <c r="DP26" s="3"/>
      <c r="DQ26" s="3"/>
      <c r="DR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M27" s="3"/>
      <c r="DN27" s="3"/>
      <c r="DP27" s="3"/>
      <c r="DQ27" s="3"/>
      <c r="DR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26.705608319999996</v>
      </c>
      <c r="H28" s="3">
        <f>MAX(M28:GJ28)</f>
        <v>34.889729000000003</v>
      </c>
      <c r="I28" s="3">
        <f>MIN(M28:GJ28)</f>
        <v>21.687163999999999</v>
      </c>
      <c r="J28" s="3">
        <f>_xlfn.STDEV.P(M28:GJ28)</f>
        <v>1.9569994123786489</v>
      </c>
      <c r="K28" s="3">
        <f>_xlfn.VAR.S(M28:GJ28)</f>
        <v>3.8685320202529065</v>
      </c>
      <c r="M28" s="3">
        <v>25.095075999999999</v>
      </c>
      <c r="N28" s="3">
        <v>29.816658</v>
      </c>
      <c r="O28" s="3">
        <v>25.989773</v>
      </c>
      <c r="P28" s="3">
        <v>26.649865999999999</v>
      </c>
      <c r="Q28" s="3">
        <v>27.069828000000001</v>
      </c>
      <c r="R28" s="3">
        <v>24.940956</v>
      </c>
      <c r="S28" s="3">
        <v>26.993561</v>
      </c>
      <c r="T28" s="3">
        <v>27.688997000000001</v>
      </c>
      <c r="U28" s="3">
        <v>28.246637</v>
      </c>
      <c r="V28" s="3">
        <v>28.464559999999999</v>
      </c>
      <c r="W28" s="3">
        <v>26.582457000000002</v>
      </c>
      <c r="X28" s="3">
        <v>29.013556999999999</v>
      </c>
      <c r="Y28" s="3">
        <v>26.304832000000001</v>
      </c>
      <c r="Z28" s="3">
        <v>27.855906000000001</v>
      </c>
      <c r="AA28" s="3">
        <v>29.047348</v>
      </c>
      <c r="AB28" s="3">
        <v>24.855602000000001</v>
      </c>
      <c r="AC28" s="3">
        <v>26.724481999999998</v>
      </c>
      <c r="AD28" s="3">
        <v>25.081947</v>
      </c>
      <c r="AE28" s="3">
        <v>24.805931000000001</v>
      </c>
      <c r="AF28" s="3">
        <v>28.100394999999999</v>
      </c>
      <c r="AG28" s="3">
        <v>25.897235999999999</v>
      </c>
      <c r="AH28" s="3">
        <v>28.499116999999998</v>
      </c>
      <c r="AI28" s="3">
        <v>24.322154999999999</v>
      </c>
      <c r="AJ28" s="3">
        <v>25.753070999999998</v>
      </c>
      <c r="AK28" s="3">
        <v>27.558636</v>
      </c>
      <c r="AL28" s="3">
        <v>24.557745000000001</v>
      </c>
      <c r="AM28" s="3">
        <v>26.578182000000002</v>
      </c>
      <c r="AN28" s="3">
        <v>26.878039999999999</v>
      </c>
      <c r="AO28" s="3">
        <v>27.93317</v>
      </c>
      <c r="AP28" s="3">
        <v>27.285378000000001</v>
      </c>
      <c r="AQ28" s="3">
        <v>26.133462999999999</v>
      </c>
      <c r="AR28" s="3">
        <v>27.651744999999998</v>
      </c>
      <c r="AS28" s="3">
        <v>24.356148000000001</v>
      </c>
      <c r="AT28" s="3">
        <v>26.772342999999999</v>
      </c>
      <c r="AU28" s="3">
        <v>26.402584000000001</v>
      </c>
      <c r="AV28" s="3">
        <v>23.272303000000001</v>
      </c>
      <c r="AW28" s="3">
        <v>25.6919</v>
      </c>
      <c r="AX28" s="3">
        <v>24.352512000000001</v>
      </c>
      <c r="AY28" s="3">
        <v>27.562177999999999</v>
      </c>
      <c r="AZ28" s="3">
        <v>24.908957999999998</v>
      </c>
      <c r="BA28" s="3">
        <v>26.282115999999998</v>
      </c>
      <c r="BB28" s="3">
        <v>24.053599999999999</v>
      </c>
      <c r="BC28" s="3">
        <v>24.280951999999999</v>
      </c>
      <c r="BD28" s="3">
        <v>25.505291</v>
      </c>
      <c r="BE28" s="3">
        <v>25.331726</v>
      </c>
      <c r="BF28" s="3">
        <v>21.687163999999999</v>
      </c>
      <c r="BG28" s="3">
        <v>26.402657000000001</v>
      </c>
      <c r="BH28" s="3">
        <v>24.418044999999999</v>
      </c>
      <c r="BI28" s="3">
        <v>25.835663</v>
      </c>
      <c r="BJ28" s="3">
        <v>26.925930000000001</v>
      </c>
      <c r="BK28" s="3">
        <v>25.200814999999999</v>
      </c>
      <c r="BL28" s="3">
        <v>24.855789000000001</v>
      </c>
      <c r="BM28" s="3">
        <v>29.406041999999999</v>
      </c>
      <c r="BN28" s="3">
        <v>30.840579999999999</v>
      </c>
      <c r="BO28" s="3">
        <v>24.636603999999998</v>
      </c>
      <c r="BP28" s="3">
        <v>25.104904000000001</v>
      </c>
      <c r="BQ28" s="3">
        <v>32.017024999999997</v>
      </c>
      <c r="BR28" s="3">
        <v>26.987376999999999</v>
      </c>
      <c r="BS28" s="3">
        <v>25.732161999999999</v>
      </c>
      <c r="BT28" s="3">
        <v>29.518844999999999</v>
      </c>
      <c r="BU28" s="3">
        <v>25.126871000000001</v>
      </c>
      <c r="BV28" s="3">
        <v>26.995667000000001</v>
      </c>
      <c r="BW28" s="3">
        <v>25.828551999999998</v>
      </c>
      <c r="BX28" s="3">
        <v>26.973768</v>
      </c>
      <c r="BY28" s="3">
        <v>34.889729000000003</v>
      </c>
      <c r="BZ28" s="3">
        <v>25.798359000000001</v>
      </c>
      <c r="CA28" s="3">
        <v>26.307120999999999</v>
      </c>
      <c r="CB28" s="3">
        <v>28.940321000000001</v>
      </c>
      <c r="CC28" s="3">
        <v>25.205793</v>
      </c>
      <c r="CD28" s="3">
        <v>26.713871000000001</v>
      </c>
      <c r="CE28" s="3">
        <v>25.870493</v>
      </c>
      <c r="CF28" s="3">
        <v>26.596924000000001</v>
      </c>
      <c r="CG28" s="3">
        <v>26.596046000000001</v>
      </c>
      <c r="CH28" s="3">
        <v>29.750136999999999</v>
      </c>
      <c r="CI28" s="3">
        <v>29.448073999999998</v>
      </c>
      <c r="CJ28" s="3">
        <v>25.964061999999998</v>
      </c>
      <c r="CK28" s="3">
        <v>23.640903000000002</v>
      </c>
      <c r="CL28" s="3">
        <v>25.472190999999999</v>
      </c>
      <c r="CM28" s="3">
        <v>26.086266999999999</v>
      </c>
      <c r="CN28" s="3">
        <v>27.304987000000001</v>
      </c>
      <c r="CO28" s="3">
        <v>26.855658999999999</v>
      </c>
      <c r="CP28" s="3">
        <v>26.656009999999998</v>
      </c>
      <c r="CQ28" s="3">
        <v>24.626560000000001</v>
      </c>
      <c r="CR28" s="3">
        <v>27.885403</v>
      </c>
      <c r="CS28" s="3">
        <v>28.888670000000001</v>
      </c>
      <c r="CT28" s="3">
        <v>27.172941000000002</v>
      </c>
      <c r="CU28" s="3">
        <v>25.177952000000001</v>
      </c>
      <c r="CV28" s="3">
        <v>27.696881999999999</v>
      </c>
      <c r="CW28" s="3">
        <v>26.869032000000001</v>
      </c>
      <c r="CX28" s="3">
        <v>27.344486</v>
      </c>
      <c r="CY28" s="3">
        <v>27.139241999999999</v>
      </c>
      <c r="CZ28" s="3">
        <v>26.504517</v>
      </c>
      <c r="DA28" s="3">
        <v>28.385389</v>
      </c>
      <c r="DB28" s="3">
        <v>29.777681000000001</v>
      </c>
      <c r="DC28" s="3">
        <v>29.480042000000001</v>
      </c>
      <c r="DD28" s="3">
        <v>25.600512999999999</v>
      </c>
      <c r="DE28" s="3">
        <v>23.048459999999999</v>
      </c>
      <c r="DF28" s="3">
        <v>27.578436</v>
      </c>
      <c r="DG28" s="3">
        <v>28.301123</v>
      </c>
      <c r="DH28" s="3">
        <v>29.343178000000002</v>
      </c>
      <c r="DI28" s="3"/>
      <c r="DJ28" s="3"/>
      <c r="DM28" s="3"/>
      <c r="DN28" s="3"/>
      <c r="DP28" s="3"/>
      <c r="DQ28" s="3"/>
      <c r="DR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M29" s="3"/>
      <c r="DN29" s="3"/>
      <c r="DP29" s="3"/>
      <c r="DQ29" s="3"/>
      <c r="DR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29.798652919999995</v>
      </c>
      <c r="H30" s="3">
        <f>MAX(M30:GJ30)</f>
        <v>34.592827</v>
      </c>
      <c r="I30" s="3">
        <f>MIN(M30:GJ30)</f>
        <v>25.428315999999999</v>
      </c>
      <c r="J30" s="3">
        <f>_xlfn.STDEV.P(M30:GJ30)</f>
        <v>1.7231621093839233</v>
      </c>
      <c r="K30" s="3">
        <f>_xlfn.VAR.S(M30:GJ30)</f>
        <v>2.9992804598145981</v>
      </c>
      <c r="M30" s="3">
        <v>31.622150000000001</v>
      </c>
      <c r="N30" s="3">
        <v>31.195799000000001</v>
      </c>
      <c r="O30" s="3">
        <v>30.741164999999999</v>
      </c>
      <c r="P30" s="3">
        <v>31.289534</v>
      </c>
      <c r="Q30" s="3">
        <v>32.626766000000003</v>
      </c>
      <c r="R30" s="3">
        <v>30.115283999999999</v>
      </c>
      <c r="S30" s="3">
        <v>28.027373999999998</v>
      </c>
      <c r="T30" s="3">
        <v>31.442174999999999</v>
      </c>
      <c r="U30" s="3">
        <v>33.477333000000002</v>
      </c>
      <c r="V30" s="3">
        <v>29.401274000000001</v>
      </c>
      <c r="W30" s="3">
        <v>32.319659999999999</v>
      </c>
      <c r="X30" s="3">
        <v>31.894404999999999</v>
      </c>
      <c r="Y30" s="3">
        <v>30.218416000000001</v>
      </c>
      <c r="Z30" s="3">
        <v>30.125778</v>
      </c>
      <c r="AA30" s="3">
        <v>31.105509000000001</v>
      </c>
      <c r="AB30" s="3">
        <v>30.741035</v>
      </c>
      <c r="AC30" s="3">
        <v>34.592827</v>
      </c>
      <c r="AD30" s="3">
        <v>30.189222000000001</v>
      </c>
      <c r="AE30" s="3">
        <v>32.737502999999997</v>
      </c>
      <c r="AF30" s="3">
        <v>30.505337000000001</v>
      </c>
      <c r="AG30" s="3">
        <v>29.357123999999999</v>
      </c>
      <c r="AH30" s="3">
        <v>30.752946999999999</v>
      </c>
      <c r="AI30" s="3">
        <v>29.794792000000001</v>
      </c>
      <c r="AJ30" s="3">
        <v>29.300453000000001</v>
      </c>
      <c r="AK30" s="3">
        <v>30.100163999999999</v>
      </c>
      <c r="AL30" s="3">
        <v>29.487541</v>
      </c>
      <c r="AM30" s="3">
        <v>30.591895999999998</v>
      </c>
      <c r="AN30" s="3">
        <v>30.970488</v>
      </c>
      <c r="AO30" s="3">
        <v>31.313402</v>
      </c>
      <c r="AP30" s="3">
        <v>28.009150000000002</v>
      </c>
      <c r="AQ30" s="3">
        <v>28.904436</v>
      </c>
      <c r="AR30" s="3">
        <v>31.124388</v>
      </c>
      <c r="AS30" s="3">
        <v>29.389465000000001</v>
      </c>
      <c r="AT30" s="3">
        <v>27.561689000000001</v>
      </c>
      <c r="AU30" s="3">
        <v>30.937836000000001</v>
      </c>
      <c r="AV30" s="3">
        <v>28.187752</v>
      </c>
      <c r="AW30" s="3">
        <v>29.032703000000001</v>
      </c>
      <c r="AX30" s="3">
        <v>30.764669000000001</v>
      </c>
      <c r="AY30" s="3">
        <v>28.010145000000001</v>
      </c>
      <c r="AZ30" s="3">
        <v>27.928121999999998</v>
      </c>
      <c r="BA30" s="3">
        <v>28.728354</v>
      </c>
      <c r="BB30" s="3">
        <v>28.678277999999999</v>
      </c>
      <c r="BC30" s="3">
        <v>28.659738999999998</v>
      </c>
      <c r="BD30" s="3">
        <v>26.623888000000001</v>
      </c>
      <c r="BE30" s="3">
        <v>29.232289999999999</v>
      </c>
      <c r="BF30" s="3">
        <v>27.356152000000002</v>
      </c>
      <c r="BG30" s="3">
        <v>29.978991000000001</v>
      </c>
      <c r="BH30" s="3">
        <v>28.970806</v>
      </c>
      <c r="BI30" s="3">
        <v>28.266684999999999</v>
      </c>
      <c r="BJ30" s="3">
        <v>26.698885000000001</v>
      </c>
      <c r="BK30" s="3">
        <v>27.178583</v>
      </c>
      <c r="BL30" s="3">
        <v>26.631748000000002</v>
      </c>
      <c r="BM30" s="3">
        <v>27.471800000000002</v>
      </c>
      <c r="BN30" s="3">
        <v>26.174147000000001</v>
      </c>
      <c r="BO30" s="3">
        <v>28.457747999999999</v>
      </c>
      <c r="BP30" s="3">
        <v>25.549534000000001</v>
      </c>
      <c r="BQ30" s="3">
        <v>28.500806999999998</v>
      </c>
      <c r="BR30" s="3">
        <v>27.513466000000001</v>
      </c>
      <c r="BS30" s="3">
        <v>25.428315999999999</v>
      </c>
      <c r="BT30" s="3">
        <v>27.610258000000002</v>
      </c>
      <c r="BU30" s="3">
        <v>27.720247000000001</v>
      </c>
      <c r="BV30" s="3">
        <v>31.651931999999999</v>
      </c>
      <c r="BW30" s="3">
        <v>30.409502</v>
      </c>
      <c r="BX30" s="3">
        <v>29.803567999999999</v>
      </c>
      <c r="BY30" s="3">
        <v>30.362763999999999</v>
      </c>
      <c r="BZ30" s="3">
        <v>30.630877999999999</v>
      </c>
      <c r="CA30" s="3">
        <v>31.904841999999999</v>
      </c>
      <c r="CB30" s="3">
        <v>31.005409</v>
      </c>
      <c r="CC30" s="3">
        <v>31.683644999999999</v>
      </c>
      <c r="CD30" s="3">
        <v>29.419687</v>
      </c>
      <c r="CE30" s="3">
        <v>29.485502</v>
      </c>
      <c r="CF30" s="3">
        <v>29.843520999999999</v>
      </c>
      <c r="CG30" s="3">
        <v>31.169674000000001</v>
      </c>
      <c r="CH30" s="3">
        <v>31.361612000000001</v>
      </c>
      <c r="CI30" s="3">
        <v>31.406151000000001</v>
      </c>
      <c r="CJ30" s="3">
        <v>31.160563</v>
      </c>
      <c r="CK30" s="3">
        <v>31.60181</v>
      </c>
      <c r="CL30" s="3">
        <v>33.381354999999999</v>
      </c>
      <c r="CM30" s="3">
        <v>31.233398000000001</v>
      </c>
      <c r="CN30" s="3">
        <v>29.335246999999999</v>
      </c>
      <c r="CO30" s="3">
        <v>30.142344000000001</v>
      </c>
      <c r="CP30" s="3">
        <v>30.744264999999999</v>
      </c>
      <c r="CQ30" s="3">
        <v>29.056425000000001</v>
      </c>
      <c r="CR30" s="3">
        <v>30.022849999999998</v>
      </c>
      <c r="CS30" s="3">
        <v>29.843941000000001</v>
      </c>
      <c r="CT30" s="3">
        <v>32.271712999999998</v>
      </c>
      <c r="CU30" s="3">
        <v>30.040834</v>
      </c>
      <c r="CV30" s="3">
        <v>30.769390000000001</v>
      </c>
      <c r="CW30" s="3">
        <v>29.965315</v>
      </c>
      <c r="CX30" s="3">
        <v>31.568397999999998</v>
      </c>
      <c r="CY30" s="3">
        <v>30.028082000000001</v>
      </c>
      <c r="CZ30" s="3">
        <v>29.434799000000002</v>
      </c>
      <c r="DA30" s="3">
        <v>29.782613999999999</v>
      </c>
      <c r="DB30" s="3">
        <v>29.145043999999999</v>
      </c>
      <c r="DC30" s="3">
        <v>27.497337000000002</v>
      </c>
      <c r="DD30" s="3">
        <v>28.712322</v>
      </c>
      <c r="DE30" s="3">
        <v>29.342587999999999</v>
      </c>
      <c r="DF30" s="3">
        <v>28.769763999999999</v>
      </c>
      <c r="DG30" s="3">
        <v>29.810663000000002</v>
      </c>
      <c r="DH30" s="3">
        <v>28.747114</v>
      </c>
      <c r="DI30" s="3"/>
      <c r="DJ30" s="3"/>
      <c r="DM30" s="3"/>
      <c r="DN30" s="3"/>
      <c r="DP30" s="3"/>
      <c r="DQ30" s="3"/>
      <c r="DR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M31" s="3"/>
      <c r="DN31" s="3"/>
      <c r="DP31" s="3"/>
      <c r="DQ31" s="3"/>
      <c r="DR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21.365290639999994</v>
      </c>
      <c r="H32" s="3">
        <f>MAX(M32:GJ32)</f>
        <v>24.784037000000001</v>
      </c>
      <c r="I32" s="3">
        <f>MIN(M32:GJ32)</f>
        <v>19.429742999999998</v>
      </c>
      <c r="J32" s="3">
        <f>_xlfn.STDEV.P(M32:GJ32)</f>
        <v>1.0171498157255945</v>
      </c>
      <c r="K32" s="3">
        <f>_xlfn.VAR.S(M32:GJ32)</f>
        <v>1.0450441895258695</v>
      </c>
      <c r="M32" s="3">
        <v>21.047443000000001</v>
      </c>
      <c r="N32" s="3">
        <v>21.362831</v>
      </c>
      <c r="O32" s="3">
        <v>22.328789</v>
      </c>
      <c r="P32" s="3">
        <v>22.574141999999998</v>
      </c>
      <c r="Q32" s="3">
        <v>21.477668999999999</v>
      </c>
      <c r="R32" s="3">
        <v>21.432236</v>
      </c>
      <c r="S32" s="3">
        <v>23.973731999999998</v>
      </c>
      <c r="T32" s="3">
        <v>20.170114999999999</v>
      </c>
      <c r="U32" s="3">
        <v>20.632408000000002</v>
      </c>
      <c r="V32" s="3">
        <v>22.929632000000002</v>
      </c>
      <c r="W32" s="3">
        <v>21.274799000000002</v>
      </c>
      <c r="X32" s="3">
        <v>20.541291999999999</v>
      </c>
      <c r="Y32" s="3">
        <v>20.749609</v>
      </c>
      <c r="Z32" s="3">
        <v>19.648814999999999</v>
      </c>
      <c r="AA32" s="3">
        <v>21.235417999999999</v>
      </c>
      <c r="AB32" s="3">
        <v>20.865041999999999</v>
      </c>
      <c r="AC32" s="3">
        <v>21.266855</v>
      </c>
      <c r="AD32" s="3">
        <v>20.806667000000001</v>
      </c>
      <c r="AE32" s="3">
        <v>21.170200000000001</v>
      </c>
      <c r="AF32" s="3">
        <v>21.675331</v>
      </c>
      <c r="AG32" s="3">
        <v>22.392046000000001</v>
      </c>
      <c r="AH32" s="3">
        <v>22.230405999999999</v>
      </c>
      <c r="AI32" s="3">
        <v>22.946235999999999</v>
      </c>
      <c r="AJ32" s="3">
        <v>21.423058000000001</v>
      </c>
      <c r="AK32" s="3">
        <v>21.438179000000002</v>
      </c>
      <c r="AL32" s="3">
        <v>21.611666</v>
      </c>
      <c r="AM32" s="3">
        <v>19.991403999999999</v>
      </c>
      <c r="AN32" s="3">
        <v>21.709810000000001</v>
      </c>
      <c r="AO32" s="3">
        <v>21.823626999999998</v>
      </c>
      <c r="AP32" s="3">
        <v>24.784037000000001</v>
      </c>
      <c r="AQ32" s="3">
        <v>22.340969000000001</v>
      </c>
      <c r="AR32" s="3">
        <v>21.382518999999998</v>
      </c>
      <c r="AS32" s="3">
        <v>21.237794999999998</v>
      </c>
      <c r="AT32" s="3">
        <v>20.756542</v>
      </c>
      <c r="AU32" s="3">
        <v>21.031169999999999</v>
      </c>
      <c r="AV32" s="3">
        <v>20.065739000000001</v>
      </c>
      <c r="AW32" s="3">
        <v>22.474889999999998</v>
      </c>
      <c r="AX32" s="3">
        <v>21.056826000000001</v>
      </c>
      <c r="AY32" s="3">
        <v>20.391065999999999</v>
      </c>
      <c r="AZ32" s="3">
        <v>24.282603999999999</v>
      </c>
      <c r="BA32" s="3">
        <v>21.534656999999999</v>
      </c>
      <c r="BB32" s="3">
        <v>21.656700000000001</v>
      </c>
      <c r="BC32" s="3">
        <v>21.958002</v>
      </c>
      <c r="BD32" s="3">
        <v>21.442412999999998</v>
      </c>
      <c r="BE32" s="3">
        <v>21.499434000000001</v>
      </c>
      <c r="BF32" s="3">
        <v>20.146446000000001</v>
      </c>
      <c r="BG32" s="3">
        <v>22.108931999999999</v>
      </c>
      <c r="BH32" s="3">
        <v>20.618565</v>
      </c>
      <c r="BI32" s="3">
        <v>19.787989</v>
      </c>
      <c r="BJ32" s="3">
        <v>23.690550000000002</v>
      </c>
      <c r="BK32" s="3">
        <v>21.875541999999999</v>
      </c>
      <c r="BL32" s="3">
        <v>20.487380999999999</v>
      </c>
      <c r="BM32" s="3">
        <v>19.712855999999999</v>
      </c>
      <c r="BN32" s="3">
        <v>21.015868999999999</v>
      </c>
      <c r="BO32" s="3">
        <v>21.003418</v>
      </c>
      <c r="BP32" s="3">
        <v>19.778794999999999</v>
      </c>
      <c r="BQ32" s="3">
        <v>20.943825</v>
      </c>
      <c r="BR32" s="3">
        <v>20.387829</v>
      </c>
      <c r="BS32" s="3">
        <v>21.389068999999999</v>
      </c>
      <c r="BT32" s="3">
        <v>22.344915</v>
      </c>
      <c r="BU32" s="3">
        <v>21.951006</v>
      </c>
      <c r="BV32" s="3">
        <v>21.246753999999999</v>
      </c>
      <c r="BW32" s="3">
        <v>20.643084000000002</v>
      </c>
      <c r="BX32" s="3">
        <v>19.61936</v>
      </c>
      <c r="BY32" s="3">
        <v>20.804767999999999</v>
      </c>
      <c r="BZ32" s="3">
        <v>21.23686</v>
      </c>
      <c r="CA32" s="3">
        <v>23.141582</v>
      </c>
      <c r="CB32" s="3">
        <v>20.951733000000001</v>
      </c>
      <c r="CC32" s="3">
        <v>21.622444000000002</v>
      </c>
      <c r="CD32" s="3">
        <v>21.958210000000001</v>
      </c>
      <c r="CE32" s="3">
        <v>19.926313</v>
      </c>
      <c r="CF32" s="3">
        <v>21.884862999999999</v>
      </c>
      <c r="CG32" s="3">
        <v>19.429742999999998</v>
      </c>
      <c r="CH32" s="3">
        <v>20.732403000000001</v>
      </c>
      <c r="CI32" s="3">
        <v>21.666305999999999</v>
      </c>
      <c r="CJ32" s="3">
        <v>21.331092999999999</v>
      </c>
      <c r="CK32" s="3">
        <v>21.258638000000001</v>
      </c>
      <c r="CL32" s="3">
        <v>21.662416</v>
      </c>
      <c r="CM32" s="3">
        <v>22.162047999999999</v>
      </c>
      <c r="CN32" s="3">
        <v>21.831194</v>
      </c>
      <c r="CO32" s="3">
        <v>19.888462000000001</v>
      </c>
      <c r="CP32" s="3">
        <v>21.085664999999999</v>
      </c>
      <c r="CQ32" s="3">
        <v>20.758586999999999</v>
      </c>
      <c r="CR32" s="3">
        <v>20.745977</v>
      </c>
      <c r="CS32" s="3">
        <v>20.770533</v>
      </c>
      <c r="CT32" s="3">
        <v>20.991211</v>
      </c>
      <c r="CU32" s="3">
        <v>21.358946</v>
      </c>
      <c r="CV32" s="3">
        <v>21.017948000000001</v>
      </c>
      <c r="CW32" s="3">
        <v>20.977453000000001</v>
      </c>
      <c r="CX32" s="3">
        <v>23.495667000000001</v>
      </c>
      <c r="CY32" s="3">
        <v>22.78886</v>
      </c>
      <c r="CZ32" s="3">
        <v>20.706861</v>
      </c>
      <c r="DA32" s="3">
        <v>20.812339999999999</v>
      </c>
      <c r="DB32" s="3">
        <v>22.266556000000001</v>
      </c>
      <c r="DC32" s="3">
        <v>21.147511999999999</v>
      </c>
      <c r="DD32" s="3">
        <v>20.013888999999999</v>
      </c>
      <c r="DE32" s="3">
        <v>23.054047000000001</v>
      </c>
      <c r="DF32" s="3">
        <v>20.867754000000001</v>
      </c>
      <c r="DG32" s="3">
        <v>20.771937999999999</v>
      </c>
      <c r="DH32" s="3">
        <v>22.031238999999999</v>
      </c>
      <c r="DI32" s="3"/>
      <c r="DJ32" s="3"/>
      <c r="DM32" s="3"/>
      <c r="DN32" s="3"/>
      <c r="DP32" s="3"/>
      <c r="DQ32" s="3"/>
      <c r="DR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M33" s="3"/>
      <c r="DN33" s="3"/>
      <c r="DP33" s="3"/>
      <c r="DQ33" s="3"/>
      <c r="DR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23.297356799999999</v>
      </c>
      <c r="H34" s="3">
        <f>MAX(M34:GJ34)</f>
        <v>26.736145</v>
      </c>
      <c r="I34" s="3">
        <f>MIN(M34:GJ34)</f>
        <v>19.167619999999999</v>
      </c>
      <c r="J34" s="3">
        <f>_xlfn.STDEV.P(M34:GJ34)</f>
        <v>1.5913678533692264</v>
      </c>
      <c r="K34" s="3">
        <f>_xlfn.VAR.S(M34:GJ34)</f>
        <v>2.5580319643807874</v>
      </c>
      <c r="M34" s="3">
        <v>22.370396</v>
      </c>
      <c r="N34" s="3">
        <v>22.144649999999999</v>
      </c>
      <c r="O34" s="3">
        <v>22.476224999999999</v>
      </c>
      <c r="P34" s="3">
        <v>23.538809000000001</v>
      </c>
      <c r="Q34" s="3">
        <v>25.722422000000002</v>
      </c>
      <c r="R34" s="3">
        <v>26.736145</v>
      </c>
      <c r="S34" s="3">
        <v>23.014395</v>
      </c>
      <c r="T34" s="3">
        <v>22.470022</v>
      </c>
      <c r="U34" s="3">
        <v>23.173957999999999</v>
      </c>
      <c r="V34" s="3">
        <v>24.228957999999999</v>
      </c>
      <c r="W34" s="3">
        <v>24.998391999999999</v>
      </c>
      <c r="X34" s="3">
        <v>22.640744999999999</v>
      </c>
      <c r="Y34" s="3">
        <v>21.027301999999999</v>
      </c>
      <c r="Z34" s="3">
        <v>24.891289</v>
      </c>
      <c r="AA34" s="3">
        <v>23.976279999999999</v>
      </c>
      <c r="AB34" s="3">
        <v>22.764980000000001</v>
      </c>
      <c r="AC34" s="3">
        <v>23.653700000000001</v>
      </c>
      <c r="AD34" s="3">
        <v>21.316165999999999</v>
      </c>
      <c r="AE34" s="3">
        <v>23.625222999999998</v>
      </c>
      <c r="AF34" s="3">
        <v>24.274584000000001</v>
      </c>
      <c r="AG34" s="3">
        <v>23.54701</v>
      </c>
      <c r="AH34" s="3">
        <v>19.167619999999999</v>
      </c>
      <c r="AI34" s="3">
        <v>24.212152</v>
      </c>
      <c r="AJ34" s="3">
        <v>24.785848999999999</v>
      </c>
      <c r="AK34" s="3">
        <v>22.613289000000002</v>
      </c>
      <c r="AL34" s="3">
        <v>20.358713000000002</v>
      </c>
      <c r="AM34" s="3">
        <v>22.613239</v>
      </c>
      <c r="AN34" s="3">
        <v>21.991982</v>
      </c>
      <c r="AO34" s="3">
        <v>23.772295</v>
      </c>
      <c r="AP34" s="3">
        <v>22.287946999999999</v>
      </c>
      <c r="AQ34" s="3">
        <v>26.079113</v>
      </c>
      <c r="AR34" s="3">
        <v>19.406192999999998</v>
      </c>
      <c r="AS34" s="3">
        <v>23.546381</v>
      </c>
      <c r="AT34" s="3">
        <v>23.93404</v>
      </c>
      <c r="AU34" s="3">
        <v>25.407063999999998</v>
      </c>
      <c r="AV34" s="3">
        <v>25.898620999999999</v>
      </c>
      <c r="AW34" s="3">
        <v>23.515024</v>
      </c>
      <c r="AX34" s="3">
        <v>21.749915999999999</v>
      </c>
      <c r="AY34" s="3">
        <v>25.403164</v>
      </c>
      <c r="AZ34" s="3">
        <v>22.278578</v>
      </c>
      <c r="BA34" s="3">
        <v>21.242521</v>
      </c>
      <c r="BB34" s="3">
        <v>21.242681999999999</v>
      </c>
      <c r="BC34" s="3">
        <v>22.133282000000001</v>
      </c>
      <c r="BD34" s="3">
        <v>23.736764999999998</v>
      </c>
      <c r="BE34" s="3">
        <v>22.582632</v>
      </c>
      <c r="BF34" s="3">
        <v>23.15221</v>
      </c>
      <c r="BG34" s="3">
        <v>20.657025999999998</v>
      </c>
      <c r="BH34" s="3">
        <v>22.085505000000001</v>
      </c>
      <c r="BI34" s="3">
        <v>24.755875</v>
      </c>
      <c r="BJ34" s="3">
        <v>23.030045999999999</v>
      </c>
      <c r="BK34" s="3">
        <v>20.618296000000001</v>
      </c>
      <c r="BL34" s="3">
        <v>23.375353</v>
      </c>
      <c r="BM34" s="3">
        <v>21.785187000000001</v>
      </c>
      <c r="BN34" s="3">
        <v>24.684725</v>
      </c>
      <c r="BO34" s="3">
        <v>21.713476</v>
      </c>
      <c r="BP34" s="3">
        <v>25.261769999999999</v>
      </c>
      <c r="BQ34" s="3">
        <v>24.775266999999999</v>
      </c>
      <c r="BR34" s="3">
        <v>23.620293</v>
      </c>
      <c r="BS34" s="3">
        <v>21.340696000000001</v>
      </c>
      <c r="BT34" s="3">
        <v>20.462956999999999</v>
      </c>
      <c r="BU34" s="3">
        <v>22.454868000000001</v>
      </c>
      <c r="BV34" s="3">
        <v>23.605307</v>
      </c>
      <c r="BW34" s="3">
        <v>20.634444999999999</v>
      </c>
      <c r="BX34" s="3">
        <v>24.730713000000002</v>
      </c>
      <c r="BY34" s="3">
        <v>23.862622999999999</v>
      </c>
      <c r="BZ34" s="3">
        <v>22.154646</v>
      </c>
      <c r="CA34" s="3">
        <v>22.925412999999999</v>
      </c>
      <c r="CB34" s="3">
        <v>24.692561999999999</v>
      </c>
      <c r="CC34" s="3">
        <v>21.189223999999999</v>
      </c>
      <c r="CD34" s="3">
        <v>23.811287</v>
      </c>
      <c r="CE34" s="3">
        <v>24.199869</v>
      </c>
      <c r="CF34" s="3">
        <v>20.141773000000001</v>
      </c>
      <c r="CG34" s="3">
        <v>22.128374000000001</v>
      </c>
      <c r="CH34" s="3">
        <v>24.909727</v>
      </c>
      <c r="CI34" s="3">
        <v>22.569803</v>
      </c>
      <c r="CJ34" s="3">
        <v>24.349401</v>
      </c>
      <c r="CK34" s="3">
        <v>24.060262999999999</v>
      </c>
      <c r="CL34" s="3">
        <v>24.437349000000001</v>
      </c>
      <c r="CM34" s="3">
        <v>23.453886000000001</v>
      </c>
      <c r="CN34" s="3">
        <v>23.604858</v>
      </c>
      <c r="CO34" s="3">
        <v>24.284019000000001</v>
      </c>
      <c r="CP34" s="3">
        <v>25.532284000000001</v>
      </c>
      <c r="CQ34" s="3">
        <v>21.737335000000002</v>
      </c>
      <c r="CR34" s="3">
        <v>25.831175000000002</v>
      </c>
      <c r="CS34" s="3">
        <v>26.491755000000001</v>
      </c>
      <c r="CT34" s="3">
        <v>22.22081</v>
      </c>
      <c r="CU34" s="3">
        <v>25.626290999999998</v>
      </c>
      <c r="CV34" s="3">
        <v>24.122097</v>
      </c>
      <c r="CW34" s="3">
        <v>23.210277999999999</v>
      </c>
      <c r="CX34" s="3">
        <v>22.703036999999998</v>
      </c>
      <c r="CY34" s="3">
        <v>23.352813999999999</v>
      </c>
      <c r="CZ34" s="3">
        <v>24.959377</v>
      </c>
      <c r="DA34" s="3">
        <v>22.961690999999998</v>
      </c>
      <c r="DB34" s="3">
        <v>24.908156999999999</v>
      </c>
      <c r="DC34" s="3">
        <v>24.847265</v>
      </c>
      <c r="DD34" s="3">
        <v>25.197970999999999</v>
      </c>
      <c r="DE34" s="3">
        <v>23.738802</v>
      </c>
      <c r="DF34" s="3">
        <v>23.185082999999999</v>
      </c>
      <c r="DG34" s="3">
        <v>25.046431999999999</v>
      </c>
      <c r="DH34" s="3">
        <v>21.993220999999998</v>
      </c>
      <c r="DI34" s="3"/>
      <c r="DJ34" s="3"/>
      <c r="DM34" s="3"/>
      <c r="DN34" s="3"/>
      <c r="DP34" s="3"/>
      <c r="DQ34" s="3"/>
      <c r="DR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M35" s="3"/>
      <c r="DN35" s="3"/>
      <c r="DP35" s="3"/>
      <c r="DQ35" s="3"/>
      <c r="DR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7" spans="2:207" x14ac:dyDescent="0.2">
      <c r="B37" t="s">
        <v>60</v>
      </c>
      <c r="D37" s="1" t="s">
        <v>31</v>
      </c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23.694321580000011</v>
      </c>
      <c r="H38" s="3">
        <f>MAX(M38:GJ38)</f>
        <v>26.617508000000001</v>
      </c>
      <c r="I38" s="3">
        <f>MIN(M38:GJ38)</f>
        <v>22.410966999999999</v>
      </c>
      <c r="J38" s="3">
        <f>_xlfn.STDEV.P(M38:GJ38)</f>
        <v>0.91302108148786099</v>
      </c>
      <c r="K38" s="3">
        <f>_xlfn.VAR.S(M38:GJ38)</f>
        <v>0.84202777297097298</v>
      </c>
      <c r="M38" s="3">
        <v>23.312577999999998</v>
      </c>
      <c r="N38" s="3">
        <v>23.202940000000002</v>
      </c>
      <c r="O38" s="3">
        <v>24.787233000000001</v>
      </c>
      <c r="P38" s="3">
        <v>23.084835000000002</v>
      </c>
      <c r="Q38" s="3">
        <v>26.140535</v>
      </c>
      <c r="R38" s="3">
        <v>25.127094</v>
      </c>
      <c r="S38" s="3">
        <v>22.410966999999999</v>
      </c>
      <c r="T38" s="3">
        <v>23.407602000000001</v>
      </c>
      <c r="U38" s="3">
        <v>23.346654999999998</v>
      </c>
      <c r="V38" s="3">
        <v>23.380047000000001</v>
      </c>
      <c r="W38" s="3">
        <v>23.679914</v>
      </c>
      <c r="X38" s="3">
        <v>23.935980000000001</v>
      </c>
      <c r="Y38" s="3">
        <v>26.547326999999999</v>
      </c>
      <c r="Z38" s="3">
        <v>23.088246999999999</v>
      </c>
      <c r="AA38" s="3">
        <v>23.013838</v>
      </c>
      <c r="AB38" s="3">
        <v>23.337935999999999</v>
      </c>
      <c r="AC38" s="3">
        <v>23.076736</v>
      </c>
      <c r="AD38" s="3">
        <v>22.773195000000001</v>
      </c>
      <c r="AE38" s="3">
        <v>23.997540999999998</v>
      </c>
      <c r="AF38" s="3">
        <v>23.382193000000001</v>
      </c>
      <c r="AG38" s="3">
        <v>24.009229999999999</v>
      </c>
      <c r="AH38" s="3">
        <v>23.619938000000001</v>
      </c>
      <c r="AI38" s="3">
        <v>23.045763000000001</v>
      </c>
      <c r="AJ38" s="3">
        <v>24.054843999999999</v>
      </c>
      <c r="AK38" s="3">
        <v>23.066300999999999</v>
      </c>
      <c r="AL38" s="3">
        <v>22.968116999999999</v>
      </c>
      <c r="AM38" s="3">
        <v>23.659898999999999</v>
      </c>
      <c r="AN38" s="3">
        <v>23.012685999999999</v>
      </c>
      <c r="AO38" s="3">
        <v>23.189339</v>
      </c>
      <c r="AP38" s="3">
        <v>24.426033</v>
      </c>
      <c r="AQ38" s="3">
        <v>23.605015000000002</v>
      </c>
      <c r="AR38" s="3">
        <v>23.383448000000001</v>
      </c>
      <c r="AS38" s="3">
        <v>23.200012000000001</v>
      </c>
      <c r="AT38" s="3">
        <v>26.501170999999999</v>
      </c>
      <c r="AU38" s="3">
        <v>24.432552000000001</v>
      </c>
      <c r="AV38" s="3">
        <v>23.173715999999999</v>
      </c>
      <c r="AW38" s="3">
        <v>22.906846999999999</v>
      </c>
      <c r="AX38" s="3">
        <v>23.481482</v>
      </c>
      <c r="AY38" s="3">
        <v>26.617508000000001</v>
      </c>
      <c r="AZ38" s="3">
        <v>25.447454</v>
      </c>
      <c r="BA38" s="3">
        <v>23.45289</v>
      </c>
      <c r="BB38" s="3">
        <v>22.986664000000001</v>
      </c>
      <c r="BC38" s="3">
        <v>23.188343</v>
      </c>
      <c r="BD38" s="3">
        <v>23.246414000000001</v>
      </c>
      <c r="BE38" s="3">
        <v>25.459561999999998</v>
      </c>
      <c r="BF38" s="3">
        <v>23.096465999999999</v>
      </c>
      <c r="BG38" s="3">
        <v>23.630526</v>
      </c>
      <c r="BH38" s="3">
        <v>26.47418</v>
      </c>
      <c r="BI38" s="3">
        <v>23.432486999999998</v>
      </c>
      <c r="BJ38" s="3">
        <v>23.980233999999999</v>
      </c>
      <c r="BK38" s="3">
        <v>22.725429999999999</v>
      </c>
      <c r="BL38" s="3">
        <v>23.079512000000001</v>
      </c>
      <c r="BM38" s="3">
        <v>23.152059999999999</v>
      </c>
      <c r="BN38" s="3">
        <v>22.837482000000001</v>
      </c>
      <c r="BO38" s="3">
        <v>24.047108000000001</v>
      </c>
      <c r="BP38" s="3">
        <v>25.696842</v>
      </c>
      <c r="BQ38" s="3">
        <v>23.487051000000001</v>
      </c>
      <c r="BR38" s="3">
        <v>23.600747999999999</v>
      </c>
      <c r="BS38" s="3">
        <v>23.259810999999999</v>
      </c>
      <c r="BT38" s="3">
        <v>23.224132999999998</v>
      </c>
      <c r="BU38" s="3">
        <v>24.345897999999998</v>
      </c>
      <c r="BV38" s="3">
        <v>23.868642999999999</v>
      </c>
      <c r="BW38" s="3">
        <v>23.252237000000001</v>
      </c>
      <c r="BX38" s="3">
        <v>22.895575000000001</v>
      </c>
      <c r="BY38" s="3">
        <v>23.273572999999999</v>
      </c>
      <c r="BZ38" s="3">
        <v>23.098444000000001</v>
      </c>
      <c r="CA38" s="3">
        <v>25.056221000000001</v>
      </c>
      <c r="CB38" s="3">
        <v>23.209133000000001</v>
      </c>
      <c r="CC38" s="3">
        <v>23.083704000000001</v>
      </c>
      <c r="CD38" s="3">
        <v>22.944268999999998</v>
      </c>
      <c r="CE38" s="3">
        <v>23.217855</v>
      </c>
      <c r="CF38" s="3">
        <v>24.646379</v>
      </c>
      <c r="CG38" s="3">
        <v>23.212381000000001</v>
      </c>
      <c r="CH38" s="3">
        <v>24.097826000000001</v>
      </c>
      <c r="CI38" s="3">
        <v>23.235413000000001</v>
      </c>
      <c r="CJ38" s="3">
        <v>23.216393</v>
      </c>
      <c r="CK38" s="3">
        <v>23.004704</v>
      </c>
      <c r="CL38" s="3">
        <v>23.217486999999998</v>
      </c>
      <c r="CM38" s="3">
        <v>23.346722</v>
      </c>
      <c r="CN38" s="3">
        <v>23.129878999999999</v>
      </c>
      <c r="CO38" s="3">
        <v>23.164245999999999</v>
      </c>
      <c r="CP38" s="3">
        <v>23.082773</v>
      </c>
      <c r="CQ38" s="3">
        <v>23.337205999999998</v>
      </c>
      <c r="CR38" s="3">
        <v>23.478612999999999</v>
      </c>
      <c r="CS38" s="3">
        <v>23.346191000000001</v>
      </c>
      <c r="CT38" s="3">
        <v>25.950707999999999</v>
      </c>
      <c r="CU38" s="3">
        <v>23.220859999999998</v>
      </c>
      <c r="CV38" s="3">
        <v>22.920453999999999</v>
      </c>
      <c r="CW38" s="3">
        <v>23.368041999999999</v>
      </c>
      <c r="CX38" s="3">
        <v>23.130109999999998</v>
      </c>
      <c r="CY38" s="3">
        <v>24.161839000000001</v>
      </c>
      <c r="CZ38" s="3">
        <v>24.528873000000001</v>
      </c>
      <c r="DA38" s="3">
        <v>23.844398000000002</v>
      </c>
      <c r="DB38" s="3">
        <v>23.594147</v>
      </c>
      <c r="DC38" s="3">
        <v>23.746991999999999</v>
      </c>
      <c r="DD38" s="3">
        <v>24.099544999999999</v>
      </c>
      <c r="DE38" s="3">
        <v>23.704744000000002</v>
      </c>
      <c r="DF38" s="3">
        <v>24.246411999999999</v>
      </c>
      <c r="DG38" s="3">
        <v>23.321498999999999</v>
      </c>
      <c r="DH38" s="3">
        <v>22.939079</v>
      </c>
      <c r="DI38" s="3"/>
      <c r="DJ38" s="3"/>
      <c r="DM38" s="3"/>
      <c r="DN38" s="3"/>
      <c r="DP38" s="3"/>
      <c r="DQ38" s="3"/>
      <c r="DR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M39" s="3"/>
      <c r="DN39" s="3"/>
      <c r="DP39" s="3"/>
      <c r="DQ39" s="3"/>
      <c r="DR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22.991567820000004</v>
      </c>
      <c r="H40" s="3">
        <f>MAX(M40:GJ40)</f>
        <v>31.631954</v>
      </c>
      <c r="I40" s="3">
        <f>MIN(M40:GJ40)</f>
        <v>18.111488000000001</v>
      </c>
      <c r="J40" s="3">
        <f>_xlfn.STDEV.P(M40:GJ40)</f>
        <v>2.186231516053244</v>
      </c>
      <c r="K40" s="3">
        <f>_xlfn.VAR.S(M40:GJ40)</f>
        <v>4.8278871129136025</v>
      </c>
      <c r="M40" s="3">
        <v>24.651423000000001</v>
      </c>
      <c r="N40" s="3">
        <v>31.631954</v>
      </c>
      <c r="O40" s="3">
        <v>24.942361999999999</v>
      </c>
      <c r="P40" s="3">
        <v>20.416163999999998</v>
      </c>
      <c r="Q40" s="3">
        <v>24.140072</v>
      </c>
      <c r="R40" s="3">
        <v>21.587758999999998</v>
      </c>
      <c r="S40" s="3">
        <v>24.737503</v>
      </c>
      <c r="T40" s="3">
        <v>25.067568000000001</v>
      </c>
      <c r="U40" s="3">
        <v>26.827121999999999</v>
      </c>
      <c r="V40" s="3">
        <v>21.146954999999998</v>
      </c>
      <c r="W40" s="3">
        <v>23.467151999999999</v>
      </c>
      <c r="X40" s="3">
        <v>26.846105999999999</v>
      </c>
      <c r="Y40" s="3">
        <v>25.054988999999999</v>
      </c>
      <c r="Z40" s="3">
        <v>22.847635</v>
      </c>
      <c r="AA40" s="3">
        <v>25.491463</v>
      </c>
      <c r="AB40" s="3">
        <v>21.409780999999999</v>
      </c>
      <c r="AC40" s="3">
        <v>25.051553999999999</v>
      </c>
      <c r="AD40" s="3">
        <v>22.376017000000001</v>
      </c>
      <c r="AE40" s="3">
        <v>22.382563000000001</v>
      </c>
      <c r="AF40" s="3">
        <v>23.289707</v>
      </c>
      <c r="AG40" s="3">
        <v>23.958331999999999</v>
      </c>
      <c r="AH40" s="3">
        <v>25.859750999999999</v>
      </c>
      <c r="AI40" s="3">
        <v>23.364407</v>
      </c>
      <c r="AJ40" s="3">
        <v>20.539802999999999</v>
      </c>
      <c r="AK40" s="3">
        <v>22.828827</v>
      </c>
      <c r="AL40" s="3">
        <v>22.978808999999998</v>
      </c>
      <c r="AM40" s="3">
        <v>23.936817000000001</v>
      </c>
      <c r="AN40" s="3">
        <v>20.420566999999998</v>
      </c>
      <c r="AO40" s="3">
        <v>22.429614999999998</v>
      </c>
      <c r="AP40" s="3">
        <v>21.769321000000001</v>
      </c>
      <c r="AQ40" s="3">
        <v>23.91283</v>
      </c>
      <c r="AR40" s="3">
        <v>26.289776</v>
      </c>
      <c r="AS40" s="3">
        <v>24.202864000000002</v>
      </c>
      <c r="AT40" s="3">
        <v>20.816095000000001</v>
      </c>
      <c r="AU40" s="3">
        <v>22.669167999999999</v>
      </c>
      <c r="AV40" s="3">
        <v>20.622451999999999</v>
      </c>
      <c r="AW40" s="3">
        <v>23.598320000000001</v>
      </c>
      <c r="AX40" s="3">
        <v>22.037006000000002</v>
      </c>
      <c r="AY40" s="3">
        <v>25.040485</v>
      </c>
      <c r="AZ40" s="3">
        <v>20.025742000000001</v>
      </c>
      <c r="BA40" s="3">
        <v>24.443642000000001</v>
      </c>
      <c r="BB40" s="3">
        <v>23.329321</v>
      </c>
      <c r="BC40" s="3">
        <v>24.518473</v>
      </c>
      <c r="BD40" s="3">
        <v>21.304148000000001</v>
      </c>
      <c r="BE40" s="3">
        <v>20.489937000000001</v>
      </c>
      <c r="BF40" s="3">
        <v>21.089614999999998</v>
      </c>
      <c r="BG40" s="3">
        <v>25.640709000000001</v>
      </c>
      <c r="BH40" s="3">
        <v>21.675629000000001</v>
      </c>
      <c r="BI40" s="3">
        <v>22.191357</v>
      </c>
      <c r="BJ40" s="3">
        <v>22.833020999999999</v>
      </c>
      <c r="BK40" s="3">
        <v>25.165002999999999</v>
      </c>
      <c r="BL40" s="3">
        <v>21.124241000000001</v>
      </c>
      <c r="BM40" s="3">
        <v>25.429044999999999</v>
      </c>
      <c r="BN40" s="3">
        <v>25.979707999999999</v>
      </c>
      <c r="BO40" s="3">
        <v>24.207159000000001</v>
      </c>
      <c r="BP40" s="3">
        <v>23.641302</v>
      </c>
      <c r="BQ40" s="3">
        <v>26.819941</v>
      </c>
      <c r="BR40" s="3">
        <v>23.423496</v>
      </c>
      <c r="BS40" s="3">
        <v>19.553958999999999</v>
      </c>
      <c r="BT40" s="3">
        <v>20.116882</v>
      </c>
      <c r="BU40" s="3">
        <v>21.864346999999999</v>
      </c>
      <c r="BV40" s="3">
        <v>19.775857999999999</v>
      </c>
      <c r="BW40" s="3">
        <v>24.023005000000001</v>
      </c>
      <c r="BX40" s="3">
        <v>20.724170999999998</v>
      </c>
      <c r="BY40" s="3">
        <v>25.444569000000001</v>
      </c>
      <c r="BZ40" s="3">
        <v>24.510921</v>
      </c>
      <c r="CA40" s="3">
        <v>24.545677000000001</v>
      </c>
      <c r="CB40" s="3">
        <v>21.815657000000002</v>
      </c>
      <c r="CC40" s="3">
        <v>19.883593000000001</v>
      </c>
      <c r="CD40" s="3">
        <v>20.392320999999999</v>
      </c>
      <c r="CE40" s="3">
        <v>24.116382999999999</v>
      </c>
      <c r="CF40" s="3">
        <v>21.271767000000001</v>
      </c>
      <c r="CG40" s="3">
        <v>24.536762</v>
      </c>
      <c r="CH40" s="3">
        <v>20.540126999999998</v>
      </c>
      <c r="CI40" s="3">
        <v>22.545673000000001</v>
      </c>
      <c r="CJ40" s="3">
        <v>23.489542</v>
      </c>
      <c r="CK40" s="3">
        <v>23.661753000000001</v>
      </c>
      <c r="CL40" s="3">
        <v>20.114533999999999</v>
      </c>
      <c r="CM40" s="3">
        <v>19.758589000000001</v>
      </c>
      <c r="CN40" s="3">
        <v>21.227174999999999</v>
      </c>
      <c r="CO40" s="3">
        <v>24.500527999999999</v>
      </c>
      <c r="CP40" s="3">
        <v>19.678906999999999</v>
      </c>
      <c r="CQ40" s="3">
        <v>22.527882000000002</v>
      </c>
      <c r="CR40" s="3">
        <v>18.921514999999999</v>
      </c>
      <c r="CS40" s="3">
        <v>26.344389</v>
      </c>
      <c r="CT40" s="3">
        <v>22.234297000000002</v>
      </c>
      <c r="CU40" s="3">
        <v>24.611775999999999</v>
      </c>
      <c r="CV40" s="3">
        <v>23.740288</v>
      </c>
      <c r="CW40" s="3">
        <v>19.838536999999999</v>
      </c>
      <c r="CX40" s="3">
        <v>22.083136</v>
      </c>
      <c r="CY40" s="3">
        <v>24.616019999999999</v>
      </c>
      <c r="CZ40" s="3">
        <v>20.574369000000001</v>
      </c>
      <c r="DA40" s="3">
        <v>25.204226999999999</v>
      </c>
      <c r="DB40" s="3">
        <v>18.111488000000001</v>
      </c>
      <c r="DC40" s="3">
        <v>23.868563000000002</v>
      </c>
      <c r="DD40" s="3">
        <v>22.140266</v>
      </c>
      <c r="DE40" s="3">
        <v>22.551145999999999</v>
      </c>
      <c r="DF40" s="3">
        <v>21.997463</v>
      </c>
      <c r="DG40" s="3">
        <v>24.072749999999999</v>
      </c>
      <c r="DH40" s="3">
        <v>23.653386999999999</v>
      </c>
      <c r="DI40" s="3"/>
      <c r="DJ40" s="3"/>
      <c r="DM40" s="3"/>
      <c r="DN40" s="3"/>
      <c r="DP40" s="3"/>
      <c r="DQ40" s="3"/>
      <c r="DR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M41" s="3"/>
      <c r="DN41" s="3"/>
      <c r="DP41" s="3"/>
      <c r="DQ41" s="3"/>
      <c r="DR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25.661694420000003</v>
      </c>
      <c r="H42" s="3">
        <f>MAX(M42:GJ42)</f>
        <v>29.786089</v>
      </c>
      <c r="I42" s="3">
        <f>MIN(M42:GJ42)</f>
        <v>22.981542999999999</v>
      </c>
      <c r="J42" s="3">
        <f>_xlfn.STDEV.P(M42:GJ42)</f>
        <v>1.0768109583338221</v>
      </c>
      <c r="K42" s="3">
        <f>_xlfn.VAR.S(M42:GJ42)</f>
        <v>1.1712341818058627</v>
      </c>
      <c r="M42" s="3">
        <v>28.119918999999999</v>
      </c>
      <c r="N42" s="3">
        <v>27.901743</v>
      </c>
      <c r="O42" s="3">
        <v>26.145197</v>
      </c>
      <c r="P42" s="3">
        <v>24.494553</v>
      </c>
      <c r="Q42" s="3">
        <v>25.754097000000002</v>
      </c>
      <c r="R42" s="3">
        <v>26.32938</v>
      </c>
      <c r="S42" s="3">
        <v>24.626912999999998</v>
      </c>
      <c r="T42" s="3">
        <v>25.663526999999998</v>
      </c>
      <c r="U42" s="3">
        <v>26.201107</v>
      </c>
      <c r="V42" s="3">
        <v>25.190442999999998</v>
      </c>
      <c r="W42" s="3">
        <v>27.384284999999998</v>
      </c>
      <c r="X42" s="3">
        <v>27.423355000000001</v>
      </c>
      <c r="Y42" s="3">
        <v>26.666822</v>
      </c>
      <c r="Z42" s="3">
        <v>25.130842000000001</v>
      </c>
      <c r="AA42" s="3">
        <v>25.20805</v>
      </c>
      <c r="AB42" s="3">
        <v>27.049493999999999</v>
      </c>
      <c r="AC42" s="3">
        <v>29.786089</v>
      </c>
      <c r="AD42" s="3">
        <v>26.782240000000002</v>
      </c>
      <c r="AE42" s="3">
        <v>26.569790000000001</v>
      </c>
      <c r="AF42" s="3">
        <v>25.310279999999999</v>
      </c>
      <c r="AG42" s="3">
        <v>25.873456999999998</v>
      </c>
      <c r="AH42" s="3">
        <v>26.204626000000001</v>
      </c>
      <c r="AI42" s="3">
        <v>24.720614999999999</v>
      </c>
      <c r="AJ42" s="3">
        <v>25.830383000000001</v>
      </c>
      <c r="AK42" s="3">
        <v>26.085826999999998</v>
      </c>
      <c r="AL42" s="3">
        <v>25.872523999999999</v>
      </c>
      <c r="AM42" s="3">
        <v>25.893260999999999</v>
      </c>
      <c r="AN42" s="3">
        <v>25.444513000000001</v>
      </c>
      <c r="AO42" s="3">
        <v>27.922423999999999</v>
      </c>
      <c r="AP42" s="3">
        <v>23.882325999999999</v>
      </c>
      <c r="AQ42" s="3">
        <v>25.566421999999999</v>
      </c>
      <c r="AR42" s="3">
        <v>26.395206000000002</v>
      </c>
      <c r="AS42" s="3">
        <v>24.713919000000001</v>
      </c>
      <c r="AT42" s="3">
        <v>25.378900999999999</v>
      </c>
      <c r="AU42" s="3">
        <v>25.590047999999999</v>
      </c>
      <c r="AV42" s="3">
        <v>25.985230999999999</v>
      </c>
      <c r="AW42" s="3">
        <v>24.24859</v>
      </c>
      <c r="AX42" s="3">
        <v>25.758699</v>
      </c>
      <c r="AY42" s="3">
        <v>24.707495000000002</v>
      </c>
      <c r="AZ42" s="3">
        <v>25.437781999999999</v>
      </c>
      <c r="BA42" s="3">
        <v>26.242076999999998</v>
      </c>
      <c r="BB42" s="3">
        <v>26.889561</v>
      </c>
      <c r="BC42" s="3">
        <v>24.24663</v>
      </c>
      <c r="BD42" s="3">
        <v>25.034030999999999</v>
      </c>
      <c r="BE42" s="3">
        <v>24.599557999999998</v>
      </c>
      <c r="BF42" s="3">
        <v>24.885777999999998</v>
      </c>
      <c r="BG42" s="3">
        <v>25.066326</v>
      </c>
      <c r="BH42" s="3">
        <v>24.841501000000001</v>
      </c>
      <c r="BI42" s="3">
        <v>27.629967000000001</v>
      </c>
      <c r="BJ42" s="3">
        <v>22.981542999999999</v>
      </c>
      <c r="BK42" s="3">
        <v>24.479407999999999</v>
      </c>
      <c r="BL42" s="3">
        <v>24.535005999999999</v>
      </c>
      <c r="BM42" s="3">
        <v>24.287369000000002</v>
      </c>
      <c r="BN42" s="3">
        <v>24.852001000000001</v>
      </c>
      <c r="BO42" s="3">
        <v>25.076988</v>
      </c>
      <c r="BP42" s="3">
        <v>24.622906</v>
      </c>
      <c r="BQ42" s="3">
        <v>24.711632000000002</v>
      </c>
      <c r="BR42" s="3">
        <v>23.963183999999998</v>
      </c>
      <c r="BS42" s="3">
        <v>24.112670999999999</v>
      </c>
      <c r="BT42" s="3">
        <v>25.221270000000001</v>
      </c>
      <c r="BU42" s="3">
        <v>26.120139999999999</v>
      </c>
      <c r="BV42" s="3">
        <v>27.603010000000001</v>
      </c>
      <c r="BW42" s="3">
        <v>26.164179000000001</v>
      </c>
      <c r="BX42" s="3">
        <v>24.946123</v>
      </c>
      <c r="BY42" s="3">
        <v>25.348496999999998</v>
      </c>
      <c r="BZ42" s="3">
        <v>27.503958000000001</v>
      </c>
      <c r="CA42" s="3">
        <v>25.694464</v>
      </c>
      <c r="CB42" s="3">
        <v>25.716418999999998</v>
      </c>
      <c r="CC42" s="3">
        <v>26.007877000000001</v>
      </c>
      <c r="CD42" s="3">
        <v>25.050840000000001</v>
      </c>
      <c r="CE42" s="3">
        <v>26.669754000000001</v>
      </c>
      <c r="CF42" s="3">
        <v>27.129380999999999</v>
      </c>
      <c r="CG42" s="3">
        <v>26.142807000000001</v>
      </c>
      <c r="CH42" s="3">
        <v>26.063794999999999</v>
      </c>
      <c r="CI42" s="3">
        <v>25.669074999999999</v>
      </c>
      <c r="CJ42" s="3">
        <v>27.183797999999999</v>
      </c>
      <c r="CK42" s="3">
        <v>25.754822000000001</v>
      </c>
      <c r="CL42" s="3">
        <v>26.867108999999999</v>
      </c>
      <c r="CM42" s="3">
        <v>24.932817</v>
      </c>
      <c r="CN42" s="3">
        <v>25.116029999999999</v>
      </c>
      <c r="CO42" s="3">
        <v>24.615107999999999</v>
      </c>
      <c r="CP42" s="3">
        <v>26.779979999999998</v>
      </c>
      <c r="CQ42" s="3">
        <v>25.462133000000001</v>
      </c>
      <c r="CR42" s="3">
        <v>24.807922000000001</v>
      </c>
      <c r="CS42" s="3">
        <v>24.898716</v>
      </c>
      <c r="CT42" s="3">
        <v>26.118379999999998</v>
      </c>
      <c r="CU42" s="3">
        <v>25.828095999999999</v>
      </c>
      <c r="CV42" s="3">
        <v>24.818325000000002</v>
      </c>
      <c r="CW42" s="3">
        <v>25.846886000000001</v>
      </c>
      <c r="CX42" s="3">
        <v>25.837008000000001</v>
      </c>
      <c r="CY42" s="3">
        <v>25.13625</v>
      </c>
      <c r="CZ42" s="3">
        <v>24.345661</v>
      </c>
      <c r="DA42" s="3">
        <v>25.725822000000001</v>
      </c>
      <c r="DB42" s="3">
        <v>25.382265</v>
      </c>
      <c r="DC42" s="3">
        <v>25.405004999999999</v>
      </c>
      <c r="DD42" s="3">
        <v>25.070838999999999</v>
      </c>
      <c r="DE42" s="3">
        <v>25.087616000000001</v>
      </c>
      <c r="DF42" s="3">
        <v>24.122648000000002</v>
      </c>
      <c r="DG42" s="3">
        <v>26.103442999999999</v>
      </c>
      <c r="DH42" s="3">
        <v>25.562662</v>
      </c>
      <c r="DI42" s="3"/>
      <c r="DJ42" s="3"/>
      <c r="DM42" s="3"/>
      <c r="DN42" s="3"/>
      <c r="DP42" s="3"/>
      <c r="DQ42" s="3"/>
      <c r="DR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M43" s="3"/>
      <c r="DN43" s="3"/>
      <c r="DP43" s="3"/>
      <c r="DQ43" s="3"/>
      <c r="DR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16.926067239999998</v>
      </c>
      <c r="H44" s="3">
        <f>MAX(M44:GJ44)</f>
        <v>21.173228999999999</v>
      </c>
      <c r="I44" s="3">
        <f>MIN(M44:GJ44)</f>
        <v>14.452181</v>
      </c>
      <c r="J44" s="3">
        <f>_xlfn.STDEV.P(M44:GJ44)</f>
        <v>1.625106470355971</v>
      </c>
      <c r="K44" s="3">
        <f>_xlfn.VAR.S(M44:GJ44)</f>
        <v>2.6676475151442856</v>
      </c>
      <c r="M44" s="3">
        <v>14.535591</v>
      </c>
      <c r="N44" s="3">
        <v>15.175418000000001</v>
      </c>
      <c r="O44" s="3">
        <v>18.690701000000001</v>
      </c>
      <c r="P44" s="3">
        <v>18.041605000000001</v>
      </c>
      <c r="Q44" s="3">
        <v>20.607839999999999</v>
      </c>
      <c r="R44" s="3">
        <v>15.202488000000001</v>
      </c>
      <c r="S44" s="3">
        <v>17.499404999999999</v>
      </c>
      <c r="T44" s="3">
        <v>15.130907000000001</v>
      </c>
      <c r="U44" s="3">
        <v>15.152835</v>
      </c>
      <c r="V44" s="3">
        <v>20.756325</v>
      </c>
      <c r="W44" s="3">
        <v>16.179089999999999</v>
      </c>
      <c r="X44" s="3">
        <v>15.186665</v>
      </c>
      <c r="Y44" s="3">
        <v>17.316713</v>
      </c>
      <c r="Z44" s="3">
        <v>16.636890000000001</v>
      </c>
      <c r="AA44" s="3">
        <v>18.780225999999999</v>
      </c>
      <c r="AB44" s="3">
        <v>16.667684999999999</v>
      </c>
      <c r="AC44" s="3">
        <v>18.563148000000002</v>
      </c>
      <c r="AD44" s="3">
        <v>15.879478000000001</v>
      </c>
      <c r="AE44" s="3">
        <v>15.985664</v>
      </c>
      <c r="AF44" s="3">
        <v>19.008547</v>
      </c>
      <c r="AG44" s="3">
        <v>19.611851000000001</v>
      </c>
      <c r="AH44" s="3">
        <v>15.124549999999999</v>
      </c>
      <c r="AI44" s="3">
        <v>19.007626999999999</v>
      </c>
      <c r="AJ44" s="3">
        <v>14.971514000000001</v>
      </c>
      <c r="AK44" s="3">
        <v>18.359617</v>
      </c>
      <c r="AL44" s="3">
        <v>17.039660000000001</v>
      </c>
      <c r="AM44" s="3">
        <v>15.996078000000001</v>
      </c>
      <c r="AN44" s="3">
        <v>16.246739999999999</v>
      </c>
      <c r="AO44" s="3">
        <v>18.090595</v>
      </c>
      <c r="AP44" s="3">
        <v>19.978144</v>
      </c>
      <c r="AQ44" s="3">
        <v>19.105761999999999</v>
      </c>
      <c r="AR44" s="3">
        <v>15.697765</v>
      </c>
      <c r="AS44" s="3">
        <v>15.10988</v>
      </c>
      <c r="AT44" s="3">
        <v>16.579308999999999</v>
      </c>
      <c r="AU44" s="3">
        <v>17.244382999999999</v>
      </c>
      <c r="AV44" s="3">
        <v>15.482524</v>
      </c>
      <c r="AW44" s="3">
        <v>18.593405000000001</v>
      </c>
      <c r="AX44" s="3">
        <v>15.212992</v>
      </c>
      <c r="AY44" s="3">
        <v>15.125945</v>
      </c>
      <c r="AZ44" s="3">
        <v>20.224813000000001</v>
      </c>
      <c r="BA44" s="3">
        <v>15.841513000000001</v>
      </c>
      <c r="BB44" s="3">
        <v>15.576403000000001</v>
      </c>
      <c r="BC44" s="3">
        <v>17.627592</v>
      </c>
      <c r="BD44" s="3">
        <v>19.230160000000001</v>
      </c>
      <c r="BE44" s="3">
        <v>17.802098999999998</v>
      </c>
      <c r="BF44" s="3">
        <v>15.458365000000001</v>
      </c>
      <c r="BG44" s="3">
        <v>16.609300999999999</v>
      </c>
      <c r="BH44" s="3">
        <v>14.887390999999999</v>
      </c>
      <c r="BI44" s="3">
        <v>15.545904</v>
      </c>
      <c r="BJ44" s="3">
        <v>20.763297999999999</v>
      </c>
      <c r="BK44" s="3">
        <v>15.633623</v>
      </c>
      <c r="BL44" s="3">
        <v>14.940308999999999</v>
      </c>
      <c r="BM44" s="3">
        <v>16.889199999999999</v>
      </c>
      <c r="BN44" s="3">
        <v>21.173228999999999</v>
      </c>
      <c r="BO44" s="3">
        <v>17.673103000000001</v>
      </c>
      <c r="BP44" s="3">
        <v>14.566504999999999</v>
      </c>
      <c r="BQ44" s="3">
        <v>15.998806999999999</v>
      </c>
      <c r="BR44" s="3">
        <v>15.006195</v>
      </c>
      <c r="BS44" s="3">
        <v>16.759664999999998</v>
      </c>
      <c r="BT44" s="3">
        <v>18.70186</v>
      </c>
      <c r="BU44" s="3">
        <v>17.939188000000001</v>
      </c>
      <c r="BV44" s="3">
        <v>14.959063</v>
      </c>
      <c r="BW44" s="3">
        <v>19.144317999999998</v>
      </c>
      <c r="BX44" s="3">
        <v>16.048759</v>
      </c>
      <c r="BY44" s="3">
        <v>17.015281999999999</v>
      </c>
      <c r="BZ44" s="3">
        <v>17.141553999999999</v>
      </c>
      <c r="CA44" s="3">
        <v>16.811056000000001</v>
      </c>
      <c r="CB44" s="3">
        <v>18.443404999999998</v>
      </c>
      <c r="CC44" s="3">
        <v>17.164397999999998</v>
      </c>
      <c r="CD44" s="3">
        <v>17.035727999999999</v>
      </c>
      <c r="CE44" s="3">
        <v>16.374804000000001</v>
      </c>
      <c r="CF44" s="3">
        <v>15.611632</v>
      </c>
      <c r="CG44" s="3">
        <v>16.415949000000001</v>
      </c>
      <c r="CH44" s="3">
        <v>18.307044999999999</v>
      </c>
      <c r="CI44" s="3">
        <v>17.747458999999999</v>
      </c>
      <c r="CJ44" s="3">
        <v>15.637624000000001</v>
      </c>
      <c r="CK44" s="3">
        <v>15.568645</v>
      </c>
      <c r="CL44" s="3">
        <v>17.841944000000002</v>
      </c>
      <c r="CM44" s="3">
        <v>17.431609999999999</v>
      </c>
      <c r="CN44" s="3">
        <v>16.427924999999998</v>
      </c>
      <c r="CO44" s="3">
        <v>15.772265000000001</v>
      </c>
      <c r="CP44" s="3">
        <v>17.245453000000001</v>
      </c>
      <c r="CQ44" s="3">
        <v>17.391558</v>
      </c>
      <c r="CR44" s="3">
        <v>16.980253000000001</v>
      </c>
      <c r="CS44" s="3">
        <v>16.444237000000001</v>
      </c>
      <c r="CT44" s="3">
        <v>15.873621</v>
      </c>
      <c r="CU44" s="3">
        <v>16.507781999999999</v>
      </c>
      <c r="CV44" s="3">
        <v>15.781700000000001</v>
      </c>
      <c r="CW44" s="3">
        <v>16.831696999999998</v>
      </c>
      <c r="CX44" s="3">
        <v>17.901845999999999</v>
      </c>
      <c r="CY44" s="3">
        <v>19.959429</v>
      </c>
      <c r="CZ44" s="3">
        <v>15.063833000000001</v>
      </c>
      <c r="DA44" s="3">
        <v>16.635002</v>
      </c>
      <c r="DB44" s="3">
        <v>18.414078</v>
      </c>
      <c r="DC44" s="3">
        <v>16.575196999999999</v>
      </c>
      <c r="DD44" s="3">
        <v>14.933304</v>
      </c>
      <c r="DE44" s="3">
        <v>18.609856000000001</v>
      </c>
      <c r="DF44" s="3">
        <v>14.480439000000001</v>
      </c>
      <c r="DG44" s="3">
        <v>14.452181</v>
      </c>
      <c r="DH44" s="3">
        <v>17.200707999999999</v>
      </c>
      <c r="DI44" s="3"/>
      <c r="DJ44" s="3"/>
      <c r="DM44" s="3"/>
      <c r="DN44" s="3"/>
      <c r="DP44" s="3"/>
      <c r="DQ44" s="3"/>
      <c r="DR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M45" s="3"/>
      <c r="DN45" s="3"/>
      <c r="DP45" s="3"/>
      <c r="DQ45" s="3"/>
      <c r="DR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18.690176579999999</v>
      </c>
      <c r="H46" s="3">
        <f>MAX(M46:GJ46)</f>
        <v>23.833853000000001</v>
      </c>
      <c r="I46" s="3">
        <f>MIN(M46:GJ46)</f>
        <v>12.582293999999999</v>
      </c>
      <c r="J46" s="3">
        <f>_xlfn.STDEV.P(M46:GJ46)</f>
        <v>2.5060247305243659</v>
      </c>
      <c r="K46" s="3">
        <f>_xlfn.VAR.S(M46:GJ46)</f>
        <v>6.3435959090906309</v>
      </c>
      <c r="M46" s="3">
        <v>14.268845000000001</v>
      </c>
      <c r="N46" s="3">
        <v>16.941990000000001</v>
      </c>
      <c r="O46" s="3">
        <v>19.470413000000001</v>
      </c>
      <c r="P46" s="3">
        <v>18.118099000000001</v>
      </c>
      <c r="Q46" s="3">
        <v>19.109268</v>
      </c>
      <c r="R46" s="3">
        <v>22.521319999999999</v>
      </c>
      <c r="S46" s="3">
        <v>22.448903999999999</v>
      </c>
      <c r="T46" s="3">
        <v>17.324095</v>
      </c>
      <c r="U46" s="3">
        <v>21.506321</v>
      </c>
      <c r="V46" s="3">
        <v>17.862483999999998</v>
      </c>
      <c r="W46" s="3">
        <v>15.146406000000001</v>
      </c>
      <c r="X46" s="3">
        <v>14.945347</v>
      </c>
      <c r="Y46" s="3">
        <v>15.686624</v>
      </c>
      <c r="Z46" s="3">
        <v>22.067242</v>
      </c>
      <c r="AA46" s="3">
        <v>16.02158</v>
      </c>
      <c r="AB46" s="3">
        <v>20.958055000000002</v>
      </c>
      <c r="AC46" s="3">
        <v>18.707958000000001</v>
      </c>
      <c r="AD46" s="3">
        <v>17.212053000000001</v>
      </c>
      <c r="AE46" s="3">
        <v>20.350441</v>
      </c>
      <c r="AF46" s="3">
        <v>20.972069000000001</v>
      </c>
      <c r="AG46" s="3">
        <v>19.360474</v>
      </c>
      <c r="AH46" s="3">
        <v>12.582293999999999</v>
      </c>
      <c r="AI46" s="3">
        <v>21.919509999999999</v>
      </c>
      <c r="AJ46" s="3">
        <v>18.813295</v>
      </c>
      <c r="AK46" s="3">
        <v>20.927022999999998</v>
      </c>
      <c r="AL46" s="3">
        <v>14.967521</v>
      </c>
      <c r="AM46" s="3">
        <v>17.858225000000001</v>
      </c>
      <c r="AN46" s="3">
        <v>18.324611999999998</v>
      </c>
      <c r="AO46" s="3">
        <v>17.408695000000002</v>
      </c>
      <c r="AP46" s="3">
        <v>17.833599</v>
      </c>
      <c r="AQ46" s="3">
        <v>20.372814000000002</v>
      </c>
      <c r="AR46" s="3">
        <v>19.925540999999999</v>
      </c>
      <c r="AS46" s="3">
        <v>18.833245999999999</v>
      </c>
      <c r="AT46" s="3">
        <v>19.984235999999999</v>
      </c>
      <c r="AU46" s="3">
        <v>20.109414999999998</v>
      </c>
      <c r="AV46" s="3">
        <v>17.626127</v>
      </c>
      <c r="AW46" s="3">
        <v>18.223237999999998</v>
      </c>
      <c r="AX46" s="3">
        <v>14.742673999999999</v>
      </c>
      <c r="AY46" s="3">
        <v>22.709803000000001</v>
      </c>
      <c r="AZ46" s="3">
        <v>17.177568000000001</v>
      </c>
      <c r="BA46" s="3">
        <v>16.82403</v>
      </c>
      <c r="BB46" s="3">
        <v>17.159680999999999</v>
      </c>
      <c r="BC46" s="3">
        <v>18.334530000000001</v>
      </c>
      <c r="BD46" s="3">
        <v>20.126614</v>
      </c>
      <c r="BE46" s="3">
        <v>17.697690999999999</v>
      </c>
      <c r="BF46" s="3">
        <v>19.605260999999999</v>
      </c>
      <c r="BG46" s="3">
        <v>14.093441</v>
      </c>
      <c r="BH46" s="3">
        <v>18.105467000000001</v>
      </c>
      <c r="BI46" s="3">
        <v>18.297378999999999</v>
      </c>
      <c r="BJ46" s="3">
        <v>17.936792000000001</v>
      </c>
      <c r="BK46" s="3">
        <v>18.001653999999998</v>
      </c>
      <c r="BL46" s="3">
        <v>16.490103000000001</v>
      </c>
      <c r="BM46" s="3">
        <v>19.050588999999999</v>
      </c>
      <c r="BN46" s="3">
        <v>16.699110000000001</v>
      </c>
      <c r="BO46" s="3">
        <v>16.145336</v>
      </c>
      <c r="BP46" s="3">
        <v>21.700801999999999</v>
      </c>
      <c r="BQ46" s="3">
        <v>21.999037000000001</v>
      </c>
      <c r="BR46" s="3">
        <v>19.779464999999998</v>
      </c>
      <c r="BS46" s="3">
        <v>18.271975999999999</v>
      </c>
      <c r="BT46" s="3">
        <v>20.110741000000001</v>
      </c>
      <c r="BU46" s="3">
        <v>17.369236000000001</v>
      </c>
      <c r="BV46" s="3">
        <v>18.133306999999999</v>
      </c>
      <c r="BW46" s="3">
        <v>15.029895</v>
      </c>
      <c r="BX46" s="3">
        <v>22.570799000000001</v>
      </c>
      <c r="BY46" s="3">
        <v>17.920725000000001</v>
      </c>
      <c r="BZ46" s="3">
        <v>17.235814999999999</v>
      </c>
      <c r="CA46" s="3">
        <v>18.784775</v>
      </c>
      <c r="CB46" s="3">
        <v>22.289297000000001</v>
      </c>
      <c r="CC46" s="3">
        <v>19.209692</v>
      </c>
      <c r="CD46" s="3">
        <v>21.408068</v>
      </c>
      <c r="CE46" s="3">
        <v>21.022938</v>
      </c>
      <c r="CF46" s="3">
        <v>13.347856999999999</v>
      </c>
      <c r="CG46" s="3">
        <v>17.812626000000002</v>
      </c>
      <c r="CH46" s="3">
        <v>21.710760000000001</v>
      </c>
      <c r="CI46" s="3">
        <v>21.713873</v>
      </c>
      <c r="CJ46" s="3">
        <v>19.058938999999999</v>
      </c>
      <c r="CK46" s="3">
        <v>19.486537999999999</v>
      </c>
      <c r="CL46" s="3">
        <v>18.955061000000001</v>
      </c>
      <c r="CM46" s="3">
        <v>16.792387000000002</v>
      </c>
      <c r="CN46" s="3">
        <v>23.271767000000001</v>
      </c>
      <c r="CO46" s="3">
        <v>23.117263999999999</v>
      </c>
      <c r="CP46" s="3">
        <v>19.932268000000001</v>
      </c>
      <c r="CQ46" s="3">
        <v>19.014244000000001</v>
      </c>
      <c r="CR46" s="3">
        <v>23.327524</v>
      </c>
      <c r="CS46" s="3">
        <v>18.917808999999998</v>
      </c>
      <c r="CT46" s="3">
        <v>16.018946</v>
      </c>
      <c r="CU46" s="3">
        <v>18.055882</v>
      </c>
      <c r="CV46" s="3">
        <v>20.354942000000001</v>
      </c>
      <c r="CW46" s="3">
        <v>15.652008</v>
      </c>
      <c r="CX46" s="3">
        <v>14.773918999999999</v>
      </c>
      <c r="CY46" s="3">
        <v>13.843285</v>
      </c>
      <c r="CZ46" s="3">
        <v>21.807950999999999</v>
      </c>
      <c r="DA46" s="3">
        <v>22.705269000000001</v>
      </c>
      <c r="DB46" s="3">
        <v>20.168690000000002</v>
      </c>
      <c r="DC46" s="3">
        <v>18.358557000000001</v>
      </c>
      <c r="DD46" s="3">
        <v>19.336359000000002</v>
      </c>
      <c r="DE46" s="3">
        <v>17.759381999999999</v>
      </c>
      <c r="DF46" s="3">
        <v>16.521771999999999</v>
      </c>
      <c r="DG46" s="3">
        <v>23.833853000000001</v>
      </c>
      <c r="DH46" s="3">
        <v>14.624256000000001</v>
      </c>
      <c r="DI46" s="3"/>
      <c r="DJ46" s="3"/>
      <c r="DM46" s="3"/>
      <c r="DN46" s="3"/>
      <c r="DP46" s="3"/>
      <c r="DQ46" s="3"/>
      <c r="DR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</row>
    <row r="48" spans="2:207" x14ac:dyDescent="0.2">
      <c r="D48" s="1"/>
    </row>
    <row r="49" spans="2:207" x14ac:dyDescent="0.2">
      <c r="B49" t="s">
        <v>60</v>
      </c>
      <c r="D49" s="1" t="s">
        <v>32</v>
      </c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23.007794139999991</v>
      </c>
      <c r="H50" s="3">
        <f>MAX(M50:GJ50)</f>
        <v>26.077707</v>
      </c>
      <c r="I50" s="3">
        <f>MIN(M50:GJ50)</f>
        <v>21.404446</v>
      </c>
      <c r="J50" s="3">
        <f>_xlfn.STDEV.P(M50:GJ50)</f>
        <v>0.98605688875829089</v>
      </c>
      <c r="K50" s="3">
        <f>_xlfn.VAR.S(M50:GJ50)</f>
        <v>0.98212948269462663</v>
      </c>
      <c r="M50" s="3">
        <v>22.401447000000001</v>
      </c>
      <c r="N50" s="3">
        <v>22.146460999999999</v>
      </c>
      <c r="O50" s="3">
        <v>21.404446</v>
      </c>
      <c r="P50" s="3">
        <v>22.809372</v>
      </c>
      <c r="Q50" s="3">
        <v>25.781887000000001</v>
      </c>
      <c r="R50" s="3">
        <v>24.596405000000001</v>
      </c>
      <c r="S50" s="3">
        <v>22.635303</v>
      </c>
      <c r="T50" s="3">
        <v>23.578254999999999</v>
      </c>
      <c r="U50" s="3">
        <v>22.616264000000001</v>
      </c>
      <c r="V50" s="3">
        <v>22.743946000000001</v>
      </c>
      <c r="W50" s="3">
        <v>22.494129000000001</v>
      </c>
      <c r="X50" s="3">
        <v>23.239405000000001</v>
      </c>
      <c r="Y50" s="3">
        <v>26.064067999999999</v>
      </c>
      <c r="Z50" s="3">
        <v>22.540022</v>
      </c>
      <c r="AA50" s="3">
        <v>22.68722</v>
      </c>
      <c r="AB50" s="3">
        <v>22.207702999999999</v>
      </c>
      <c r="AC50" s="3">
        <v>22.732783999999999</v>
      </c>
      <c r="AD50" s="3">
        <v>23.87471</v>
      </c>
      <c r="AE50" s="3">
        <v>22.946501000000001</v>
      </c>
      <c r="AF50" s="3">
        <v>22.827385</v>
      </c>
      <c r="AG50" s="3">
        <v>22.752624999999998</v>
      </c>
      <c r="AH50" s="3">
        <v>22.934920999999999</v>
      </c>
      <c r="AI50" s="3">
        <v>22.295074</v>
      </c>
      <c r="AJ50" s="3">
        <v>23.166499999999999</v>
      </c>
      <c r="AK50" s="3">
        <v>24.182549000000002</v>
      </c>
      <c r="AL50" s="3">
        <v>22.179901000000001</v>
      </c>
      <c r="AM50" s="3">
        <v>24.478480999999999</v>
      </c>
      <c r="AN50" s="3">
        <v>22.190821</v>
      </c>
      <c r="AO50" s="3">
        <v>22.269531000000001</v>
      </c>
      <c r="AP50" s="3">
        <v>23.922045000000001</v>
      </c>
      <c r="AQ50" s="3">
        <v>22.370965999999999</v>
      </c>
      <c r="AR50" s="3">
        <v>22.129847999999999</v>
      </c>
      <c r="AS50" s="3">
        <v>22.549938000000001</v>
      </c>
      <c r="AT50" s="3">
        <v>25.899757000000001</v>
      </c>
      <c r="AU50" s="3">
        <v>23.940279</v>
      </c>
      <c r="AV50" s="3">
        <v>22.232430000000001</v>
      </c>
      <c r="AW50" s="3">
        <v>22.427263</v>
      </c>
      <c r="AX50" s="3">
        <v>22.647155999999999</v>
      </c>
      <c r="AY50" s="3">
        <v>25.750164000000002</v>
      </c>
      <c r="AZ50" s="3">
        <v>24.666848999999999</v>
      </c>
      <c r="BA50" s="3">
        <v>22.409493999999999</v>
      </c>
      <c r="BB50" s="3">
        <v>22.238277</v>
      </c>
      <c r="BC50" s="3">
        <v>22.228307999999998</v>
      </c>
      <c r="BD50" s="3">
        <v>22.697749999999999</v>
      </c>
      <c r="BE50" s="3">
        <v>24.828239</v>
      </c>
      <c r="BF50" s="3">
        <v>22.166153000000001</v>
      </c>
      <c r="BG50" s="3">
        <v>23.251179</v>
      </c>
      <c r="BH50" s="3">
        <v>26.077707</v>
      </c>
      <c r="BI50" s="3">
        <v>22.265111999999998</v>
      </c>
      <c r="BJ50" s="3">
        <v>23.747475000000001</v>
      </c>
      <c r="BK50" s="3">
        <v>22.350241</v>
      </c>
      <c r="BL50" s="3">
        <v>22.996914</v>
      </c>
      <c r="BM50" s="3">
        <v>22.587729</v>
      </c>
      <c r="BN50" s="3">
        <v>22.097760999999998</v>
      </c>
      <c r="BO50" s="3">
        <v>22.490486000000001</v>
      </c>
      <c r="BP50" s="3">
        <v>24.673705999999999</v>
      </c>
      <c r="BQ50" s="3">
        <v>22.709</v>
      </c>
      <c r="BR50" s="3">
        <v>23.893305000000002</v>
      </c>
      <c r="BS50" s="3">
        <v>23.348673000000002</v>
      </c>
      <c r="BT50" s="3">
        <v>22.283525000000001</v>
      </c>
      <c r="BU50" s="3">
        <v>23.581882</v>
      </c>
      <c r="BV50" s="3">
        <v>23.534355000000001</v>
      </c>
      <c r="BW50" s="3">
        <v>22.688462999999999</v>
      </c>
      <c r="BX50" s="3">
        <v>22.524992000000001</v>
      </c>
      <c r="BY50" s="3">
        <v>22.473347</v>
      </c>
      <c r="BZ50" s="3">
        <v>22.381405000000001</v>
      </c>
      <c r="CA50" s="3">
        <v>23.626470999999999</v>
      </c>
      <c r="CB50" s="3">
        <v>23.865749000000001</v>
      </c>
      <c r="CC50" s="3">
        <v>22.289850000000001</v>
      </c>
      <c r="CD50" s="3">
        <v>22.531760999999999</v>
      </c>
      <c r="CE50" s="3">
        <v>22.343008000000001</v>
      </c>
      <c r="CF50" s="3">
        <v>23.532420999999999</v>
      </c>
      <c r="CG50" s="3">
        <v>22.628858999999999</v>
      </c>
      <c r="CH50" s="3">
        <v>23.012353999999998</v>
      </c>
      <c r="CI50" s="3">
        <v>22.700693000000001</v>
      </c>
      <c r="CJ50" s="3">
        <v>22.49258</v>
      </c>
      <c r="CK50" s="3">
        <v>22.181920999999999</v>
      </c>
      <c r="CL50" s="3">
        <v>22.387732</v>
      </c>
      <c r="CM50" s="3">
        <v>22.624714000000001</v>
      </c>
      <c r="CN50" s="3">
        <v>22.204446999999998</v>
      </c>
      <c r="CO50" s="3">
        <v>22.443982999999999</v>
      </c>
      <c r="CP50" s="3">
        <v>22.408038999999999</v>
      </c>
      <c r="CQ50" s="3">
        <v>22.358239999999999</v>
      </c>
      <c r="CR50" s="3">
        <v>22.350256000000002</v>
      </c>
      <c r="CS50" s="3">
        <v>22.395057999999999</v>
      </c>
      <c r="CT50" s="3">
        <v>25.272009000000001</v>
      </c>
      <c r="CU50" s="3">
        <v>22.415469999999999</v>
      </c>
      <c r="CV50" s="3">
        <v>22.195588999999998</v>
      </c>
      <c r="CW50" s="3">
        <v>24.207466</v>
      </c>
      <c r="CX50" s="3">
        <v>22.298449000000002</v>
      </c>
      <c r="CY50" s="3">
        <v>23.323073999999998</v>
      </c>
      <c r="CZ50" s="3">
        <v>22.215713999999998</v>
      </c>
      <c r="DA50" s="3">
        <v>22.605045</v>
      </c>
      <c r="DB50" s="3">
        <v>22.498314000000001</v>
      </c>
      <c r="DC50" s="3">
        <v>22.948191000000001</v>
      </c>
      <c r="DD50" s="3">
        <v>23.453016000000002</v>
      </c>
      <c r="DE50" s="3">
        <v>22.668310000000002</v>
      </c>
      <c r="DF50" s="3">
        <v>23.931035999999999</v>
      </c>
      <c r="DG50" s="3">
        <v>22.093375999999999</v>
      </c>
      <c r="DH50" s="3">
        <v>22.435929999999999</v>
      </c>
      <c r="DI50" s="3"/>
      <c r="DJ50" s="3"/>
      <c r="DM50" s="3"/>
      <c r="DN50" s="3"/>
      <c r="DP50" s="3"/>
      <c r="DQ50" s="3"/>
      <c r="DR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M51" s="3"/>
      <c r="DN51" s="3"/>
      <c r="DP51" s="3"/>
      <c r="DQ51" s="3"/>
      <c r="DR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25.597867809999993</v>
      </c>
      <c r="H52" s="3">
        <f>MAX(M52:GJ52)</f>
        <v>31.313842999999999</v>
      </c>
      <c r="I52" s="3">
        <f>MIN(M52:GJ52)</f>
        <v>20.257266999999999</v>
      </c>
      <c r="J52" s="3">
        <f>_xlfn.STDEV.P(M52:GJ52)</f>
        <v>1.9419125912861921</v>
      </c>
      <c r="K52" s="3">
        <f>_xlfn.VAR.S(M52:GJ52)</f>
        <v>3.8091156688846999</v>
      </c>
      <c r="M52" s="3">
        <v>27.591204000000001</v>
      </c>
      <c r="N52" s="3">
        <v>23.877276999999999</v>
      </c>
      <c r="O52" s="3">
        <v>25.522887999999998</v>
      </c>
      <c r="P52" s="3">
        <v>25.053045000000001</v>
      </c>
      <c r="Q52" s="3">
        <v>25.756086</v>
      </c>
      <c r="R52" s="3">
        <v>25.87499</v>
      </c>
      <c r="S52" s="3">
        <v>23.550298999999999</v>
      </c>
      <c r="T52" s="3">
        <v>27.037825000000002</v>
      </c>
      <c r="U52" s="3">
        <v>26.985354999999998</v>
      </c>
      <c r="V52" s="3">
        <v>24.742954000000001</v>
      </c>
      <c r="W52" s="3">
        <v>26.227250999999999</v>
      </c>
      <c r="X52" s="3">
        <v>22.802361000000001</v>
      </c>
      <c r="Y52" s="3">
        <v>26.124319</v>
      </c>
      <c r="Z52" s="3">
        <v>28.947882</v>
      </c>
      <c r="AA52" s="3">
        <v>25.250713000000001</v>
      </c>
      <c r="AB52" s="3">
        <v>29.712413999999999</v>
      </c>
      <c r="AC52" s="3">
        <v>26.402453999999999</v>
      </c>
      <c r="AD52" s="3">
        <v>26.361028999999998</v>
      </c>
      <c r="AE52" s="3">
        <v>24.510770999999998</v>
      </c>
      <c r="AF52" s="3">
        <v>25.774992000000001</v>
      </c>
      <c r="AG52" s="3">
        <v>23.850421999999998</v>
      </c>
      <c r="AH52" s="3">
        <v>23.418265999999999</v>
      </c>
      <c r="AI52" s="3">
        <v>21.883248999999999</v>
      </c>
      <c r="AJ52" s="3">
        <v>27.495999999999999</v>
      </c>
      <c r="AK52" s="3">
        <v>28.618577999999999</v>
      </c>
      <c r="AL52" s="3">
        <v>28.382335999999999</v>
      </c>
      <c r="AM52" s="3">
        <v>24.529447999999999</v>
      </c>
      <c r="AN52" s="3">
        <v>28.608478999999999</v>
      </c>
      <c r="AO52" s="3">
        <v>26.106071</v>
      </c>
      <c r="AP52" s="3">
        <v>24.811416999999999</v>
      </c>
      <c r="AQ52" s="3">
        <v>24.835367000000002</v>
      </c>
      <c r="AR52" s="3">
        <v>23.076142999999998</v>
      </c>
      <c r="AS52" s="3">
        <v>21.667006000000001</v>
      </c>
      <c r="AT52" s="3">
        <v>29.830893</v>
      </c>
      <c r="AU52" s="3">
        <v>25.097757000000001</v>
      </c>
      <c r="AV52" s="3">
        <v>26.634913999999998</v>
      </c>
      <c r="AW52" s="3">
        <v>21.580649999999999</v>
      </c>
      <c r="AX52" s="3">
        <v>25.440483</v>
      </c>
      <c r="AY52" s="3">
        <v>26.739125999999999</v>
      </c>
      <c r="AZ52" s="3">
        <v>24.080894000000001</v>
      </c>
      <c r="BA52" s="3">
        <v>26.216915</v>
      </c>
      <c r="BB52" s="3">
        <v>20.257266999999999</v>
      </c>
      <c r="BC52" s="3">
        <v>23.964417000000001</v>
      </c>
      <c r="BD52" s="3">
        <v>28.136745000000001</v>
      </c>
      <c r="BE52" s="3">
        <v>23.150020999999999</v>
      </c>
      <c r="BF52" s="3">
        <v>31.313842999999999</v>
      </c>
      <c r="BG52" s="3">
        <v>24.570046999999999</v>
      </c>
      <c r="BH52" s="3">
        <v>25.635473000000001</v>
      </c>
      <c r="BI52" s="3">
        <v>24.119855999999999</v>
      </c>
      <c r="BJ52" s="3">
        <v>25.521971000000001</v>
      </c>
      <c r="BK52" s="3">
        <v>27.816326</v>
      </c>
      <c r="BL52" s="3">
        <v>25.915655000000001</v>
      </c>
      <c r="BM52" s="3">
        <v>26.8766</v>
      </c>
      <c r="BN52" s="3">
        <v>26.003814999999999</v>
      </c>
      <c r="BO52" s="3">
        <v>23.820025999999999</v>
      </c>
      <c r="BP52" s="3">
        <v>26.084267000000001</v>
      </c>
      <c r="BQ52" s="3">
        <v>28.143141</v>
      </c>
      <c r="BR52" s="3">
        <v>23.796320000000001</v>
      </c>
      <c r="BS52" s="3">
        <v>25.224442</v>
      </c>
      <c r="BT52" s="3">
        <v>26.860303999999999</v>
      </c>
      <c r="BU52" s="3">
        <v>26.289486</v>
      </c>
      <c r="BV52" s="3">
        <v>26.446200999999999</v>
      </c>
      <c r="BW52" s="3">
        <v>26.731907</v>
      </c>
      <c r="BX52" s="3">
        <v>26.335279</v>
      </c>
      <c r="BY52" s="3">
        <v>26.269753999999999</v>
      </c>
      <c r="BZ52" s="3">
        <v>23.976483999999999</v>
      </c>
      <c r="CA52" s="3">
        <v>26.654491</v>
      </c>
      <c r="CB52" s="3">
        <v>26.303833000000001</v>
      </c>
      <c r="CC52" s="3">
        <v>23.847456000000001</v>
      </c>
      <c r="CD52" s="3">
        <v>23.958765</v>
      </c>
      <c r="CE52" s="3">
        <v>26.229382000000001</v>
      </c>
      <c r="CF52" s="3">
        <v>24.484423</v>
      </c>
      <c r="CG52" s="3">
        <v>26.186485000000001</v>
      </c>
      <c r="CH52" s="3">
        <v>27.061039000000001</v>
      </c>
      <c r="CI52" s="3">
        <v>24.245446999999999</v>
      </c>
      <c r="CJ52" s="3">
        <v>22.858473</v>
      </c>
      <c r="CK52" s="3">
        <v>24.048484999999999</v>
      </c>
      <c r="CL52" s="3">
        <v>23.049721000000002</v>
      </c>
      <c r="CM52" s="3">
        <v>22.702964999999999</v>
      </c>
      <c r="CN52" s="3">
        <v>24.025537</v>
      </c>
      <c r="CO52" s="3">
        <v>26.205006000000001</v>
      </c>
      <c r="CP52" s="3">
        <v>26.590921000000002</v>
      </c>
      <c r="CQ52" s="3">
        <v>23.400400000000001</v>
      </c>
      <c r="CR52" s="3">
        <v>27.329559</v>
      </c>
      <c r="CS52" s="3">
        <v>26.035637000000001</v>
      </c>
      <c r="CT52" s="3">
        <v>24.096869000000002</v>
      </c>
      <c r="CU52" s="3">
        <v>24.756155</v>
      </c>
      <c r="CV52" s="3">
        <v>26.497993000000001</v>
      </c>
      <c r="CW52" s="3">
        <v>26.907135</v>
      </c>
      <c r="CX52" s="3">
        <v>27.813461</v>
      </c>
      <c r="CY52" s="3">
        <v>27.173670000000001</v>
      </c>
      <c r="CZ52" s="3">
        <v>27.263680000000001</v>
      </c>
      <c r="DA52" s="3">
        <v>28.876238000000001</v>
      </c>
      <c r="DB52" s="3">
        <v>24.321463000000001</v>
      </c>
      <c r="DC52" s="3">
        <v>28.442421</v>
      </c>
      <c r="DD52" s="3">
        <v>23.413188999999999</v>
      </c>
      <c r="DE52" s="3">
        <v>24.397558</v>
      </c>
      <c r="DF52" s="3">
        <v>23.320753</v>
      </c>
      <c r="DG52" s="3">
        <v>26.171275999999999</v>
      </c>
      <c r="DH52" s="3">
        <v>26.846724999999999</v>
      </c>
      <c r="DI52" s="3"/>
      <c r="DJ52" s="3"/>
      <c r="DM52" s="3"/>
      <c r="DN52" s="3"/>
      <c r="DP52" s="3"/>
      <c r="DQ52" s="3"/>
      <c r="DR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M53" s="3"/>
      <c r="DN53" s="3"/>
      <c r="DP53" s="3"/>
      <c r="DQ53" s="3"/>
      <c r="DR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25.058060460000014</v>
      </c>
      <c r="H54" s="3">
        <f>MAX(M54:GJ54)</f>
        <v>28.858376</v>
      </c>
      <c r="I54" s="3">
        <f>MIN(M54:GJ54)</f>
        <v>23.312859</v>
      </c>
      <c r="J54" s="3">
        <f>_xlfn.STDEV.P(M54:GJ54)</f>
        <v>0.90242048652757678</v>
      </c>
      <c r="K54" s="3">
        <f>_xlfn.VAR.S(M54:GJ54)</f>
        <v>0.82258862071178629</v>
      </c>
      <c r="M54" s="3">
        <v>25.639697999999999</v>
      </c>
      <c r="N54" s="3">
        <v>25.469253999999999</v>
      </c>
      <c r="O54" s="3">
        <v>24.146695999999999</v>
      </c>
      <c r="P54" s="3">
        <v>24.712872999999998</v>
      </c>
      <c r="Q54" s="3">
        <v>24.777619999999999</v>
      </c>
      <c r="R54" s="3">
        <v>24.267229</v>
      </c>
      <c r="S54" s="3">
        <v>25.468616000000001</v>
      </c>
      <c r="T54" s="3">
        <v>24.325196999999999</v>
      </c>
      <c r="U54" s="3">
        <v>25.587233000000001</v>
      </c>
      <c r="V54" s="3">
        <v>24.196445000000001</v>
      </c>
      <c r="W54" s="3">
        <v>25.405055999999998</v>
      </c>
      <c r="X54" s="3">
        <v>25.509664999999998</v>
      </c>
      <c r="Y54" s="3">
        <v>24.585159000000001</v>
      </c>
      <c r="Z54" s="3">
        <v>24.717590000000001</v>
      </c>
      <c r="AA54" s="3">
        <v>24.524184999999999</v>
      </c>
      <c r="AB54" s="3">
        <v>24.433613000000001</v>
      </c>
      <c r="AC54" s="3">
        <v>28.858376</v>
      </c>
      <c r="AD54" s="3">
        <v>24.8367</v>
      </c>
      <c r="AE54" s="3">
        <v>25.308260000000001</v>
      </c>
      <c r="AF54" s="3">
        <v>24.782785000000001</v>
      </c>
      <c r="AG54" s="3">
        <v>25.15888</v>
      </c>
      <c r="AH54" s="3">
        <v>25.135921</v>
      </c>
      <c r="AI54" s="3">
        <v>25.635525000000001</v>
      </c>
      <c r="AJ54" s="3">
        <v>24.661504999999998</v>
      </c>
      <c r="AK54" s="3">
        <v>25.728211999999999</v>
      </c>
      <c r="AL54" s="3">
        <v>26.434923000000001</v>
      </c>
      <c r="AM54" s="3">
        <v>26.123916999999999</v>
      </c>
      <c r="AN54" s="3">
        <v>26.379707</v>
      </c>
      <c r="AO54" s="3">
        <v>26.907088999999999</v>
      </c>
      <c r="AP54" s="3">
        <v>23.945198000000001</v>
      </c>
      <c r="AQ54" s="3">
        <v>25.732472999999999</v>
      </c>
      <c r="AR54" s="3">
        <v>26.749777000000002</v>
      </c>
      <c r="AS54" s="3">
        <v>25.997254999999999</v>
      </c>
      <c r="AT54" s="3">
        <v>24.048162000000001</v>
      </c>
      <c r="AU54" s="3">
        <v>26.174553</v>
      </c>
      <c r="AV54" s="3">
        <v>25.203882</v>
      </c>
      <c r="AW54" s="3">
        <v>25.343164000000002</v>
      </c>
      <c r="AX54" s="3">
        <v>25.895693000000001</v>
      </c>
      <c r="AY54" s="3">
        <v>23.616381000000001</v>
      </c>
      <c r="AZ54" s="3">
        <v>24.933125</v>
      </c>
      <c r="BA54" s="3">
        <v>26.246922000000001</v>
      </c>
      <c r="BB54" s="3">
        <v>26.247662999999999</v>
      </c>
      <c r="BC54" s="3">
        <v>26.265978</v>
      </c>
      <c r="BD54" s="3">
        <v>23.465610999999999</v>
      </c>
      <c r="BE54" s="3">
        <v>24.778759000000001</v>
      </c>
      <c r="BF54" s="3">
        <v>24.919930000000001</v>
      </c>
      <c r="BG54" s="3">
        <v>26.365078</v>
      </c>
      <c r="BH54" s="3">
        <v>23.793475999999998</v>
      </c>
      <c r="BI54" s="3">
        <v>25.761969000000001</v>
      </c>
      <c r="BJ54" s="3">
        <v>23.389299000000001</v>
      </c>
      <c r="BK54" s="3">
        <v>24.661448</v>
      </c>
      <c r="BL54" s="3">
        <v>24.582284999999999</v>
      </c>
      <c r="BM54" s="3">
        <v>25.492364999999999</v>
      </c>
      <c r="BN54" s="3">
        <v>23.903551</v>
      </c>
      <c r="BO54" s="3">
        <v>24.504425000000001</v>
      </c>
      <c r="BP54" s="3">
        <v>24.773952000000001</v>
      </c>
      <c r="BQ54" s="3">
        <v>25.601963000000001</v>
      </c>
      <c r="BR54" s="3">
        <v>24.298483000000001</v>
      </c>
      <c r="BS54" s="3">
        <v>23.938870999999999</v>
      </c>
      <c r="BT54" s="3">
        <v>23.856535000000001</v>
      </c>
      <c r="BU54" s="3">
        <v>24.991751000000001</v>
      </c>
      <c r="BV54" s="3">
        <v>25.559526000000002</v>
      </c>
      <c r="BW54" s="3">
        <v>24.293596000000001</v>
      </c>
      <c r="BX54" s="3">
        <v>23.312859</v>
      </c>
      <c r="BY54" s="3">
        <v>24.852143999999999</v>
      </c>
      <c r="BZ54" s="3">
        <v>24.454988</v>
      </c>
      <c r="CA54" s="3">
        <v>25.142337999999999</v>
      </c>
      <c r="CB54" s="3">
        <v>24.465406000000002</v>
      </c>
      <c r="CC54" s="3">
        <v>25.628359</v>
      </c>
      <c r="CD54" s="3">
        <v>23.936218</v>
      </c>
      <c r="CE54" s="3">
        <v>24.300578999999999</v>
      </c>
      <c r="CF54" s="3">
        <v>24.864491000000001</v>
      </c>
      <c r="CG54" s="3">
        <v>24.321577000000001</v>
      </c>
      <c r="CH54" s="3">
        <v>25.376476</v>
      </c>
      <c r="CI54" s="3">
        <v>24.174714999999999</v>
      </c>
      <c r="CJ54" s="3">
        <v>24.764354999999998</v>
      </c>
      <c r="CK54" s="3">
        <v>24.984684000000001</v>
      </c>
      <c r="CL54" s="3">
        <v>26.406428999999999</v>
      </c>
      <c r="CM54" s="3">
        <v>24.828291</v>
      </c>
      <c r="CN54" s="3">
        <v>23.877614999999999</v>
      </c>
      <c r="CO54" s="3">
        <v>24.701436999999999</v>
      </c>
      <c r="CP54" s="3">
        <v>26.741510000000002</v>
      </c>
      <c r="CQ54" s="3">
        <v>24.584783999999999</v>
      </c>
      <c r="CR54" s="3">
        <v>25.083431000000001</v>
      </c>
      <c r="CS54" s="3">
        <v>24.683658999999999</v>
      </c>
      <c r="CT54" s="3">
        <v>26.812550999999999</v>
      </c>
      <c r="CU54" s="3">
        <v>25.349651000000001</v>
      </c>
      <c r="CV54" s="3">
        <v>25.228981000000001</v>
      </c>
      <c r="CW54" s="3">
        <v>26.063141000000002</v>
      </c>
      <c r="CX54" s="3">
        <v>25.554976</v>
      </c>
      <c r="CY54" s="3">
        <v>25.268694</v>
      </c>
      <c r="CZ54" s="3">
        <v>25.487915000000001</v>
      </c>
      <c r="DA54" s="3">
        <v>25.051334000000001</v>
      </c>
      <c r="DB54" s="3">
        <v>24.71876</v>
      </c>
      <c r="DC54" s="3">
        <v>24.347778000000002</v>
      </c>
      <c r="DD54" s="3">
        <v>25.005680000000002</v>
      </c>
      <c r="DE54" s="3">
        <v>24.751605999999999</v>
      </c>
      <c r="DF54" s="3">
        <v>24.020088000000001</v>
      </c>
      <c r="DG54" s="3">
        <v>25.474523999999999</v>
      </c>
      <c r="DH54" s="3">
        <v>24.132994</v>
      </c>
      <c r="DI54" s="3"/>
      <c r="DJ54" s="3"/>
      <c r="DM54" s="3"/>
      <c r="DN54" s="3"/>
      <c r="DP54" s="3"/>
      <c r="DQ54" s="3"/>
      <c r="DR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M55" s="3"/>
      <c r="DN55" s="3"/>
      <c r="DP55" s="3"/>
      <c r="DQ55" s="3"/>
      <c r="DR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29.011254480000002</v>
      </c>
      <c r="H56" s="3">
        <f>MAX(M56:GJ56)</f>
        <v>32.708388999999997</v>
      </c>
      <c r="I56" s="3">
        <f>MIN(M56:GJ56)</f>
        <v>24.801514000000001</v>
      </c>
      <c r="J56" s="3">
        <f>_xlfn.STDEV.P(M56:GJ56)</f>
        <v>1.7184285757024613</v>
      </c>
      <c r="K56" s="3">
        <f>_xlfn.VAR.S(M56:GJ56)</f>
        <v>2.9828250199906967</v>
      </c>
      <c r="M56" s="3">
        <v>29.500443000000001</v>
      </c>
      <c r="N56" s="3">
        <v>32.708388999999997</v>
      </c>
      <c r="O56" s="3">
        <v>29.162848</v>
      </c>
      <c r="P56" s="3">
        <v>29.612366000000002</v>
      </c>
      <c r="Q56" s="3">
        <v>25.532259</v>
      </c>
      <c r="R56" s="3">
        <v>31.726676999999999</v>
      </c>
      <c r="S56" s="3">
        <v>27.663371999999999</v>
      </c>
      <c r="T56" s="3">
        <v>29.876201999999999</v>
      </c>
      <c r="U56" s="3">
        <v>25.824795000000002</v>
      </c>
      <c r="V56" s="3">
        <v>24.801514000000001</v>
      </c>
      <c r="W56" s="3">
        <v>28.408180000000002</v>
      </c>
      <c r="X56" s="3">
        <v>31.880479999999999</v>
      </c>
      <c r="Y56" s="3">
        <v>29.196421000000001</v>
      </c>
      <c r="Z56" s="3">
        <v>26.890362</v>
      </c>
      <c r="AA56" s="3">
        <v>26.891072999999999</v>
      </c>
      <c r="AB56" s="3">
        <v>29.434768999999999</v>
      </c>
      <c r="AC56" s="3">
        <v>25.946793</v>
      </c>
      <c r="AD56" s="3">
        <v>31.088957000000001</v>
      </c>
      <c r="AE56" s="3">
        <v>30.284115</v>
      </c>
      <c r="AF56" s="3">
        <v>28.218067000000001</v>
      </c>
      <c r="AG56" s="3">
        <v>29.020959999999999</v>
      </c>
      <c r="AH56" s="3">
        <v>28.789717</v>
      </c>
      <c r="AI56" s="3">
        <v>28.290039</v>
      </c>
      <c r="AJ56" s="3">
        <v>30.780360999999999</v>
      </c>
      <c r="AK56" s="3">
        <v>30.621922000000001</v>
      </c>
      <c r="AL56" s="3">
        <v>28.946117000000001</v>
      </c>
      <c r="AM56" s="3">
        <v>29.865078</v>
      </c>
      <c r="AN56" s="3">
        <v>30.197975</v>
      </c>
      <c r="AO56" s="3">
        <v>28.672464000000002</v>
      </c>
      <c r="AP56" s="3">
        <v>25.189544999999999</v>
      </c>
      <c r="AQ56" s="3">
        <v>28.347818</v>
      </c>
      <c r="AR56" s="3">
        <v>28.725807</v>
      </c>
      <c r="AS56" s="3">
        <v>29.523033000000002</v>
      </c>
      <c r="AT56" s="3">
        <v>29.269977999999998</v>
      </c>
      <c r="AU56" s="3">
        <v>31.051559000000001</v>
      </c>
      <c r="AV56" s="3">
        <v>30.63213</v>
      </c>
      <c r="AW56" s="3">
        <v>32.382255999999998</v>
      </c>
      <c r="AX56" s="3">
        <v>30.233681000000001</v>
      </c>
      <c r="AY56" s="3">
        <v>29.529157999999999</v>
      </c>
      <c r="AZ56" s="3">
        <v>28.482218</v>
      </c>
      <c r="BA56" s="3">
        <v>29.698715</v>
      </c>
      <c r="BB56" s="3">
        <v>32.617812999999998</v>
      </c>
      <c r="BC56" s="3">
        <v>28.820706999999999</v>
      </c>
      <c r="BD56" s="3">
        <v>27.860115</v>
      </c>
      <c r="BE56" s="3">
        <v>28.106594000000001</v>
      </c>
      <c r="BF56" s="3">
        <v>29.428246000000001</v>
      </c>
      <c r="BG56" s="3">
        <v>29.720333</v>
      </c>
      <c r="BH56" s="3">
        <v>29.819901000000002</v>
      </c>
      <c r="BI56" s="3">
        <v>29.1401</v>
      </c>
      <c r="BJ56" s="3">
        <v>27.664988999999998</v>
      </c>
      <c r="BK56" s="3">
        <v>30.901398</v>
      </c>
      <c r="BL56" s="3">
        <v>31.390540999999999</v>
      </c>
      <c r="BM56" s="3">
        <v>29.20166</v>
      </c>
      <c r="BN56" s="3">
        <v>26.725597</v>
      </c>
      <c r="BO56" s="3">
        <v>26.766781000000002</v>
      </c>
      <c r="BP56" s="3">
        <v>30.273275000000002</v>
      </c>
      <c r="BQ56" s="3">
        <v>30.877624999999998</v>
      </c>
      <c r="BR56" s="3">
        <v>30.800353999999999</v>
      </c>
      <c r="BS56" s="3">
        <v>31.061796000000001</v>
      </c>
      <c r="BT56" s="3">
        <v>28.38213</v>
      </c>
      <c r="BU56" s="3">
        <v>26.468498</v>
      </c>
      <c r="BV56" s="3">
        <v>30.330432999999999</v>
      </c>
      <c r="BW56" s="3">
        <v>30.844431</v>
      </c>
      <c r="BX56" s="3">
        <v>26.659579999999998</v>
      </c>
      <c r="BY56" s="3">
        <v>24.851842999999999</v>
      </c>
      <c r="BZ56" s="3">
        <v>29.848227999999999</v>
      </c>
      <c r="CA56" s="3">
        <v>29.303650000000001</v>
      </c>
      <c r="CB56" s="3">
        <v>26.889137000000002</v>
      </c>
      <c r="CC56" s="3">
        <v>29.286404000000001</v>
      </c>
      <c r="CD56" s="3">
        <v>26.365593000000001</v>
      </c>
      <c r="CE56" s="3">
        <v>27.325472000000001</v>
      </c>
      <c r="CF56" s="3">
        <v>30.549229</v>
      </c>
      <c r="CG56" s="3">
        <v>28.599444999999999</v>
      </c>
      <c r="CH56" s="3">
        <v>28.019235999999999</v>
      </c>
      <c r="CI56" s="3">
        <v>26.254435999999998</v>
      </c>
      <c r="CJ56" s="3">
        <v>30.617619999999999</v>
      </c>
      <c r="CK56" s="3">
        <v>29.521129999999999</v>
      </c>
      <c r="CL56" s="3">
        <v>29.106757999999999</v>
      </c>
      <c r="CM56" s="3">
        <v>30.779207</v>
      </c>
      <c r="CN56" s="3">
        <v>28.384734999999999</v>
      </c>
      <c r="CO56" s="3">
        <v>28.313040000000001</v>
      </c>
      <c r="CP56" s="3">
        <v>29.239198999999999</v>
      </c>
      <c r="CQ56" s="3">
        <v>30.645157000000001</v>
      </c>
      <c r="CR56" s="3">
        <v>28.856456999999999</v>
      </c>
      <c r="CS56" s="3">
        <v>25.269342000000002</v>
      </c>
      <c r="CT56" s="3">
        <v>30.317781</v>
      </c>
      <c r="CU56" s="3">
        <v>28.630711000000002</v>
      </c>
      <c r="CV56" s="3">
        <v>28.927965</v>
      </c>
      <c r="CW56" s="3">
        <v>30.196325000000002</v>
      </c>
      <c r="CX56" s="3">
        <v>28.499389999999998</v>
      </c>
      <c r="CY56" s="3">
        <v>29.922678000000001</v>
      </c>
      <c r="CZ56" s="3">
        <v>27.493583999999998</v>
      </c>
      <c r="DA56" s="3">
        <v>29.493126</v>
      </c>
      <c r="DB56" s="3">
        <v>29.760549999999999</v>
      </c>
      <c r="DC56" s="3">
        <v>29.011939999999999</v>
      </c>
      <c r="DD56" s="3">
        <v>26.970614999999999</v>
      </c>
      <c r="DE56" s="3">
        <v>28.708521000000001</v>
      </c>
      <c r="DF56" s="3">
        <v>29.695229000000001</v>
      </c>
      <c r="DG56" s="3">
        <v>30.961454</v>
      </c>
      <c r="DH56" s="3">
        <v>27.748750999999999</v>
      </c>
      <c r="DI56" s="3"/>
      <c r="DJ56" s="3"/>
      <c r="DM56" s="3"/>
      <c r="DN56" s="3"/>
      <c r="DP56" s="3"/>
      <c r="DQ56" s="3"/>
      <c r="DR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M57" s="3"/>
      <c r="DN57" s="3"/>
      <c r="DP57" s="3"/>
      <c r="DQ57" s="3"/>
      <c r="DR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26.880056509999989</v>
      </c>
      <c r="H58" s="3">
        <f>MAX(M58:GJ58)</f>
        <v>32.026443</v>
      </c>
      <c r="I58" s="3">
        <f>MIN(M58:GJ58)</f>
        <v>22.058244999999999</v>
      </c>
      <c r="J58" s="3">
        <f>_xlfn.STDEV.P(M58:GJ58)</f>
        <v>1.962608405863016</v>
      </c>
      <c r="K58" s="3">
        <f>_xlfn.VAR.S(M58:GJ58)</f>
        <v>3.8907391462264331</v>
      </c>
      <c r="M58" s="3">
        <v>32.026443</v>
      </c>
      <c r="N58" s="3">
        <v>28.106822999999999</v>
      </c>
      <c r="O58" s="3">
        <v>27.496046</v>
      </c>
      <c r="P58" s="3">
        <v>28.103929999999998</v>
      </c>
      <c r="Q58" s="3">
        <v>28.145432</v>
      </c>
      <c r="R58" s="3">
        <v>26.786314000000001</v>
      </c>
      <c r="S58" s="3">
        <v>26.066130000000001</v>
      </c>
      <c r="T58" s="3">
        <v>28.734055999999999</v>
      </c>
      <c r="U58" s="3">
        <v>25.138693</v>
      </c>
      <c r="V58" s="3">
        <v>25.840792</v>
      </c>
      <c r="W58" s="3">
        <v>26.080794999999998</v>
      </c>
      <c r="X58" s="3">
        <v>28.491714000000002</v>
      </c>
      <c r="Y58" s="3">
        <v>26.852591</v>
      </c>
      <c r="Z58" s="3">
        <v>25.514557</v>
      </c>
      <c r="AA58" s="3">
        <v>28.030135999999999</v>
      </c>
      <c r="AB58" s="3">
        <v>24.446894</v>
      </c>
      <c r="AC58" s="3">
        <v>29.123049000000002</v>
      </c>
      <c r="AD58" s="3">
        <v>24.350442999999999</v>
      </c>
      <c r="AE58" s="3">
        <v>27.473649999999999</v>
      </c>
      <c r="AF58" s="3">
        <v>25.910456</v>
      </c>
      <c r="AG58" s="3">
        <v>29.698566</v>
      </c>
      <c r="AH58" s="3">
        <v>25.492429999999999</v>
      </c>
      <c r="AI58" s="3">
        <v>26.168652000000002</v>
      </c>
      <c r="AJ58" s="3">
        <v>25.410558999999999</v>
      </c>
      <c r="AK58" s="3">
        <v>25.355029999999999</v>
      </c>
      <c r="AL58" s="3">
        <v>30.306533999999999</v>
      </c>
      <c r="AM58" s="3">
        <v>29.024666</v>
      </c>
      <c r="AN58" s="3">
        <v>25.420959</v>
      </c>
      <c r="AO58" s="3">
        <v>30.124409</v>
      </c>
      <c r="AP58" s="3">
        <v>31.247150000000001</v>
      </c>
      <c r="AQ58" s="3">
        <v>28.852806000000001</v>
      </c>
      <c r="AR58" s="3">
        <v>28.235904999999999</v>
      </c>
      <c r="AS58" s="3">
        <v>27.499410999999998</v>
      </c>
      <c r="AT58" s="3">
        <v>25.263838</v>
      </c>
      <c r="AU58" s="3">
        <v>24.592524999999998</v>
      </c>
      <c r="AV58" s="3">
        <v>29.418657</v>
      </c>
      <c r="AW58" s="3">
        <v>25.778465000000001</v>
      </c>
      <c r="AX58" s="3">
        <v>27.312419999999999</v>
      </c>
      <c r="AY58" s="3">
        <v>24.542093000000001</v>
      </c>
      <c r="AZ58" s="3">
        <v>26.553132999999999</v>
      </c>
      <c r="BA58" s="3">
        <v>29.970772</v>
      </c>
      <c r="BB58" s="3">
        <v>25.846312000000001</v>
      </c>
      <c r="BC58" s="3">
        <v>26.588173000000001</v>
      </c>
      <c r="BD58" s="3">
        <v>27.778224999999999</v>
      </c>
      <c r="BE58" s="3">
        <v>25.409241000000002</v>
      </c>
      <c r="BF58" s="3">
        <v>28.153879</v>
      </c>
      <c r="BG58" s="3">
        <v>29.318884000000001</v>
      </c>
      <c r="BH58" s="3">
        <v>26.296355999999999</v>
      </c>
      <c r="BI58" s="3">
        <v>25.660957</v>
      </c>
      <c r="BJ58" s="3">
        <v>25.805935000000002</v>
      </c>
      <c r="BK58" s="3">
        <v>30.175716000000001</v>
      </c>
      <c r="BL58" s="3">
        <v>30.117531</v>
      </c>
      <c r="BM58" s="3">
        <v>26.190470000000001</v>
      </c>
      <c r="BN58" s="3">
        <v>28.142869999999998</v>
      </c>
      <c r="BO58" s="3">
        <v>29.182209</v>
      </c>
      <c r="BP58" s="3">
        <v>25.659216000000001</v>
      </c>
      <c r="BQ58" s="3">
        <v>24.965885</v>
      </c>
      <c r="BR58" s="3">
        <v>27.941348999999999</v>
      </c>
      <c r="BS58" s="3">
        <v>27.625643</v>
      </c>
      <c r="BT58" s="3">
        <v>24.180579999999999</v>
      </c>
      <c r="BU58" s="3">
        <v>28.903282000000001</v>
      </c>
      <c r="BV58" s="3">
        <v>25.833791999999999</v>
      </c>
      <c r="BW58" s="3">
        <v>27.098742000000001</v>
      </c>
      <c r="BX58" s="3">
        <v>24.801020000000001</v>
      </c>
      <c r="BY58" s="3">
        <v>24.666955999999999</v>
      </c>
      <c r="BZ58" s="3">
        <v>27.79307</v>
      </c>
      <c r="CA58" s="3">
        <v>24.955164</v>
      </c>
      <c r="CB58" s="3">
        <v>24.672854999999998</v>
      </c>
      <c r="CC58" s="3">
        <v>27.040827</v>
      </c>
      <c r="CD58" s="3">
        <v>25.379812000000001</v>
      </c>
      <c r="CE58" s="3">
        <v>27.61253</v>
      </c>
      <c r="CF58" s="3">
        <v>29.214493000000001</v>
      </c>
      <c r="CG58" s="3">
        <v>25.069347</v>
      </c>
      <c r="CH58" s="3">
        <v>24.308402999999998</v>
      </c>
      <c r="CI58" s="3">
        <v>22.058244999999999</v>
      </c>
      <c r="CJ58" s="3">
        <v>26.779572000000002</v>
      </c>
      <c r="CK58" s="3">
        <v>25.35895</v>
      </c>
      <c r="CL58" s="3">
        <v>27.048351</v>
      </c>
      <c r="CM58" s="3">
        <v>25.847742</v>
      </c>
      <c r="CN58" s="3">
        <v>23.816658</v>
      </c>
      <c r="CO58" s="3">
        <v>27.752865</v>
      </c>
      <c r="CP58" s="3">
        <v>26.058423999999999</v>
      </c>
      <c r="CQ58" s="3">
        <v>24.611504</v>
      </c>
      <c r="CR58" s="3">
        <v>24.988320999999999</v>
      </c>
      <c r="CS58" s="3">
        <v>27.282436000000001</v>
      </c>
      <c r="CT58" s="3">
        <v>27.654346</v>
      </c>
      <c r="CU58" s="3">
        <v>28.132252000000001</v>
      </c>
      <c r="CV58" s="3">
        <v>28.882736000000001</v>
      </c>
      <c r="CW58" s="3">
        <v>24.542494000000001</v>
      </c>
      <c r="CX58" s="3">
        <v>28.439556</v>
      </c>
      <c r="CY58" s="3">
        <v>27.755924</v>
      </c>
      <c r="CZ58" s="3">
        <v>25.328175999999999</v>
      </c>
      <c r="DA58" s="3">
        <v>24.659956000000001</v>
      </c>
      <c r="DB58" s="3">
        <v>28.858404</v>
      </c>
      <c r="DC58" s="3">
        <v>26.394483999999999</v>
      </c>
      <c r="DD58" s="3">
        <v>27.513148999999999</v>
      </c>
      <c r="DE58" s="3">
        <v>23.252773000000001</v>
      </c>
      <c r="DF58" s="3">
        <v>30.976921000000001</v>
      </c>
      <c r="DG58" s="3">
        <v>23.371019</v>
      </c>
      <c r="DH58" s="3">
        <v>29.262744999999999</v>
      </c>
      <c r="DI58" s="3"/>
      <c r="DJ58" s="3"/>
      <c r="DM58" s="3"/>
      <c r="DN58" s="3"/>
      <c r="DP58" s="3"/>
      <c r="DQ58" s="3"/>
      <c r="DR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</row>
    <row r="61" spans="2:207" x14ac:dyDescent="0.2">
      <c r="B61" t="s">
        <v>60</v>
      </c>
      <c r="D61" s="1" t="s">
        <v>37</v>
      </c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32.478384489999989</v>
      </c>
      <c r="H62" s="3">
        <f>MAX(M62:GJ62)</f>
        <v>35.460769999999997</v>
      </c>
      <c r="I62" s="3">
        <f>MIN(M62:GJ62)</f>
        <v>30.101879</v>
      </c>
      <c r="J62" s="3">
        <f>_xlfn.STDEV.P(M62:GJ62)</f>
        <v>1.085626013227267</v>
      </c>
      <c r="K62" s="3">
        <f>_xlfn.VAR.S(M62:GJ62)</f>
        <v>1.1904887278744749</v>
      </c>
      <c r="M62" s="3">
        <v>32.080646999999999</v>
      </c>
      <c r="N62" s="3">
        <v>33.309787999999998</v>
      </c>
      <c r="O62" s="3">
        <v>32.877719999999997</v>
      </c>
      <c r="P62" s="3">
        <v>32.585396000000003</v>
      </c>
      <c r="Q62" s="3">
        <v>34.903446000000002</v>
      </c>
      <c r="R62" s="3">
        <v>34.367359</v>
      </c>
      <c r="S62" s="3">
        <v>31.593798</v>
      </c>
      <c r="T62" s="3">
        <v>32.337257000000001</v>
      </c>
      <c r="U62" s="3">
        <v>31.400372000000001</v>
      </c>
      <c r="V62" s="3">
        <v>31.607906</v>
      </c>
      <c r="W62" s="3">
        <v>32.280822999999998</v>
      </c>
      <c r="X62" s="3">
        <v>33.141689</v>
      </c>
      <c r="Y62" s="3">
        <v>34.566634999999998</v>
      </c>
      <c r="Z62" s="3">
        <v>31.735645000000002</v>
      </c>
      <c r="AA62" s="3">
        <v>32.822960000000002</v>
      </c>
      <c r="AB62" s="3">
        <v>32.266441</v>
      </c>
      <c r="AC62" s="3">
        <v>31.894134999999999</v>
      </c>
      <c r="AD62" s="3">
        <v>30.317871</v>
      </c>
      <c r="AE62" s="3">
        <v>33.091952999999997</v>
      </c>
      <c r="AF62" s="3">
        <v>31.442333000000001</v>
      </c>
      <c r="AG62" s="3">
        <v>32.250476999999997</v>
      </c>
      <c r="AH62" s="3">
        <v>32.451720999999999</v>
      </c>
      <c r="AI62" s="3">
        <v>30.101879</v>
      </c>
      <c r="AJ62" s="3">
        <v>32.528896000000003</v>
      </c>
      <c r="AK62" s="3">
        <v>32.799281999999998</v>
      </c>
      <c r="AL62" s="3">
        <v>31.209461000000001</v>
      </c>
      <c r="AM62" s="3">
        <v>31.534244999999999</v>
      </c>
      <c r="AN62" s="3">
        <v>32.269717999999997</v>
      </c>
      <c r="AO62" s="3">
        <v>32.424590999999999</v>
      </c>
      <c r="AP62" s="3">
        <v>33.302188999999998</v>
      </c>
      <c r="AQ62" s="3">
        <v>31.647456999999999</v>
      </c>
      <c r="AR62" s="3">
        <v>32.115592999999997</v>
      </c>
      <c r="AS62" s="3">
        <v>32.736522999999998</v>
      </c>
      <c r="AT62" s="3">
        <v>35.460769999999997</v>
      </c>
      <c r="AU62" s="3">
        <v>33.789223</v>
      </c>
      <c r="AV62" s="3">
        <v>32.446841999999997</v>
      </c>
      <c r="AW62" s="3">
        <v>32.384417999999997</v>
      </c>
      <c r="AX62" s="3">
        <v>32.644103999999999</v>
      </c>
      <c r="AY62" s="3">
        <v>35.251972000000002</v>
      </c>
      <c r="AZ62" s="3">
        <v>34.633713</v>
      </c>
      <c r="BA62" s="3">
        <v>32.709018999999998</v>
      </c>
      <c r="BB62" s="3">
        <v>31.953651000000001</v>
      </c>
      <c r="BC62" s="3">
        <v>32.361687000000003</v>
      </c>
      <c r="BD62" s="3">
        <v>32.571724000000003</v>
      </c>
      <c r="BE62" s="3">
        <v>34.131359000000003</v>
      </c>
      <c r="BF62" s="3">
        <v>31.684963</v>
      </c>
      <c r="BG62" s="3">
        <v>33.017699999999998</v>
      </c>
      <c r="BH62" s="3">
        <v>35.259300000000003</v>
      </c>
      <c r="BI62" s="3">
        <v>32.826194999999998</v>
      </c>
      <c r="BJ62" s="3">
        <v>32.556201999999999</v>
      </c>
      <c r="BK62" s="3">
        <v>31.408628</v>
      </c>
      <c r="BL62" s="3">
        <v>31.751971999999999</v>
      </c>
      <c r="BM62" s="3">
        <v>31.576477000000001</v>
      </c>
      <c r="BN62" s="3">
        <v>32.634799999999998</v>
      </c>
      <c r="BO62" s="3">
        <v>32.485401000000003</v>
      </c>
      <c r="BP62" s="3">
        <v>35.064419000000001</v>
      </c>
      <c r="BQ62" s="3">
        <v>31.850414000000001</v>
      </c>
      <c r="BR62" s="3">
        <v>31.661636000000001</v>
      </c>
      <c r="BS62" s="3">
        <v>33.693562</v>
      </c>
      <c r="BT62" s="3">
        <v>32.154335000000003</v>
      </c>
      <c r="BU62" s="3">
        <v>33.127997999999998</v>
      </c>
      <c r="BV62" s="3">
        <v>32.070686000000002</v>
      </c>
      <c r="BW62" s="3">
        <v>31.837795</v>
      </c>
      <c r="BX62" s="3">
        <v>31.587620000000001</v>
      </c>
      <c r="BY62" s="3">
        <v>31.951692999999999</v>
      </c>
      <c r="BZ62" s="3">
        <v>31.075481</v>
      </c>
      <c r="CA62" s="3">
        <v>34.205036</v>
      </c>
      <c r="CB62" s="3">
        <v>31.716867000000001</v>
      </c>
      <c r="CC62" s="3">
        <v>31.810497000000002</v>
      </c>
      <c r="CD62" s="3">
        <v>31.806971000000001</v>
      </c>
      <c r="CE62" s="3">
        <v>32.317492999999999</v>
      </c>
      <c r="CF62" s="3">
        <v>33.828392000000001</v>
      </c>
      <c r="CG62" s="3">
        <v>32.196486999999998</v>
      </c>
      <c r="CH62" s="3">
        <v>33.741160999999998</v>
      </c>
      <c r="CI62" s="3">
        <v>30.356838</v>
      </c>
      <c r="CJ62" s="3">
        <v>30.935713</v>
      </c>
      <c r="CK62" s="3">
        <v>32.003413999999999</v>
      </c>
      <c r="CL62" s="3">
        <v>31.601832999999999</v>
      </c>
      <c r="CM62" s="3">
        <v>32.307811999999998</v>
      </c>
      <c r="CN62" s="3">
        <v>31.601853999999999</v>
      </c>
      <c r="CO62" s="3">
        <v>32.448700000000002</v>
      </c>
      <c r="CP62" s="3">
        <v>31.166943</v>
      </c>
      <c r="CQ62" s="3">
        <v>32.580844999999997</v>
      </c>
      <c r="CR62" s="3">
        <v>31.635859</v>
      </c>
      <c r="CS62" s="3">
        <v>32.376389000000003</v>
      </c>
      <c r="CT62" s="3">
        <v>34.881138</v>
      </c>
      <c r="CU62" s="3">
        <v>32.300548999999997</v>
      </c>
      <c r="CV62" s="3">
        <v>32.129772000000003</v>
      </c>
      <c r="CW62" s="3">
        <v>31.519535000000001</v>
      </c>
      <c r="CX62" s="3">
        <v>31.849640000000001</v>
      </c>
      <c r="CY62" s="3">
        <v>33.581985000000003</v>
      </c>
      <c r="CZ62" s="3">
        <v>32.551853000000001</v>
      </c>
      <c r="DA62" s="3">
        <v>33.351269000000002</v>
      </c>
      <c r="DB62" s="3">
        <v>31.778003999999999</v>
      </c>
      <c r="DC62" s="3">
        <v>31.546901999999999</v>
      </c>
      <c r="DD62" s="3">
        <v>33.370029000000002</v>
      </c>
      <c r="DE62" s="3">
        <v>32.272522000000002</v>
      </c>
      <c r="DF62" s="3">
        <v>32.994736000000003</v>
      </c>
      <c r="DG62" s="3">
        <v>31.937840999999999</v>
      </c>
      <c r="DH62" s="3">
        <v>31.521605000000001</v>
      </c>
      <c r="DI62" s="3"/>
      <c r="DJ62" s="3"/>
      <c r="DM62" s="3"/>
      <c r="DN62" s="3"/>
      <c r="DP62" s="3"/>
      <c r="DQ62" s="3"/>
      <c r="DR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M63" s="3"/>
      <c r="DN63" s="3"/>
      <c r="DP63" s="3"/>
      <c r="DQ63" s="3"/>
      <c r="DR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33.658619190000017</v>
      </c>
      <c r="H64" s="3">
        <f>MAX(M64:GJ64)</f>
        <v>42.112869000000003</v>
      </c>
      <c r="I64" s="3">
        <f>MIN(M64:GJ64)</f>
        <v>24.961227000000001</v>
      </c>
      <c r="J64" s="3">
        <f>_xlfn.STDEV.P(M64:GJ64)</f>
        <v>3.8904356969512333</v>
      </c>
      <c r="K64" s="3">
        <f>_xlfn.VAR.S(M64:GJ64)</f>
        <v>15.288373648598519</v>
      </c>
      <c r="M64" s="3">
        <v>37.371383999999999</v>
      </c>
      <c r="N64" s="3">
        <v>42.112869000000003</v>
      </c>
      <c r="O64" s="3">
        <v>37.102466999999997</v>
      </c>
      <c r="P64" s="3">
        <v>33.547508000000001</v>
      </c>
      <c r="Q64" s="3">
        <v>39.528888999999999</v>
      </c>
      <c r="R64" s="3">
        <v>32.210098000000002</v>
      </c>
      <c r="S64" s="3">
        <v>36.763686999999997</v>
      </c>
      <c r="T64" s="3">
        <v>34.677318999999997</v>
      </c>
      <c r="U64" s="3">
        <v>37.121231000000002</v>
      </c>
      <c r="V64" s="3">
        <v>36.757911999999997</v>
      </c>
      <c r="W64" s="3">
        <v>35.991100000000003</v>
      </c>
      <c r="X64" s="3">
        <v>36.374161000000001</v>
      </c>
      <c r="Y64" s="3">
        <v>31.077202</v>
      </c>
      <c r="Z64" s="3">
        <v>37.513184000000003</v>
      </c>
      <c r="AA64" s="3">
        <v>34.810268000000001</v>
      </c>
      <c r="AB64" s="3">
        <v>26.655573</v>
      </c>
      <c r="AC64" s="3">
        <v>35.744877000000002</v>
      </c>
      <c r="AD64" s="3">
        <v>30.712039999999998</v>
      </c>
      <c r="AE64" s="3">
        <v>34.767474999999997</v>
      </c>
      <c r="AF64" s="3">
        <v>37.428061999999997</v>
      </c>
      <c r="AG64" s="3">
        <v>34.476512999999997</v>
      </c>
      <c r="AH64" s="3">
        <v>31.819310999999999</v>
      </c>
      <c r="AI64" s="3">
        <v>27.937964999999998</v>
      </c>
      <c r="AJ64" s="3">
        <v>32.926090000000002</v>
      </c>
      <c r="AK64" s="3">
        <v>34.360019999999999</v>
      </c>
      <c r="AL64" s="3">
        <v>29.956047000000002</v>
      </c>
      <c r="AM64" s="3">
        <v>31.971975</v>
      </c>
      <c r="AN64" s="3">
        <v>28.054124999999999</v>
      </c>
      <c r="AO64" s="3">
        <v>30.790217999999999</v>
      </c>
      <c r="AP64" s="3">
        <v>34.077556999999999</v>
      </c>
      <c r="AQ64" s="3">
        <v>32.572529000000003</v>
      </c>
      <c r="AR64" s="3">
        <v>27.769213000000001</v>
      </c>
      <c r="AS64" s="3">
        <v>28.997226999999999</v>
      </c>
      <c r="AT64" s="3">
        <v>38.620327000000003</v>
      </c>
      <c r="AU64" s="3">
        <v>30.254742</v>
      </c>
      <c r="AV64" s="3">
        <v>28.624886</v>
      </c>
      <c r="AW64" s="3">
        <v>30.086306</v>
      </c>
      <c r="AX64" s="3">
        <v>29.590399000000001</v>
      </c>
      <c r="AY64" s="3">
        <v>31.766891000000001</v>
      </c>
      <c r="AZ64" s="3">
        <v>28.603833999999999</v>
      </c>
      <c r="BA64" s="3">
        <v>33.044291999999999</v>
      </c>
      <c r="BB64" s="3">
        <v>27.755016000000001</v>
      </c>
      <c r="BC64" s="3">
        <v>26.580452000000001</v>
      </c>
      <c r="BD64" s="3">
        <v>29.912001</v>
      </c>
      <c r="BE64" s="3">
        <v>27.467017999999999</v>
      </c>
      <c r="BF64" s="3">
        <v>27.901437999999999</v>
      </c>
      <c r="BG64" s="3">
        <v>33.713073999999999</v>
      </c>
      <c r="BH64" s="3">
        <v>24.961227000000001</v>
      </c>
      <c r="BI64" s="3">
        <v>26.959028</v>
      </c>
      <c r="BJ64" s="3">
        <v>28.754604</v>
      </c>
      <c r="BK64" s="3">
        <v>39.859161</v>
      </c>
      <c r="BL64" s="3">
        <v>34.579796000000002</v>
      </c>
      <c r="BM64" s="3">
        <v>37.550742999999997</v>
      </c>
      <c r="BN64" s="3">
        <v>38.462418</v>
      </c>
      <c r="BO64" s="3">
        <v>36.190562999999997</v>
      </c>
      <c r="BP64" s="3">
        <v>35.668396000000001</v>
      </c>
      <c r="BQ64" s="3">
        <v>40.656601000000002</v>
      </c>
      <c r="BR64" s="3">
        <v>37.427855999999998</v>
      </c>
      <c r="BS64" s="3">
        <v>35.710116999999997</v>
      </c>
      <c r="BT64" s="3">
        <v>38.161579000000003</v>
      </c>
      <c r="BU64" s="3">
        <v>34.859589</v>
      </c>
      <c r="BV64" s="3">
        <v>31.412212</v>
      </c>
      <c r="BW64" s="3">
        <v>35.561442999999997</v>
      </c>
      <c r="BX64" s="3">
        <v>39.209038</v>
      </c>
      <c r="BY64" s="3">
        <v>39.057811999999998</v>
      </c>
      <c r="BZ64" s="3">
        <v>34.535229000000001</v>
      </c>
      <c r="CA64" s="3">
        <v>35.087738000000002</v>
      </c>
      <c r="CB64" s="3">
        <v>35.128956000000002</v>
      </c>
      <c r="CC64" s="3">
        <v>35.858497999999997</v>
      </c>
      <c r="CD64" s="3">
        <v>36.72831</v>
      </c>
      <c r="CE64" s="3">
        <v>32.667717000000003</v>
      </c>
      <c r="CF64" s="3">
        <v>32.324593</v>
      </c>
      <c r="CG64" s="3">
        <v>34.299644000000001</v>
      </c>
      <c r="CH64" s="3">
        <v>40.154907000000001</v>
      </c>
      <c r="CI64" s="3">
        <v>36.030158999999998</v>
      </c>
      <c r="CJ64" s="3">
        <v>29.959032000000001</v>
      </c>
      <c r="CK64" s="3">
        <v>33.826641000000002</v>
      </c>
      <c r="CL64" s="3">
        <v>36.815624</v>
      </c>
      <c r="CM64" s="3">
        <v>35.003135999999998</v>
      </c>
      <c r="CN64" s="3">
        <v>35.562781999999999</v>
      </c>
      <c r="CO64" s="3">
        <v>36.301754000000003</v>
      </c>
      <c r="CP64" s="3">
        <v>31.095119</v>
      </c>
      <c r="CQ64" s="3">
        <v>29.256886000000002</v>
      </c>
      <c r="CR64" s="3">
        <v>36.708075999999998</v>
      </c>
      <c r="CS64" s="3">
        <v>38.548309000000003</v>
      </c>
      <c r="CT64" s="3">
        <v>30.461447</v>
      </c>
      <c r="CU64" s="3">
        <v>34.953037000000002</v>
      </c>
      <c r="CV64" s="3">
        <v>37.468345999999997</v>
      </c>
      <c r="CW64" s="3">
        <v>30.015585000000002</v>
      </c>
      <c r="CX64" s="3">
        <v>36.770229</v>
      </c>
      <c r="CY64" s="3">
        <v>29.406798999999999</v>
      </c>
      <c r="CZ64" s="3">
        <v>33.939957</v>
      </c>
      <c r="DA64" s="3">
        <v>31.067713000000001</v>
      </c>
      <c r="DB64" s="3">
        <v>34.252617000000001</v>
      </c>
      <c r="DC64" s="3">
        <v>41.117462000000003</v>
      </c>
      <c r="DD64" s="3">
        <v>27.371872</v>
      </c>
      <c r="DE64" s="3">
        <v>31.739836</v>
      </c>
      <c r="DF64" s="3">
        <v>30.968018000000001</v>
      </c>
      <c r="DG64" s="3">
        <v>39.009151000000003</v>
      </c>
      <c r="DH64" s="3">
        <v>28.487784999999999</v>
      </c>
      <c r="DI64" s="3"/>
      <c r="DJ64" s="3"/>
      <c r="DM64" s="3"/>
      <c r="DN64" s="3"/>
      <c r="DP64" s="3"/>
      <c r="DQ64" s="3"/>
      <c r="DR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M65" s="3"/>
      <c r="DN65" s="3"/>
      <c r="DP65" s="3"/>
      <c r="DQ65" s="3"/>
      <c r="DR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38.793934299999989</v>
      </c>
      <c r="H66" s="3">
        <f>MAX(M66:GJ66)</f>
        <v>43.930095999999999</v>
      </c>
      <c r="I66" s="3">
        <f>MIN(M66:GJ66)</f>
        <v>33.259253999999999</v>
      </c>
      <c r="J66" s="3">
        <f>_xlfn.STDEV.P(M66:GJ66)</f>
        <v>1.8426392153821893</v>
      </c>
      <c r="K66" s="3">
        <f>_xlfn.VAR.S(M66:GJ66)</f>
        <v>3.4296154323881725</v>
      </c>
      <c r="M66" s="3">
        <v>41.358494</v>
      </c>
      <c r="N66" s="3">
        <v>41.215381999999998</v>
      </c>
      <c r="O66" s="3">
        <v>39.346527000000002</v>
      </c>
      <c r="P66" s="3">
        <v>39.187187000000002</v>
      </c>
      <c r="Q66" s="3">
        <v>39.478783</v>
      </c>
      <c r="R66" s="3">
        <v>39.890858000000001</v>
      </c>
      <c r="S66" s="3">
        <v>34.317413000000002</v>
      </c>
      <c r="T66" s="3">
        <v>40.112380999999999</v>
      </c>
      <c r="U66" s="3">
        <v>39.863159000000003</v>
      </c>
      <c r="V66" s="3">
        <v>39.411147999999997</v>
      </c>
      <c r="W66" s="3">
        <v>40.399422000000001</v>
      </c>
      <c r="X66" s="3">
        <v>41.584564</v>
      </c>
      <c r="Y66" s="3">
        <v>39.228104000000002</v>
      </c>
      <c r="Z66" s="3">
        <v>38.875816</v>
      </c>
      <c r="AA66" s="3">
        <v>38.848289000000001</v>
      </c>
      <c r="AB66" s="3">
        <v>40.593338000000003</v>
      </c>
      <c r="AC66" s="3">
        <v>43.930095999999999</v>
      </c>
      <c r="AD66" s="3">
        <v>39.738273999999997</v>
      </c>
      <c r="AE66" s="3">
        <v>40.60313</v>
      </c>
      <c r="AF66" s="3">
        <v>39.541671999999998</v>
      </c>
      <c r="AG66" s="3">
        <v>40.140498999999998</v>
      </c>
      <c r="AH66" s="3">
        <v>40.353583999999998</v>
      </c>
      <c r="AI66" s="3">
        <v>40.314689999999999</v>
      </c>
      <c r="AJ66" s="3">
        <v>39.044662000000002</v>
      </c>
      <c r="AK66" s="3">
        <v>40.035088000000002</v>
      </c>
      <c r="AL66" s="3">
        <v>41.564247000000002</v>
      </c>
      <c r="AM66" s="3">
        <v>39.297790999999997</v>
      </c>
      <c r="AN66" s="3">
        <v>39.290123000000001</v>
      </c>
      <c r="AO66" s="3">
        <v>41.359054999999998</v>
      </c>
      <c r="AP66" s="3">
        <v>37.796897999999999</v>
      </c>
      <c r="AQ66" s="3">
        <v>39.087437000000001</v>
      </c>
      <c r="AR66" s="3">
        <v>40.403914999999998</v>
      </c>
      <c r="AS66" s="3">
        <v>39.112853999999999</v>
      </c>
      <c r="AT66" s="3">
        <v>36.493186999999999</v>
      </c>
      <c r="AU66" s="3">
        <v>38.060851999999997</v>
      </c>
      <c r="AV66" s="3">
        <v>38.895912000000003</v>
      </c>
      <c r="AW66" s="3">
        <v>36.492187999999999</v>
      </c>
      <c r="AX66" s="3">
        <v>38.187286</v>
      </c>
      <c r="AY66" s="3">
        <v>36.080112</v>
      </c>
      <c r="AZ66" s="3">
        <v>38.086533000000003</v>
      </c>
      <c r="BA66" s="3">
        <v>36.828648000000001</v>
      </c>
      <c r="BB66" s="3">
        <v>38.479691000000003</v>
      </c>
      <c r="BC66" s="3">
        <v>37.452686</v>
      </c>
      <c r="BD66" s="3">
        <v>34.010544000000003</v>
      </c>
      <c r="BE66" s="3">
        <v>36.666718000000003</v>
      </c>
      <c r="BF66" s="3">
        <v>38.291232999999998</v>
      </c>
      <c r="BG66" s="3">
        <v>35.961582</v>
      </c>
      <c r="BH66" s="3">
        <v>37.481831</v>
      </c>
      <c r="BI66" s="3">
        <v>37.565060000000003</v>
      </c>
      <c r="BJ66" s="3">
        <v>35.719456000000001</v>
      </c>
      <c r="BK66" s="3">
        <v>36.074809999999999</v>
      </c>
      <c r="BL66" s="3">
        <v>36.757179000000001</v>
      </c>
      <c r="BM66" s="3">
        <v>36.367935000000003</v>
      </c>
      <c r="BN66" s="3">
        <v>33.259253999999999</v>
      </c>
      <c r="BO66" s="3">
        <v>37.391993999999997</v>
      </c>
      <c r="BP66" s="3">
        <v>36.837356999999997</v>
      </c>
      <c r="BQ66" s="3">
        <v>36.171551000000001</v>
      </c>
      <c r="BR66" s="3">
        <v>36.279217000000003</v>
      </c>
      <c r="BS66" s="3">
        <v>34.199818</v>
      </c>
      <c r="BT66" s="3">
        <v>36.718902999999997</v>
      </c>
      <c r="BU66" s="3">
        <v>38.570369999999997</v>
      </c>
      <c r="BV66" s="3">
        <v>41.493034000000002</v>
      </c>
      <c r="BW66" s="3">
        <v>39.266120999999998</v>
      </c>
      <c r="BX66" s="3">
        <v>38.279823</v>
      </c>
      <c r="BY66" s="3">
        <v>38.626002999999997</v>
      </c>
      <c r="BZ66" s="3">
        <v>39.693218000000002</v>
      </c>
      <c r="CA66" s="3">
        <v>41.203789</v>
      </c>
      <c r="CB66" s="3">
        <v>39.949103999999998</v>
      </c>
      <c r="CC66" s="3">
        <v>40.677340999999998</v>
      </c>
      <c r="CD66" s="3">
        <v>38.53022</v>
      </c>
      <c r="CE66" s="3">
        <v>39.447079000000002</v>
      </c>
      <c r="CF66" s="3">
        <v>40.053707000000003</v>
      </c>
      <c r="CG66" s="3">
        <v>39.124184</v>
      </c>
      <c r="CH66" s="3">
        <v>40.290466000000002</v>
      </c>
      <c r="CI66" s="3">
        <v>40.244247000000001</v>
      </c>
      <c r="CJ66" s="3">
        <v>39.385905999999999</v>
      </c>
      <c r="CK66" s="3">
        <v>40.857852999999999</v>
      </c>
      <c r="CL66" s="3">
        <v>40.596477999999998</v>
      </c>
      <c r="CM66" s="3">
        <v>40.310608000000002</v>
      </c>
      <c r="CN66" s="3">
        <v>39.013275</v>
      </c>
      <c r="CO66" s="3">
        <v>39.524635000000004</v>
      </c>
      <c r="CP66" s="3">
        <v>41.201706000000001</v>
      </c>
      <c r="CQ66" s="3">
        <v>38.755054000000001</v>
      </c>
      <c r="CR66" s="3">
        <v>39.037163</v>
      </c>
      <c r="CS66" s="3">
        <v>38.908965999999999</v>
      </c>
      <c r="CT66" s="3">
        <v>40.964745000000001</v>
      </c>
      <c r="CU66" s="3">
        <v>40.068278999999997</v>
      </c>
      <c r="CV66" s="3">
        <v>39.001778000000002</v>
      </c>
      <c r="CW66" s="3">
        <v>40.361148999999997</v>
      </c>
      <c r="CX66" s="3">
        <v>39.219836999999998</v>
      </c>
      <c r="CY66" s="3">
        <v>38.234962000000003</v>
      </c>
      <c r="CZ66" s="3">
        <v>38.840178999999999</v>
      </c>
      <c r="DA66" s="3">
        <v>38.429572999999998</v>
      </c>
      <c r="DB66" s="3">
        <v>37.715800999999999</v>
      </c>
      <c r="DC66" s="3">
        <v>36.716952999999997</v>
      </c>
      <c r="DD66" s="3">
        <v>37.239669999999997</v>
      </c>
      <c r="DE66" s="3">
        <v>39.001175000000003</v>
      </c>
      <c r="DF66" s="3">
        <v>37.504364000000002</v>
      </c>
      <c r="DG66" s="3">
        <v>39.534953999999999</v>
      </c>
      <c r="DH66" s="3">
        <v>37.383243999999998</v>
      </c>
      <c r="DI66" s="3"/>
      <c r="DJ66" s="3"/>
      <c r="DM66" s="3"/>
      <c r="DN66" s="3"/>
      <c r="DP66" s="3"/>
      <c r="DQ66" s="3"/>
      <c r="DR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M67" s="3"/>
      <c r="DN67" s="3"/>
      <c r="DP67" s="3"/>
      <c r="DQ67" s="3"/>
      <c r="DR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31.979452809999998</v>
      </c>
      <c r="H68" s="3">
        <f>MAX(M68:GJ68)</f>
        <v>35.46067</v>
      </c>
      <c r="I68" s="3">
        <f>MIN(M68:GJ68)</f>
        <v>28.647687999999999</v>
      </c>
      <c r="J68" s="3">
        <f>_xlfn.STDEV.P(M68:GJ68)</f>
        <v>1.4034239712824328</v>
      </c>
      <c r="K68" s="3">
        <f>_xlfn.VAR.S(M68:GJ68)</f>
        <v>1.989493780979954</v>
      </c>
      <c r="M68" s="3">
        <v>30.794909000000001</v>
      </c>
      <c r="N68" s="3">
        <v>34.01202</v>
      </c>
      <c r="O68" s="3">
        <v>28.835986999999999</v>
      </c>
      <c r="P68" s="3">
        <v>31.058281000000001</v>
      </c>
      <c r="Q68" s="3">
        <v>31.234324000000001</v>
      </c>
      <c r="R68" s="3">
        <v>30.763183999999999</v>
      </c>
      <c r="S68" s="3">
        <v>32.646202000000002</v>
      </c>
      <c r="T68" s="3">
        <v>31.050643999999998</v>
      </c>
      <c r="U68" s="3">
        <v>30.993030999999998</v>
      </c>
      <c r="V68" s="3">
        <v>32.207957999999998</v>
      </c>
      <c r="W68" s="3">
        <v>30.905994</v>
      </c>
      <c r="X68" s="3">
        <v>34.259041000000003</v>
      </c>
      <c r="Y68" s="3">
        <v>29.412731000000001</v>
      </c>
      <c r="Z68" s="3">
        <v>29.785053000000001</v>
      </c>
      <c r="AA68" s="3">
        <v>31.885297999999999</v>
      </c>
      <c r="AB68" s="3">
        <v>32.316254000000001</v>
      </c>
      <c r="AC68" s="3">
        <v>30.606441</v>
      </c>
      <c r="AD68" s="3">
        <v>30.724615</v>
      </c>
      <c r="AE68" s="3">
        <v>31.084858000000001</v>
      </c>
      <c r="AF68" s="3">
        <v>33.076836</v>
      </c>
      <c r="AG68" s="3">
        <v>33.231563999999999</v>
      </c>
      <c r="AH68" s="3">
        <v>31.099789000000001</v>
      </c>
      <c r="AI68" s="3">
        <v>34.037373000000002</v>
      </c>
      <c r="AJ68" s="3">
        <v>33.322944999999997</v>
      </c>
      <c r="AK68" s="3">
        <v>30.560665</v>
      </c>
      <c r="AL68" s="3">
        <v>33.034678999999997</v>
      </c>
      <c r="AM68" s="3">
        <v>30.815338000000001</v>
      </c>
      <c r="AN68" s="3">
        <v>33.234927999999996</v>
      </c>
      <c r="AO68" s="3">
        <v>33.152149000000001</v>
      </c>
      <c r="AP68" s="3">
        <v>33.144683999999998</v>
      </c>
      <c r="AQ68" s="3">
        <v>33.641094000000002</v>
      </c>
      <c r="AR68" s="3">
        <v>33.708691000000002</v>
      </c>
      <c r="AS68" s="3">
        <v>31.986098999999999</v>
      </c>
      <c r="AT68" s="3">
        <v>33.361282000000003</v>
      </c>
      <c r="AU68" s="3">
        <v>29.88505</v>
      </c>
      <c r="AV68" s="3">
        <v>31.673114999999999</v>
      </c>
      <c r="AW68" s="3">
        <v>35.46067</v>
      </c>
      <c r="AX68" s="3">
        <v>31.484037000000001</v>
      </c>
      <c r="AY68" s="3">
        <v>32.241191999999998</v>
      </c>
      <c r="AZ68" s="3">
        <v>32.758434000000001</v>
      </c>
      <c r="BA68" s="3">
        <v>32.064940999999997</v>
      </c>
      <c r="BB68" s="3">
        <v>33.371119999999998</v>
      </c>
      <c r="BC68" s="3">
        <v>29.918157999999998</v>
      </c>
      <c r="BD68" s="3">
        <v>31.931887</v>
      </c>
      <c r="BE68" s="3">
        <v>30.350453999999999</v>
      </c>
      <c r="BF68" s="3">
        <v>31.327095</v>
      </c>
      <c r="BG68" s="3">
        <v>32.83099</v>
      </c>
      <c r="BH68" s="3">
        <v>31.543745000000001</v>
      </c>
      <c r="BI68" s="3">
        <v>32.704757999999998</v>
      </c>
      <c r="BJ68" s="3">
        <v>31.689547000000001</v>
      </c>
      <c r="BK68" s="3">
        <v>32.022598000000002</v>
      </c>
      <c r="BL68" s="3">
        <v>32.872990000000001</v>
      </c>
      <c r="BM68" s="3">
        <v>30.962669000000002</v>
      </c>
      <c r="BN68" s="3">
        <v>29.339779</v>
      </c>
      <c r="BO68" s="3">
        <v>29.969581999999999</v>
      </c>
      <c r="BP68" s="3">
        <v>30.631893000000002</v>
      </c>
      <c r="BQ68" s="3">
        <v>34.069316999999998</v>
      </c>
      <c r="BR68" s="3">
        <v>31.374559000000001</v>
      </c>
      <c r="BS68" s="3">
        <v>32.588909000000001</v>
      </c>
      <c r="BT68" s="3">
        <v>32.412899000000003</v>
      </c>
      <c r="BU68" s="3">
        <v>32.805588</v>
      </c>
      <c r="BV68" s="3">
        <v>33.483891</v>
      </c>
      <c r="BW68" s="3">
        <v>34.961643000000002</v>
      </c>
      <c r="BX68" s="3">
        <v>32.671008999999998</v>
      </c>
      <c r="BY68" s="3">
        <v>30.431429000000001</v>
      </c>
      <c r="BZ68" s="3">
        <v>31.925616999999999</v>
      </c>
      <c r="CA68" s="3">
        <v>33.626617000000003</v>
      </c>
      <c r="CB68" s="3">
        <v>33.521411999999998</v>
      </c>
      <c r="CC68" s="3">
        <v>31.134364999999999</v>
      </c>
      <c r="CD68" s="3">
        <v>30.634862999999999</v>
      </c>
      <c r="CE68" s="3">
        <v>31.430557</v>
      </c>
      <c r="CF68" s="3">
        <v>31.460457000000002</v>
      </c>
      <c r="CG68" s="3">
        <v>31.632473000000001</v>
      </c>
      <c r="CH68" s="3">
        <v>30.894333</v>
      </c>
      <c r="CI68" s="3">
        <v>30.565956</v>
      </c>
      <c r="CJ68" s="3">
        <v>31.560403999999998</v>
      </c>
      <c r="CK68" s="3">
        <v>30.406745999999998</v>
      </c>
      <c r="CL68" s="3">
        <v>33.721595999999998</v>
      </c>
      <c r="CM68" s="3">
        <v>32.970764000000003</v>
      </c>
      <c r="CN68" s="3">
        <v>32.397582999999997</v>
      </c>
      <c r="CO68" s="3">
        <v>32.419894999999997</v>
      </c>
      <c r="CP68" s="3">
        <v>32.978251999999998</v>
      </c>
      <c r="CQ68" s="3">
        <v>34.863093999999997</v>
      </c>
      <c r="CR68" s="3">
        <v>33.684528</v>
      </c>
      <c r="CS68" s="3">
        <v>32.629401999999999</v>
      </c>
      <c r="CT68" s="3">
        <v>30.052412</v>
      </c>
      <c r="CU68" s="3">
        <v>32.550896000000002</v>
      </c>
      <c r="CV68" s="3">
        <v>31.975466000000001</v>
      </c>
      <c r="CW68" s="3">
        <v>34.234591999999999</v>
      </c>
      <c r="CX68" s="3">
        <v>33.203651000000001</v>
      </c>
      <c r="CY68" s="3">
        <v>31.182669000000001</v>
      </c>
      <c r="CZ68" s="3">
        <v>31.584033999999999</v>
      </c>
      <c r="DA68" s="3">
        <v>31.604858</v>
      </c>
      <c r="DB68" s="3">
        <v>33.242016</v>
      </c>
      <c r="DC68" s="3">
        <v>28.647687999999999</v>
      </c>
      <c r="DD68" s="3">
        <v>30.898546</v>
      </c>
      <c r="DE68" s="3">
        <v>31.630707000000001</v>
      </c>
      <c r="DF68" s="3">
        <v>33.441375999999998</v>
      </c>
      <c r="DG68" s="3">
        <v>29.462772000000001</v>
      </c>
      <c r="DH68" s="3">
        <v>31.955794999999998</v>
      </c>
      <c r="DI68" s="3"/>
      <c r="DJ68" s="3"/>
      <c r="DM68" s="3"/>
      <c r="DN68" s="3"/>
      <c r="DP68" s="3"/>
      <c r="DQ68" s="3"/>
      <c r="DR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M69" s="3"/>
      <c r="DN69" s="3"/>
      <c r="DP69" s="3"/>
      <c r="DQ69" s="3"/>
      <c r="DR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30.616363300000007</v>
      </c>
      <c r="H70" s="3">
        <f>MAX(M70:GJ70)</f>
        <v>35.035297</v>
      </c>
      <c r="I70" s="3">
        <f>MIN(M70:GJ70)</f>
        <v>25.505678</v>
      </c>
      <c r="J70" s="3">
        <f>_xlfn.STDEV.P(M70:GJ70)</f>
        <v>2.3181571583548455</v>
      </c>
      <c r="K70" s="3">
        <f>_xlfn.VAR.S(M70:GJ70)</f>
        <v>5.4281339503351633</v>
      </c>
      <c r="M70" s="3">
        <v>29.165762000000001</v>
      </c>
      <c r="N70" s="3">
        <v>30.418232</v>
      </c>
      <c r="O70" s="3">
        <v>25.642744</v>
      </c>
      <c r="P70" s="3">
        <v>33.427208</v>
      </c>
      <c r="Q70" s="3">
        <v>25.748187999999999</v>
      </c>
      <c r="R70" s="3">
        <v>31.121614000000001</v>
      </c>
      <c r="S70" s="3">
        <v>32.683002000000002</v>
      </c>
      <c r="T70" s="3">
        <v>31.494554999999998</v>
      </c>
      <c r="U70" s="3">
        <v>31.382629000000001</v>
      </c>
      <c r="V70" s="3">
        <v>34.212657999999998</v>
      </c>
      <c r="W70" s="3">
        <v>30.021421</v>
      </c>
      <c r="X70" s="3">
        <v>26.412624000000001</v>
      </c>
      <c r="Y70" s="3">
        <v>29.861782000000002</v>
      </c>
      <c r="Z70" s="3">
        <v>28.620246999999999</v>
      </c>
      <c r="AA70" s="3">
        <v>31.145695</v>
      </c>
      <c r="AB70" s="3">
        <v>27.470839999999999</v>
      </c>
      <c r="AC70" s="3">
        <v>31.957920000000001</v>
      </c>
      <c r="AD70" s="3">
        <v>26.824021999999999</v>
      </c>
      <c r="AE70" s="3">
        <v>33.197783999999999</v>
      </c>
      <c r="AF70" s="3">
        <v>28.646032000000002</v>
      </c>
      <c r="AG70" s="3">
        <v>32.440421999999998</v>
      </c>
      <c r="AH70" s="3">
        <v>30.262139999999999</v>
      </c>
      <c r="AI70" s="3">
        <v>28.331845999999999</v>
      </c>
      <c r="AJ70" s="3">
        <v>33.898926000000003</v>
      </c>
      <c r="AK70" s="3">
        <v>29.766870000000001</v>
      </c>
      <c r="AL70" s="3">
        <v>31.567737999999999</v>
      </c>
      <c r="AM70" s="3">
        <v>34.097819999999999</v>
      </c>
      <c r="AN70" s="3">
        <v>27.841526000000002</v>
      </c>
      <c r="AO70" s="3">
        <v>34.797615</v>
      </c>
      <c r="AP70" s="3">
        <v>26.582654999999999</v>
      </c>
      <c r="AQ70" s="3">
        <v>33.085071999999997</v>
      </c>
      <c r="AR70" s="3">
        <v>31.485764</v>
      </c>
      <c r="AS70" s="3">
        <v>30.300706999999999</v>
      </c>
      <c r="AT70" s="3">
        <v>31.331299000000001</v>
      </c>
      <c r="AU70" s="3">
        <v>34.334705</v>
      </c>
      <c r="AV70" s="3">
        <v>30.860099999999999</v>
      </c>
      <c r="AW70" s="3">
        <v>29.649166000000001</v>
      </c>
      <c r="AX70" s="3">
        <v>30.256976999999999</v>
      </c>
      <c r="AY70" s="3">
        <v>34.292202000000003</v>
      </c>
      <c r="AZ70" s="3">
        <v>30.989484999999998</v>
      </c>
      <c r="BA70" s="3">
        <v>29.762754000000001</v>
      </c>
      <c r="BB70" s="3">
        <v>30.317233999999999</v>
      </c>
      <c r="BC70" s="3">
        <v>30.018267000000002</v>
      </c>
      <c r="BD70" s="3">
        <v>31.614688999999998</v>
      </c>
      <c r="BE70" s="3">
        <v>28.17116</v>
      </c>
      <c r="BF70" s="3">
        <v>31.136374</v>
      </c>
      <c r="BG70" s="3">
        <v>29.296603999999999</v>
      </c>
      <c r="BH70" s="3">
        <v>31.307499</v>
      </c>
      <c r="BI70" s="3">
        <v>33.716957000000001</v>
      </c>
      <c r="BJ70" s="3">
        <v>28.658688999999999</v>
      </c>
      <c r="BK70" s="3">
        <v>30.877184</v>
      </c>
      <c r="BL70" s="3">
        <v>33.328358000000001</v>
      </c>
      <c r="BM70" s="3">
        <v>27.718095999999999</v>
      </c>
      <c r="BN70" s="3">
        <v>28.960407</v>
      </c>
      <c r="BO70" s="3">
        <v>28.394192</v>
      </c>
      <c r="BP70" s="3">
        <v>33.522357999999997</v>
      </c>
      <c r="BQ70" s="3">
        <v>33.093380000000003</v>
      </c>
      <c r="BR70" s="3">
        <v>29.947141999999999</v>
      </c>
      <c r="BS70" s="3">
        <v>30.299392999999998</v>
      </c>
      <c r="BT70" s="3">
        <v>31.325447</v>
      </c>
      <c r="BU70" s="3">
        <v>32.282916999999998</v>
      </c>
      <c r="BV70" s="3">
        <v>32.660221</v>
      </c>
      <c r="BW70" s="3">
        <v>31.746919999999999</v>
      </c>
      <c r="BX70" s="3">
        <v>31.824541</v>
      </c>
      <c r="BY70" s="3">
        <v>32.269134999999999</v>
      </c>
      <c r="BZ70" s="3">
        <v>28.630274</v>
      </c>
      <c r="CA70" s="3">
        <v>27.634972000000001</v>
      </c>
      <c r="CB70" s="3">
        <v>30.413395000000001</v>
      </c>
      <c r="CC70" s="3">
        <v>35.035297</v>
      </c>
      <c r="CD70" s="3">
        <v>28.515318000000001</v>
      </c>
      <c r="CE70" s="3">
        <v>33.768566</v>
      </c>
      <c r="CF70" s="3">
        <v>28.870930000000001</v>
      </c>
      <c r="CG70" s="3">
        <v>29.299956999999999</v>
      </c>
      <c r="CH70" s="3">
        <v>31.124941</v>
      </c>
      <c r="CI70" s="3">
        <v>28.780266000000001</v>
      </c>
      <c r="CJ70" s="3">
        <v>31.050664999999999</v>
      </c>
      <c r="CK70" s="3">
        <v>30.538920999999998</v>
      </c>
      <c r="CL70" s="3">
        <v>33.571365</v>
      </c>
      <c r="CM70" s="3">
        <v>32.372543</v>
      </c>
      <c r="CN70" s="3">
        <v>33.111237000000003</v>
      </c>
      <c r="CO70" s="3">
        <v>31.017610999999999</v>
      </c>
      <c r="CP70" s="3">
        <v>27.396383</v>
      </c>
      <c r="CQ70" s="3">
        <v>31.535831000000002</v>
      </c>
      <c r="CR70" s="3">
        <v>29.698442</v>
      </c>
      <c r="CS70" s="3">
        <v>32.997059</v>
      </c>
      <c r="CT70" s="3">
        <v>32.013165000000001</v>
      </c>
      <c r="CU70" s="3">
        <v>32.430923</v>
      </c>
      <c r="CV70" s="3">
        <v>27.783670000000001</v>
      </c>
      <c r="CW70" s="3">
        <v>28.869613999999999</v>
      </c>
      <c r="CX70" s="3">
        <v>33.782200000000003</v>
      </c>
      <c r="CY70" s="3">
        <v>27.899681000000001</v>
      </c>
      <c r="CZ70" s="3">
        <v>33.255360000000003</v>
      </c>
      <c r="DA70" s="3">
        <v>30.747156</v>
      </c>
      <c r="DB70" s="3">
        <v>34.758105999999998</v>
      </c>
      <c r="DC70" s="3">
        <v>30.285288000000001</v>
      </c>
      <c r="DD70" s="3">
        <v>26.221209000000002</v>
      </c>
      <c r="DE70" s="3">
        <v>29.548325999999999</v>
      </c>
      <c r="DF70" s="3">
        <v>28.275355999999999</v>
      </c>
      <c r="DG70" s="3">
        <v>27.018713000000002</v>
      </c>
      <c r="DH70" s="3">
        <v>25.505678</v>
      </c>
      <c r="DI70" s="3"/>
      <c r="DJ70" s="3"/>
      <c r="DM70" s="3"/>
      <c r="DN70" s="3"/>
      <c r="DP70" s="3"/>
      <c r="DQ70" s="3"/>
      <c r="DR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</row>
    <row r="72" spans="2:207" x14ac:dyDescent="0.2">
      <c r="M72" s="3"/>
      <c r="N72" s="3"/>
    </row>
    <row r="73" spans="2:207" x14ac:dyDescent="0.2">
      <c r="B73" t="s">
        <v>60</v>
      </c>
      <c r="D73" s="1" t="s">
        <v>41</v>
      </c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35.335708679999996</v>
      </c>
      <c r="H74" s="3">
        <f>MAX(M74:GJ74)</f>
        <v>39.214672</v>
      </c>
      <c r="I74" s="3">
        <f>MIN(M74:GJ74)</f>
        <v>32.145167999999998</v>
      </c>
      <c r="J74" s="3">
        <f>_xlfn.STDEV.P(M74:GJ74)</f>
        <v>1.2818735639599246</v>
      </c>
      <c r="K74" s="3">
        <f>_xlfn.VAR.S(M74:GJ74)</f>
        <v>1.6597978121003216</v>
      </c>
      <c r="M74" s="3">
        <v>34.816955999999998</v>
      </c>
      <c r="N74" s="3">
        <v>34.902748000000003</v>
      </c>
      <c r="O74" s="3">
        <v>33.584086999999997</v>
      </c>
      <c r="P74" s="3">
        <v>35.126094999999999</v>
      </c>
      <c r="Q74" s="3">
        <v>37.223930000000003</v>
      </c>
      <c r="R74" s="3">
        <v>34.928604</v>
      </c>
      <c r="S74" s="3">
        <v>35.020640999999998</v>
      </c>
      <c r="T74" s="3">
        <v>35.499191000000003</v>
      </c>
      <c r="U74" s="3">
        <v>35.22625</v>
      </c>
      <c r="V74" s="3">
        <v>35.795582000000003</v>
      </c>
      <c r="W74" s="3">
        <v>34.525311000000002</v>
      </c>
      <c r="X74" s="3">
        <v>35.809531999999997</v>
      </c>
      <c r="Y74" s="3">
        <v>37.737864999999999</v>
      </c>
      <c r="Z74" s="3">
        <v>32.957306000000003</v>
      </c>
      <c r="AA74" s="3">
        <v>35.831985000000003</v>
      </c>
      <c r="AB74" s="3">
        <v>35.672015999999999</v>
      </c>
      <c r="AC74" s="3">
        <v>35.725135999999999</v>
      </c>
      <c r="AD74" s="3">
        <v>34.617485000000002</v>
      </c>
      <c r="AE74" s="3">
        <v>35.778796999999997</v>
      </c>
      <c r="AF74" s="3">
        <v>35.442131000000003</v>
      </c>
      <c r="AG74" s="3">
        <v>35.132092</v>
      </c>
      <c r="AH74" s="3">
        <v>36.102020000000003</v>
      </c>
      <c r="AI74" s="3">
        <v>35.195796999999999</v>
      </c>
      <c r="AJ74" s="3">
        <v>34.052867999999997</v>
      </c>
      <c r="AK74" s="3">
        <v>35.485573000000002</v>
      </c>
      <c r="AL74" s="3">
        <v>34.649090000000001</v>
      </c>
      <c r="AM74" s="3">
        <v>34.242184000000002</v>
      </c>
      <c r="AN74" s="3">
        <v>34.905456999999998</v>
      </c>
      <c r="AO74" s="3">
        <v>34.838023999999997</v>
      </c>
      <c r="AP74" s="3">
        <v>36.668053</v>
      </c>
      <c r="AQ74" s="3">
        <v>33.186717999999999</v>
      </c>
      <c r="AR74" s="3">
        <v>36.721938999999999</v>
      </c>
      <c r="AS74" s="3">
        <v>36.417900000000003</v>
      </c>
      <c r="AT74" s="3">
        <v>36.403315999999997</v>
      </c>
      <c r="AU74" s="3">
        <v>35.081195999999998</v>
      </c>
      <c r="AV74" s="3">
        <v>35.211792000000003</v>
      </c>
      <c r="AW74" s="3">
        <v>34.896366</v>
      </c>
      <c r="AX74" s="3">
        <v>37.388171999999997</v>
      </c>
      <c r="AY74" s="3">
        <v>37.118541999999998</v>
      </c>
      <c r="AZ74" s="3">
        <v>35.888615000000001</v>
      </c>
      <c r="BA74" s="3">
        <v>34.060862999999998</v>
      </c>
      <c r="BB74" s="3">
        <v>34.077103000000001</v>
      </c>
      <c r="BC74" s="3">
        <v>36.334198000000001</v>
      </c>
      <c r="BD74" s="3">
        <v>35.343071000000002</v>
      </c>
      <c r="BE74" s="3">
        <v>37.341388999999999</v>
      </c>
      <c r="BF74" s="3">
        <v>34.371200999999999</v>
      </c>
      <c r="BG74" s="3">
        <v>33.795344999999998</v>
      </c>
      <c r="BH74" s="3">
        <v>39.214672</v>
      </c>
      <c r="BI74" s="3">
        <v>36.170299999999997</v>
      </c>
      <c r="BJ74" s="3">
        <v>34.378951999999998</v>
      </c>
      <c r="BK74" s="3">
        <v>34.929969999999997</v>
      </c>
      <c r="BL74" s="3">
        <v>35.759265999999997</v>
      </c>
      <c r="BM74" s="3">
        <v>33.091549000000001</v>
      </c>
      <c r="BN74" s="3">
        <v>33.452632999999999</v>
      </c>
      <c r="BO74" s="3">
        <v>33.89864</v>
      </c>
      <c r="BP74" s="3">
        <v>34.995060000000002</v>
      </c>
      <c r="BQ74" s="3">
        <v>35.743374000000003</v>
      </c>
      <c r="BR74" s="3">
        <v>38.064556000000003</v>
      </c>
      <c r="BS74" s="3">
        <v>35.739147000000003</v>
      </c>
      <c r="BT74" s="3">
        <v>34.613117000000003</v>
      </c>
      <c r="BU74" s="3">
        <v>33.961894999999998</v>
      </c>
      <c r="BV74" s="3">
        <v>35.381588000000001</v>
      </c>
      <c r="BW74" s="3">
        <v>35.366397999999997</v>
      </c>
      <c r="BX74" s="3">
        <v>34.88205</v>
      </c>
      <c r="BY74" s="3">
        <v>36.531269000000002</v>
      </c>
      <c r="BZ74" s="3">
        <v>33.710045000000001</v>
      </c>
      <c r="CA74" s="3">
        <v>35.219718999999998</v>
      </c>
      <c r="CB74" s="3">
        <v>37.191840999999997</v>
      </c>
      <c r="CC74" s="3">
        <v>34.435825000000001</v>
      </c>
      <c r="CD74" s="3">
        <v>34.287036999999998</v>
      </c>
      <c r="CE74" s="3">
        <v>34.378773000000002</v>
      </c>
      <c r="CF74" s="3">
        <v>36.440033</v>
      </c>
      <c r="CG74" s="3">
        <v>35.867023000000003</v>
      </c>
      <c r="CH74" s="3">
        <v>35.648712000000003</v>
      </c>
      <c r="CI74" s="3">
        <v>38.005215</v>
      </c>
      <c r="CJ74" s="3">
        <v>34.245486999999997</v>
      </c>
      <c r="CK74" s="3">
        <v>34.735722000000003</v>
      </c>
      <c r="CL74" s="3">
        <v>35.160587</v>
      </c>
      <c r="CM74" s="3">
        <v>36.251724000000003</v>
      </c>
      <c r="CN74" s="3">
        <v>33.445210000000003</v>
      </c>
      <c r="CO74" s="3">
        <v>35.468978999999997</v>
      </c>
      <c r="CP74" s="3">
        <v>35.002032999999997</v>
      </c>
      <c r="CQ74" s="3">
        <v>33.841605999999999</v>
      </c>
      <c r="CR74" s="3">
        <v>34.621895000000002</v>
      </c>
      <c r="CS74" s="3">
        <v>37.202126</v>
      </c>
      <c r="CT74" s="3">
        <v>38.089787000000001</v>
      </c>
      <c r="CU74" s="3">
        <v>35.899994</v>
      </c>
      <c r="CV74" s="3">
        <v>35.794704000000003</v>
      </c>
      <c r="CW74" s="3">
        <v>33.565925999999997</v>
      </c>
      <c r="CX74" s="3">
        <v>33.736564999999999</v>
      </c>
      <c r="CY74" s="3">
        <v>35.747340999999999</v>
      </c>
      <c r="CZ74" s="3">
        <v>33.792361999999997</v>
      </c>
      <c r="DA74" s="3">
        <v>34.669696999999999</v>
      </c>
      <c r="DB74" s="3">
        <v>34.793315999999997</v>
      </c>
      <c r="DC74" s="3">
        <v>37.085566999999998</v>
      </c>
      <c r="DD74" s="3">
        <v>36.877079000000002</v>
      </c>
      <c r="DE74" s="3">
        <v>36.065204999999999</v>
      </c>
      <c r="DF74" s="3">
        <v>37.724403000000002</v>
      </c>
      <c r="DG74" s="3">
        <v>35.119194</v>
      </c>
      <c r="DH74" s="3">
        <v>32.145167999999998</v>
      </c>
      <c r="DI74" s="3"/>
      <c r="DJ74" s="3"/>
      <c r="DM74" s="3"/>
      <c r="DN74" s="3"/>
      <c r="DP74" s="3"/>
      <c r="DQ74" s="3"/>
      <c r="DR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M75" s="3"/>
      <c r="DN75" s="3"/>
      <c r="DP75" s="3"/>
      <c r="DQ75" s="3"/>
      <c r="DR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33.289452929999982</v>
      </c>
      <c r="H76" s="3">
        <f>MAX(M76:GJ76)</f>
        <v>41.460926000000001</v>
      </c>
      <c r="I76" s="3">
        <f>MIN(M76:GJ76)</f>
        <v>28.289244</v>
      </c>
      <c r="J76" s="3">
        <f>_xlfn.STDEV.P(M76:GJ76)</f>
        <v>2.5374544217886772</v>
      </c>
      <c r="K76" s="3">
        <f>_xlfn.VAR.S(M76:GJ76)</f>
        <v>6.5037120632877885</v>
      </c>
      <c r="M76" s="3">
        <v>34.006988999999997</v>
      </c>
      <c r="N76" s="3">
        <v>34.473784999999999</v>
      </c>
      <c r="O76" s="3">
        <v>40.592796</v>
      </c>
      <c r="P76" s="3">
        <v>34.873795000000001</v>
      </c>
      <c r="Q76" s="3">
        <v>37.060195999999998</v>
      </c>
      <c r="R76" s="3">
        <v>29.938237999999998</v>
      </c>
      <c r="S76" s="3">
        <v>34.097157000000003</v>
      </c>
      <c r="T76" s="3">
        <v>34.475090000000002</v>
      </c>
      <c r="U76" s="3">
        <v>33.487949</v>
      </c>
      <c r="V76" s="3">
        <v>35.136153999999998</v>
      </c>
      <c r="W76" s="3">
        <v>33.195067999999999</v>
      </c>
      <c r="X76" s="3">
        <v>34.702396</v>
      </c>
      <c r="Y76" s="3">
        <v>35.383910999999998</v>
      </c>
      <c r="Z76" s="3">
        <v>37.188557000000003</v>
      </c>
      <c r="AA76" s="3">
        <v>34.691344999999998</v>
      </c>
      <c r="AB76" s="3">
        <v>34.551105</v>
      </c>
      <c r="AC76" s="3">
        <v>30.717106000000001</v>
      </c>
      <c r="AD76" s="3">
        <v>31.399958000000002</v>
      </c>
      <c r="AE76" s="3">
        <v>30.622339</v>
      </c>
      <c r="AF76" s="3">
        <v>33.039073999999999</v>
      </c>
      <c r="AG76" s="3">
        <v>31.964987000000001</v>
      </c>
      <c r="AH76" s="3">
        <v>31.993576000000001</v>
      </c>
      <c r="AI76" s="3">
        <v>31.445644000000001</v>
      </c>
      <c r="AJ76" s="3">
        <v>32.293396000000001</v>
      </c>
      <c r="AK76" s="3">
        <v>36.041485000000002</v>
      </c>
      <c r="AL76" s="3">
        <v>32.088721999999997</v>
      </c>
      <c r="AM76" s="3">
        <v>29.147117999999999</v>
      </c>
      <c r="AN76" s="3">
        <v>33.695205999999999</v>
      </c>
      <c r="AO76" s="3">
        <v>31.394897</v>
      </c>
      <c r="AP76" s="3">
        <v>31.552928999999999</v>
      </c>
      <c r="AQ76" s="3">
        <v>33.359591999999999</v>
      </c>
      <c r="AR76" s="3">
        <v>33.509548000000002</v>
      </c>
      <c r="AS76" s="3">
        <v>34.709640999999998</v>
      </c>
      <c r="AT76" s="3">
        <v>38.266212000000003</v>
      </c>
      <c r="AU76" s="3">
        <v>33.217350000000003</v>
      </c>
      <c r="AV76" s="3">
        <v>31.397507000000001</v>
      </c>
      <c r="AW76" s="3">
        <v>28.422432000000001</v>
      </c>
      <c r="AX76" s="3">
        <v>32.768332999999998</v>
      </c>
      <c r="AY76" s="3">
        <v>30.931281999999999</v>
      </c>
      <c r="AZ76" s="3">
        <v>28.289244</v>
      </c>
      <c r="BA76" s="3">
        <v>34.147243000000003</v>
      </c>
      <c r="BB76" s="3">
        <v>28.365856000000001</v>
      </c>
      <c r="BC76" s="3">
        <v>37.170586</v>
      </c>
      <c r="BD76" s="3">
        <v>32.633034000000002</v>
      </c>
      <c r="BE76" s="3">
        <v>32.271766999999997</v>
      </c>
      <c r="BF76" s="3">
        <v>31.90344</v>
      </c>
      <c r="BG76" s="3">
        <v>30.480678999999999</v>
      </c>
      <c r="BH76" s="3">
        <v>30.212105000000001</v>
      </c>
      <c r="BI76" s="3">
        <v>30.357074999999998</v>
      </c>
      <c r="BJ76" s="3">
        <v>30.575154999999999</v>
      </c>
      <c r="BK76" s="3">
        <v>39.049374</v>
      </c>
      <c r="BL76" s="3">
        <v>32.566284000000003</v>
      </c>
      <c r="BM76" s="3">
        <v>39.556137</v>
      </c>
      <c r="BN76" s="3">
        <v>31.860146</v>
      </c>
      <c r="BO76" s="3">
        <v>30.939297</v>
      </c>
      <c r="BP76" s="3">
        <v>34.022387999999999</v>
      </c>
      <c r="BQ76" s="3">
        <v>41.460926000000001</v>
      </c>
      <c r="BR76" s="3">
        <v>31.421935999999999</v>
      </c>
      <c r="BS76" s="3">
        <v>33.979092000000001</v>
      </c>
      <c r="BT76" s="3">
        <v>34.755961999999997</v>
      </c>
      <c r="BU76" s="3">
        <v>34.450828999999999</v>
      </c>
      <c r="BV76" s="3">
        <v>32.425117</v>
      </c>
      <c r="BW76" s="3">
        <v>33.198600999999996</v>
      </c>
      <c r="BX76" s="3">
        <v>32.055511000000003</v>
      </c>
      <c r="BY76" s="3">
        <v>37.204475000000002</v>
      </c>
      <c r="BZ76" s="3">
        <v>32.046066000000003</v>
      </c>
      <c r="CA76" s="3">
        <v>34.123741000000003</v>
      </c>
      <c r="CB76" s="3">
        <v>34.874316999999998</v>
      </c>
      <c r="CC76" s="3">
        <v>30.273465999999999</v>
      </c>
      <c r="CD76" s="3">
        <v>30.648396000000002</v>
      </c>
      <c r="CE76" s="3">
        <v>32.134518</v>
      </c>
      <c r="CF76" s="3">
        <v>30.042473000000001</v>
      </c>
      <c r="CG76" s="3">
        <v>36.859116</v>
      </c>
      <c r="CH76" s="3">
        <v>37.231655000000003</v>
      </c>
      <c r="CI76" s="3">
        <v>33.156188999999998</v>
      </c>
      <c r="CJ76" s="3">
        <v>32.188823999999997</v>
      </c>
      <c r="CK76" s="3">
        <v>31.634024</v>
      </c>
      <c r="CL76" s="3">
        <v>33.849567</v>
      </c>
      <c r="CM76" s="3">
        <v>33.276156999999998</v>
      </c>
      <c r="CN76" s="3">
        <v>30.451453999999998</v>
      </c>
      <c r="CO76" s="3">
        <v>33.500487999999997</v>
      </c>
      <c r="CP76" s="3">
        <v>32.078243000000001</v>
      </c>
      <c r="CQ76" s="3">
        <v>33.625518999999997</v>
      </c>
      <c r="CR76" s="3">
        <v>31.758825000000002</v>
      </c>
      <c r="CS76" s="3">
        <v>32.748505000000002</v>
      </c>
      <c r="CT76" s="3">
        <v>34.259715999999997</v>
      </c>
      <c r="CU76" s="3">
        <v>32.164569999999998</v>
      </c>
      <c r="CV76" s="3">
        <v>34.831566000000002</v>
      </c>
      <c r="CW76" s="3">
        <v>35.206443999999998</v>
      </c>
      <c r="CX76" s="3">
        <v>33.537708000000002</v>
      </c>
      <c r="CY76" s="3">
        <v>34.060265000000001</v>
      </c>
      <c r="CZ76" s="3">
        <v>35.140884</v>
      </c>
      <c r="DA76" s="3">
        <v>33.832638000000003</v>
      </c>
      <c r="DB76" s="3">
        <v>31.504218999999999</v>
      </c>
      <c r="DC76" s="3">
        <v>35.365943999999999</v>
      </c>
      <c r="DD76" s="3">
        <v>30.058235</v>
      </c>
      <c r="DE76" s="3">
        <v>30.987266999999999</v>
      </c>
      <c r="DF76" s="3">
        <v>37.878998000000003</v>
      </c>
      <c r="DG76" s="3">
        <v>34.378791999999997</v>
      </c>
      <c r="DH76" s="3">
        <v>32.051380000000002</v>
      </c>
      <c r="DI76" s="3"/>
      <c r="DJ76" s="3"/>
      <c r="DM76" s="3"/>
      <c r="DN76" s="3"/>
      <c r="DP76" s="3"/>
      <c r="DQ76" s="3"/>
      <c r="DR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M77" s="3"/>
      <c r="DN77" s="3"/>
      <c r="DP77" s="3"/>
      <c r="DQ77" s="3"/>
      <c r="DR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38.254492950000007</v>
      </c>
      <c r="H78" s="3">
        <f>MAX(M78:GJ78)</f>
        <v>42.387779000000002</v>
      </c>
      <c r="I78" s="3">
        <f>MIN(M78:GJ78)</f>
        <v>35.290664999999997</v>
      </c>
      <c r="J78" s="3">
        <f>_xlfn.STDEV.P(M78:GJ78)</f>
        <v>1.2468710472879412</v>
      </c>
      <c r="K78" s="3">
        <f>_xlfn.VAR.S(M78:GJ78)</f>
        <v>1.5703913217827548</v>
      </c>
      <c r="M78" s="3">
        <v>38.150612000000002</v>
      </c>
      <c r="N78" s="3">
        <v>37.762562000000003</v>
      </c>
      <c r="O78" s="3">
        <v>38.060290999999999</v>
      </c>
      <c r="P78" s="3">
        <v>37.645454000000001</v>
      </c>
      <c r="Q78" s="3">
        <v>38.504962999999996</v>
      </c>
      <c r="R78" s="3">
        <v>36.321143999999997</v>
      </c>
      <c r="S78" s="3">
        <v>35.466484000000001</v>
      </c>
      <c r="T78" s="3">
        <v>37.814368999999999</v>
      </c>
      <c r="U78" s="3">
        <v>38.610401000000003</v>
      </c>
      <c r="V78" s="3">
        <v>37.444958</v>
      </c>
      <c r="W78" s="3">
        <v>38.661144</v>
      </c>
      <c r="X78" s="3">
        <v>38.899211999999999</v>
      </c>
      <c r="Y78" s="3">
        <v>37.874347999999998</v>
      </c>
      <c r="Z78" s="3">
        <v>37.634273999999998</v>
      </c>
      <c r="AA78" s="3">
        <v>37.124237000000001</v>
      </c>
      <c r="AB78" s="3">
        <v>38.646698000000001</v>
      </c>
      <c r="AC78" s="3">
        <v>42.387779000000002</v>
      </c>
      <c r="AD78" s="3">
        <v>37.749107000000002</v>
      </c>
      <c r="AE78" s="3">
        <v>38.052920999999998</v>
      </c>
      <c r="AF78" s="3">
        <v>38.986812999999998</v>
      </c>
      <c r="AG78" s="3">
        <v>36.448059000000001</v>
      </c>
      <c r="AH78" s="3">
        <v>40.956187999999997</v>
      </c>
      <c r="AI78" s="3">
        <v>37.334293000000002</v>
      </c>
      <c r="AJ78" s="3">
        <v>38.773811000000002</v>
      </c>
      <c r="AK78" s="3">
        <v>37.067504999999997</v>
      </c>
      <c r="AL78" s="3">
        <v>37.945076</v>
      </c>
      <c r="AM78" s="3">
        <v>38.397449000000002</v>
      </c>
      <c r="AN78" s="3">
        <v>38.883450000000003</v>
      </c>
      <c r="AO78" s="3">
        <v>41.221404999999997</v>
      </c>
      <c r="AP78" s="3">
        <v>37.147571999999997</v>
      </c>
      <c r="AQ78" s="3">
        <v>38.667800999999997</v>
      </c>
      <c r="AR78" s="3">
        <v>39.943576999999998</v>
      </c>
      <c r="AS78" s="3">
        <v>39.641700999999998</v>
      </c>
      <c r="AT78" s="3">
        <v>39.434406000000003</v>
      </c>
      <c r="AU78" s="3">
        <v>39.052021000000003</v>
      </c>
      <c r="AV78" s="3">
        <v>38.870669999999997</v>
      </c>
      <c r="AW78" s="3">
        <v>38.032832999999997</v>
      </c>
      <c r="AX78" s="3">
        <v>40.726405999999997</v>
      </c>
      <c r="AY78" s="3">
        <v>37.833618000000001</v>
      </c>
      <c r="AZ78" s="3">
        <v>38.096859000000002</v>
      </c>
      <c r="BA78" s="3">
        <v>39.321133000000003</v>
      </c>
      <c r="BB78" s="3">
        <v>38.135348999999998</v>
      </c>
      <c r="BC78" s="3">
        <v>37.325873999999999</v>
      </c>
      <c r="BD78" s="3">
        <v>37.937935000000003</v>
      </c>
      <c r="BE78" s="3">
        <v>37.671126999999998</v>
      </c>
      <c r="BF78" s="3">
        <v>39.868411999999999</v>
      </c>
      <c r="BG78" s="3">
        <v>40.950142</v>
      </c>
      <c r="BH78" s="3">
        <v>39.164195999999997</v>
      </c>
      <c r="BI78" s="3">
        <v>40.776778999999998</v>
      </c>
      <c r="BJ78" s="3">
        <v>38.153441999999998</v>
      </c>
      <c r="BK78" s="3">
        <v>39.431690000000003</v>
      </c>
      <c r="BL78" s="3">
        <v>37.724151999999997</v>
      </c>
      <c r="BM78" s="3">
        <v>37.536003000000001</v>
      </c>
      <c r="BN78" s="3">
        <v>37.127155000000002</v>
      </c>
      <c r="BO78" s="3">
        <v>38.101546999999997</v>
      </c>
      <c r="BP78" s="3">
        <v>38.376185999999997</v>
      </c>
      <c r="BQ78" s="3">
        <v>38.173054</v>
      </c>
      <c r="BR78" s="3">
        <v>37.745995000000001</v>
      </c>
      <c r="BS78" s="3">
        <v>37.131495999999999</v>
      </c>
      <c r="BT78" s="3">
        <v>38.067959000000002</v>
      </c>
      <c r="BU78" s="3">
        <v>38.061034999999997</v>
      </c>
      <c r="BV78" s="3">
        <v>38.625618000000003</v>
      </c>
      <c r="BW78" s="3">
        <v>38.905093999999998</v>
      </c>
      <c r="BX78" s="3">
        <v>37.967101999999997</v>
      </c>
      <c r="BY78" s="3">
        <v>37.178558000000002</v>
      </c>
      <c r="BZ78" s="3">
        <v>39.222678999999999</v>
      </c>
      <c r="CA78" s="3">
        <v>37.276501000000003</v>
      </c>
      <c r="CB78" s="3">
        <v>36.378757</v>
      </c>
      <c r="CC78" s="3">
        <v>36.858893999999999</v>
      </c>
      <c r="CD78" s="3">
        <v>37.867325000000001</v>
      </c>
      <c r="CE78" s="3">
        <v>36.562697999999997</v>
      </c>
      <c r="CF78" s="3">
        <v>36.860976999999998</v>
      </c>
      <c r="CG78" s="3">
        <v>36.832287000000001</v>
      </c>
      <c r="CH78" s="3">
        <v>38.684348999999997</v>
      </c>
      <c r="CI78" s="3">
        <v>36.858780000000003</v>
      </c>
      <c r="CJ78" s="3">
        <v>38.350838000000003</v>
      </c>
      <c r="CK78" s="3">
        <v>37.482666000000002</v>
      </c>
      <c r="CL78" s="3">
        <v>39.382739999999998</v>
      </c>
      <c r="CM78" s="3">
        <v>37.872681</v>
      </c>
      <c r="CN78" s="3">
        <v>36.621341999999999</v>
      </c>
      <c r="CO78" s="3">
        <v>38.265770000000003</v>
      </c>
      <c r="CP78" s="3">
        <v>40.125267000000001</v>
      </c>
      <c r="CQ78" s="3">
        <v>35.290664999999997</v>
      </c>
      <c r="CR78" s="3">
        <v>40.586692999999997</v>
      </c>
      <c r="CS78" s="3">
        <v>38.085304000000001</v>
      </c>
      <c r="CT78" s="3">
        <v>38.040385999999998</v>
      </c>
      <c r="CU78" s="3">
        <v>37.420760999999999</v>
      </c>
      <c r="CV78" s="3">
        <v>37.729225</v>
      </c>
      <c r="CW78" s="3">
        <v>37.964953999999999</v>
      </c>
      <c r="CX78" s="3">
        <v>39.089419999999997</v>
      </c>
      <c r="CY78" s="3">
        <v>38.475155000000001</v>
      </c>
      <c r="CZ78" s="3">
        <v>37.910248000000003</v>
      </c>
      <c r="DA78" s="3">
        <v>36.398021999999997</v>
      </c>
      <c r="DB78" s="3">
        <v>41.574551</v>
      </c>
      <c r="DC78" s="3">
        <v>38.367519000000001</v>
      </c>
      <c r="DD78" s="3">
        <v>37.804611000000001</v>
      </c>
      <c r="DE78" s="3">
        <v>37.478054</v>
      </c>
      <c r="DF78" s="3">
        <v>39.619926</v>
      </c>
      <c r="DG78" s="3">
        <v>38.187851000000002</v>
      </c>
      <c r="DH78" s="3">
        <v>38.191895000000002</v>
      </c>
      <c r="DI78" s="3"/>
      <c r="DJ78" s="3"/>
      <c r="DM78" s="3"/>
      <c r="DN78" s="3"/>
      <c r="DP78" s="3"/>
      <c r="DQ78" s="3"/>
      <c r="DR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M79" s="3"/>
      <c r="DN79" s="3"/>
      <c r="DP79" s="3"/>
      <c r="DQ79" s="3"/>
      <c r="DR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31.47751972</v>
      </c>
      <c r="H80" s="3">
        <f>MAX(M80:GJ80)</f>
        <v>34.468680999999997</v>
      </c>
      <c r="I80" s="3">
        <f>MIN(M80:GJ80)</f>
        <v>29.106327</v>
      </c>
      <c r="J80" s="3">
        <f>_xlfn.STDEV.P(M80:GJ80)</f>
        <v>1.1744915097987563</v>
      </c>
      <c r="K80" s="3">
        <f>_xlfn.VAR.S(M80:GJ80)</f>
        <v>1.3933639460498604</v>
      </c>
      <c r="M80" s="3">
        <v>32.791595000000001</v>
      </c>
      <c r="N80" s="3">
        <v>32.102093000000004</v>
      </c>
      <c r="O80" s="3">
        <v>31.281957999999999</v>
      </c>
      <c r="P80" s="3">
        <v>32.239249999999998</v>
      </c>
      <c r="Q80" s="3">
        <v>29.879308999999999</v>
      </c>
      <c r="R80" s="3">
        <v>33.480656000000003</v>
      </c>
      <c r="S80" s="3">
        <v>32.500236999999998</v>
      </c>
      <c r="T80" s="3">
        <v>32.513675999999997</v>
      </c>
      <c r="U80" s="3">
        <v>30.993258000000001</v>
      </c>
      <c r="V80" s="3">
        <v>30.334108000000001</v>
      </c>
      <c r="W80" s="3">
        <v>31.941714999999999</v>
      </c>
      <c r="X80" s="3">
        <v>32.098376999999999</v>
      </c>
      <c r="Y80" s="3">
        <v>30.030987</v>
      </c>
      <c r="Z80" s="3">
        <v>31.87462</v>
      </c>
      <c r="AA80" s="3">
        <v>30.857206000000001</v>
      </c>
      <c r="AB80" s="3">
        <v>32.304713999999997</v>
      </c>
      <c r="AC80" s="3">
        <v>29.408836000000001</v>
      </c>
      <c r="AD80" s="3">
        <v>32.55809</v>
      </c>
      <c r="AE80" s="3">
        <v>31.922958000000001</v>
      </c>
      <c r="AF80" s="3">
        <v>29.812283000000001</v>
      </c>
      <c r="AG80" s="3">
        <v>32.651566000000003</v>
      </c>
      <c r="AH80" s="3">
        <v>31.934422999999999</v>
      </c>
      <c r="AI80" s="3">
        <v>30.279589000000001</v>
      </c>
      <c r="AJ80" s="3">
        <v>30.474133999999999</v>
      </c>
      <c r="AK80" s="3">
        <v>32.188338999999999</v>
      </c>
      <c r="AL80" s="3">
        <v>31.121136</v>
      </c>
      <c r="AM80" s="3">
        <v>30.821625000000001</v>
      </c>
      <c r="AN80" s="3">
        <v>32.982112999999998</v>
      </c>
      <c r="AO80" s="3">
        <v>30.306069999999998</v>
      </c>
      <c r="AP80" s="3">
        <v>32.077896000000003</v>
      </c>
      <c r="AQ80" s="3">
        <v>34.468680999999997</v>
      </c>
      <c r="AR80" s="3">
        <v>32.075535000000002</v>
      </c>
      <c r="AS80" s="3">
        <v>31.818621</v>
      </c>
      <c r="AT80" s="3">
        <v>30.210336999999999</v>
      </c>
      <c r="AU80" s="3">
        <v>32.413876000000002</v>
      </c>
      <c r="AV80" s="3">
        <v>31.537685</v>
      </c>
      <c r="AW80" s="3">
        <v>32.827480000000001</v>
      </c>
      <c r="AX80" s="3">
        <v>32.619571999999998</v>
      </c>
      <c r="AY80" s="3">
        <v>29.335726000000001</v>
      </c>
      <c r="AZ80" s="3">
        <v>32.504764999999999</v>
      </c>
      <c r="BA80" s="3">
        <v>32.393203999999997</v>
      </c>
      <c r="BB80" s="3">
        <v>30.869699000000001</v>
      </c>
      <c r="BC80" s="3">
        <v>30.763348000000001</v>
      </c>
      <c r="BD80" s="3">
        <v>30.947133999999998</v>
      </c>
      <c r="BE80" s="3">
        <v>32.238143999999998</v>
      </c>
      <c r="BF80" s="3">
        <v>31.629456999999999</v>
      </c>
      <c r="BG80" s="3">
        <v>33.401783000000002</v>
      </c>
      <c r="BH80" s="3">
        <v>31.47467</v>
      </c>
      <c r="BI80" s="3">
        <v>30.370878000000001</v>
      </c>
      <c r="BJ80" s="3">
        <v>30.642596999999999</v>
      </c>
      <c r="BK80" s="3">
        <v>32.658585000000002</v>
      </c>
      <c r="BL80" s="3">
        <v>30.179424000000001</v>
      </c>
      <c r="BM80" s="3">
        <v>30.336210000000001</v>
      </c>
      <c r="BN80" s="3">
        <v>30.475044</v>
      </c>
      <c r="BO80" s="3">
        <v>31.271543999999999</v>
      </c>
      <c r="BP80" s="3">
        <v>32.322963999999999</v>
      </c>
      <c r="BQ80" s="3">
        <v>32.054985000000002</v>
      </c>
      <c r="BR80" s="3">
        <v>32.790691000000002</v>
      </c>
      <c r="BS80" s="3">
        <v>33.013184000000003</v>
      </c>
      <c r="BT80" s="3">
        <v>31.320225000000001</v>
      </c>
      <c r="BU80" s="3">
        <v>32.188701999999999</v>
      </c>
      <c r="BV80" s="3">
        <v>32.379322000000002</v>
      </c>
      <c r="BW80" s="3">
        <v>29.410036000000002</v>
      </c>
      <c r="BX80" s="3">
        <v>29.242342000000001</v>
      </c>
      <c r="BY80" s="3">
        <v>30.202922999999998</v>
      </c>
      <c r="BZ80" s="3">
        <v>32.875965000000001</v>
      </c>
      <c r="CA80" s="3">
        <v>31.266134000000001</v>
      </c>
      <c r="CB80" s="3">
        <v>31.252447</v>
      </c>
      <c r="CC80" s="3">
        <v>32.332740999999999</v>
      </c>
      <c r="CD80" s="3">
        <v>32.169024999999998</v>
      </c>
      <c r="CE80" s="3">
        <v>31.901337000000002</v>
      </c>
      <c r="CF80" s="3">
        <v>32.250960999999997</v>
      </c>
      <c r="CG80" s="3">
        <v>29.106327</v>
      </c>
      <c r="CH80" s="3">
        <v>30.373246999999999</v>
      </c>
      <c r="CI80" s="3">
        <v>31.520454000000001</v>
      </c>
      <c r="CJ80" s="3">
        <v>31.477982000000001</v>
      </c>
      <c r="CK80" s="3">
        <v>31.130431999999999</v>
      </c>
      <c r="CL80" s="3">
        <v>30.855205999999999</v>
      </c>
      <c r="CM80" s="3">
        <v>32.968055999999997</v>
      </c>
      <c r="CN80" s="3">
        <v>32.25074</v>
      </c>
      <c r="CO80" s="3">
        <v>30.21949</v>
      </c>
      <c r="CP80" s="3">
        <v>30.759730999999999</v>
      </c>
      <c r="CQ80" s="3">
        <v>30.206738000000001</v>
      </c>
      <c r="CR80" s="3">
        <v>30.219275</v>
      </c>
      <c r="CS80" s="3">
        <v>29.125357000000001</v>
      </c>
      <c r="CT80" s="3">
        <v>31.923780000000001</v>
      </c>
      <c r="CU80" s="3">
        <v>30.460246999999999</v>
      </c>
      <c r="CV80" s="3">
        <v>31.270992</v>
      </c>
      <c r="CW80" s="3">
        <v>30.085094000000002</v>
      </c>
      <c r="CX80" s="3">
        <v>31.966671000000002</v>
      </c>
      <c r="CY80" s="3">
        <v>34.289219000000003</v>
      </c>
      <c r="CZ80" s="3">
        <v>29.404709</v>
      </c>
      <c r="DA80" s="3">
        <v>30.643923000000001</v>
      </c>
      <c r="DB80" s="3">
        <v>31.681797</v>
      </c>
      <c r="DC80" s="3">
        <v>32.901150000000001</v>
      </c>
      <c r="DD80" s="3">
        <v>29.742329000000002</v>
      </c>
      <c r="DE80" s="3">
        <v>33.244362000000002</v>
      </c>
      <c r="DF80" s="3">
        <v>30.941126000000001</v>
      </c>
      <c r="DG80" s="3">
        <v>32.780082999999998</v>
      </c>
      <c r="DH80" s="3">
        <v>32.002654999999997</v>
      </c>
      <c r="DI80" s="3"/>
      <c r="DJ80" s="3"/>
      <c r="DM80" s="3"/>
      <c r="DN80" s="3"/>
      <c r="DP80" s="3"/>
      <c r="DQ80" s="3"/>
      <c r="DR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M81" s="3"/>
      <c r="DN81" s="3"/>
      <c r="DP81" s="3"/>
      <c r="DQ81" s="3"/>
      <c r="DR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32.213982210000012</v>
      </c>
      <c r="H82" s="3">
        <f>MAX(M82:GJ82)</f>
        <v>38.259971999999998</v>
      </c>
      <c r="I82" s="3">
        <f>MIN(M82:GJ82)</f>
        <v>27.399757000000001</v>
      </c>
      <c r="J82" s="3">
        <f>_xlfn.STDEV.P(M82:GJ82)</f>
        <v>2.0315614033793667</v>
      </c>
      <c r="K82" s="3">
        <f>_xlfn.VAR.S(M82:GJ82)</f>
        <v>4.168931046162367</v>
      </c>
      <c r="M82" s="3">
        <v>32.233638999999997</v>
      </c>
      <c r="N82" s="3">
        <v>31.199656999999998</v>
      </c>
      <c r="O82" s="3">
        <v>34.999977000000001</v>
      </c>
      <c r="P82" s="3">
        <v>32.889446</v>
      </c>
      <c r="Q82" s="3">
        <v>33.987011000000003</v>
      </c>
      <c r="R82" s="3">
        <v>37.909858999999997</v>
      </c>
      <c r="S82" s="3">
        <v>33.910763000000003</v>
      </c>
      <c r="T82" s="3">
        <v>31.455708999999999</v>
      </c>
      <c r="U82" s="3">
        <v>31.978535000000001</v>
      </c>
      <c r="V82" s="3">
        <v>31.739725</v>
      </c>
      <c r="W82" s="3">
        <v>32.972729000000001</v>
      </c>
      <c r="X82" s="3">
        <v>31.948188999999999</v>
      </c>
      <c r="Y82" s="3">
        <v>31.935196000000001</v>
      </c>
      <c r="Z82" s="3">
        <v>34.421039999999998</v>
      </c>
      <c r="AA82" s="3">
        <v>33.524524999999997</v>
      </c>
      <c r="AB82" s="3">
        <v>32.829135999999998</v>
      </c>
      <c r="AC82" s="3">
        <v>33.583733000000002</v>
      </c>
      <c r="AD82" s="3">
        <v>30.954388000000002</v>
      </c>
      <c r="AE82" s="3">
        <v>30.499451000000001</v>
      </c>
      <c r="AF82" s="3">
        <v>34.541663999999997</v>
      </c>
      <c r="AG82" s="3">
        <v>30.624752000000001</v>
      </c>
      <c r="AH82" s="3">
        <v>31.278438999999999</v>
      </c>
      <c r="AI82" s="3">
        <v>29.592313999999998</v>
      </c>
      <c r="AJ82" s="3">
        <v>32.091442000000001</v>
      </c>
      <c r="AK82" s="3">
        <v>33.425548999999997</v>
      </c>
      <c r="AL82" s="3">
        <v>30.845123000000001</v>
      </c>
      <c r="AM82" s="3">
        <v>31.218713999999999</v>
      </c>
      <c r="AN82" s="3">
        <v>34.156199999999998</v>
      </c>
      <c r="AO82" s="3">
        <v>34.577964999999999</v>
      </c>
      <c r="AP82" s="3">
        <v>32.525176999999999</v>
      </c>
      <c r="AQ82" s="3">
        <v>36.35125</v>
      </c>
      <c r="AR82" s="3">
        <v>32.547221999999998</v>
      </c>
      <c r="AS82" s="3">
        <v>32.800724000000002</v>
      </c>
      <c r="AT82" s="3">
        <v>33.520439000000003</v>
      </c>
      <c r="AU82" s="3">
        <v>31.906459999999999</v>
      </c>
      <c r="AV82" s="3">
        <v>33.364516999999999</v>
      </c>
      <c r="AW82" s="3">
        <v>30.049406000000001</v>
      </c>
      <c r="AX82" s="3">
        <v>34.286278000000003</v>
      </c>
      <c r="AY82" s="3">
        <v>31.830811000000001</v>
      </c>
      <c r="AZ82" s="3">
        <v>32.841845999999997</v>
      </c>
      <c r="BA82" s="3">
        <v>32.767508999999997</v>
      </c>
      <c r="BB82" s="3">
        <v>35.90361</v>
      </c>
      <c r="BC82" s="3">
        <v>31.460595999999999</v>
      </c>
      <c r="BD82" s="3">
        <v>29.10791</v>
      </c>
      <c r="BE82" s="3">
        <v>33.954884</v>
      </c>
      <c r="BF82" s="3">
        <v>30.128495999999998</v>
      </c>
      <c r="BG82" s="3">
        <v>30.765509000000002</v>
      </c>
      <c r="BH82" s="3">
        <v>30.021415999999999</v>
      </c>
      <c r="BI82" s="3">
        <v>29.167248000000001</v>
      </c>
      <c r="BJ82" s="3">
        <v>34.728808999999998</v>
      </c>
      <c r="BK82" s="3">
        <v>30.390149999999998</v>
      </c>
      <c r="BL82" s="3">
        <v>30.858982000000001</v>
      </c>
      <c r="BM82" s="3">
        <v>31.613443</v>
      </c>
      <c r="BN82" s="3">
        <v>31.383827</v>
      </c>
      <c r="BO82" s="3">
        <v>31.815863</v>
      </c>
      <c r="BP82" s="3">
        <v>33.218983000000001</v>
      </c>
      <c r="BQ82" s="3">
        <v>34.493523000000003</v>
      </c>
      <c r="BR82" s="3">
        <v>32.059176999999998</v>
      </c>
      <c r="BS82" s="3">
        <v>36.310817999999998</v>
      </c>
      <c r="BT82" s="3">
        <v>30.613126999999999</v>
      </c>
      <c r="BU82" s="3">
        <v>31.677986000000001</v>
      </c>
      <c r="BV82" s="3">
        <v>32.647258999999998</v>
      </c>
      <c r="BW82" s="3">
        <v>38.259971999999998</v>
      </c>
      <c r="BX82" s="3">
        <v>33.080173000000002</v>
      </c>
      <c r="BY82" s="3">
        <v>33.057327000000001</v>
      </c>
      <c r="BZ82" s="3">
        <v>32.923152999999999</v>
      </c>
      <c r="CA82" s="3">
        <v>34.465358999999999</v>
      </c>
      <c r="CB82" s="3">
        <v>30.512758000000002</v>
      </c>
      <c r="CC82" s="3">
        <v>28.974412999999998</v>
      </c>
      <c r="CD82" s="3">
        <v>33.034934999999997</v>
      </c>
      <c r="CE82" s="3">
        <v>29.144390000000001</v>
      </c>
      <c r="CF82" s="3">
        <v>29.899647000000002</v>
      </c>
      <c r="CG82" s="3">
        <v>29.555222000000001</v>
      </c>
      <c r="CH82" s="3">
        <v>30.089911000000001</v>
      </c>
      <c r="CI82" s="3">
        <v>32.095123000000001</v>
      </c>
      <c r="CJ82" s="3">
        <v>33.183304</v>
      </c>
      <c r="CK82" s="3">
        <v>33.046967000000002</v>
      </c>
      <c r="CL82" s="3">
        <v>34.543987000000001</v>
      </c>
      <c r="CM82" s="3">
        <v>28.508858</v>
      </c>
      <c r="CN82" s="3">
        <v>30.409110999999999</v>
      </c>
      <c r="CO82" s="3">
        <v>29.193773</v>
      </c>
      <c r="CP82" s="3">
        <v>32.438395999999997</v>
      </c>
      <c r="CQ82" s="3">
        <v>33.598754999999997</v>
      </c>
      <c r="CR82" s="3">
        <v>29.324366000000001</v>
      </c>
      <c r="CS82" s="3">
        <v>32.597721</v>
      </c>
      <c r="CT82" s="3">
        <v>30.492336000000002</v>
      </c>
      <c r="CU82" s="3">
        <v>31.313054999999999</v>
      </c>
      <c r="CV82" s="3">
        <v>33.926453000000002</v>
      </c>
      <c r="CW82" s="3">
        <v>27.399757000000001</v>
      </c>
      <c r="CX82" s="3">
        <v>29.556899999999999</v>
      </c>
      <c r="CY82" s="3">
        <v>34.792350999999996</v>
      </c>
      <c r="CZ82" s="3">
        <v>34.262169</v>
      </c>
      <c r="DA82" s="3">
        <v>31.186748999999999</v>
      </c>
      <c r="DB82" s="3">
        <v>31.224079</v>
      </c>
      <c r="DC82" s="3">
        <v>35.943576999999998</v>
      </c>
      <c r="DD82" s="3">
        <v>31.851326</v>
      </c>
      <c r="DE82" s="3">
        <v>32.466785000000002</v>
      </c>
      <c r="DF82" s="3">
        <v>30.283199</v>
      </c>
      <c r="DG82" s="3">
        <v>30.444817</v>
      </c>
      <c r="DH82" s="3">
        <v>29.878921999999999</v>
      </c>
      <c r="DI82" s="3"/>
      <c r="DJ82" s="3"/>
      <c r="DM82" s="3"/>
      <c r="DN82" s="3"/>
      <c r="DP82" s="3"/>
      <c r="DQ82" s="3"/>
      <c r="DR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</row>
    <row r="84" spans="2:207" x14ac:dyDescent="0.2">
      <c r="M84" s="3"/>
      <c r="N84" s="3"/>
    </row>
    <row r="85" spans="2:207" x14ac:dyDescent="0.2">
      <c r="B85" t="s">
        <v>60</v>
      </c>
      <c r="D85" s="1" t="s">
        <v>40</v>
      </c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14.575279010000001</v>
      </c>
      <c r="H86" s="3">
        <f>MAX(M86:GJ86)</f>
        <v>17.907173</v>
      </c>
      <c r="I86" s="3">
        <f>MIN(M86:GJ86)</f>
        <v>13.174569999999999</v>
      </c>
      <c r="J86" s="3">
        <f>_xlfn.STDEV.P(M86:GJ86)</f>
        <v>0.97859076593770766</v>
      </c>
      <c r="K86" s="3">
        <f>_xlfn.VAR.S(M86:GJ86)</f>
        <v>0.96731301735207009</v>
      </c>
      <c r="M86" s="3">
        <v>14.378151000000001</v>
      </c>
      <c r="N86" s="3">
        <v>14.335431</v>
      </c>
      <c r="O86" s="3">
        <v>13.21232</v>
      </c>
      <c r="P86" s="3">
        <v>14.165976000000001</v>
      </c>
      <c r="Q86" s="3">
        <v>17.422045000000001</v>
      </c>
      <c r="R86" s="3">
        <v>16.112128999999999</v>
      </c>
      <c r="S86" s="3">
        <v>13.921526</v>
      </c>
      <c r="T86" s="3">
        <v>14.202984000000001</v>
      </c>
      <c r="U86" s="3">
        <v>14.28519</v>
      </c>
      <c r="V86" s="3">
        <v>14.494422999999999</v>
      </c>
      <c r="W86" s="3">
        <v>14.516114</v>
      </c>
      <c r="X86" s="3">
        <v>14.769208000000001</v>
      </c>
      <c r="Y86" s="3">
        <v>17.701281000000002</v>
      </c>
      <c r="Z86" s="3">
        <v>14.069290000000001</v>
      </c>
      <c r="AA86" s="3">
        <v>14.415506000000001</v>
      </c>
      <c r="AB86" s="3">
        <v>14.315521</v>
      </c>
      <c r="AC86" s="3">
        <v>13.89462</v>
      </c>
      <c r="AD86" s="3">
        <v>13.773562999999999</v>
      </c>
      <c r="AE86" s="3">
        <v>14.942909</v>
      </c>
      <c r="AF86" s="3">
        <v>14.021088000000001</v>
      </c>
      <c r="AG86" s="3">
        <v>14.815308999999999</v>
      </c>
      <c r="AH86" s="3">
        <v>14.458157999999999</v>
      </c>
      <c r="AI86" s="3">
        <v>14.071949</v>
      </c>
      <c r="AJ86" s="3">
        <v>14.7196</v>
      </c>
      <c r="AK86" s="3">
        <v>14.158735</v>
      </c>
      <c r="AL86" s="3">
        <v>14.231788</v>
      </c>
      <c r="AM86" s="3">
        <v>15.543037999999999</v>
      </c>
      <c r="AN86" s="3">
        <v>13.730834</v>
      </c>
      <c r="AO86" s="3">
        <v>14.18047</v>
      </c>
      <c r="AP86" s="3">
        <v>15.474266</v>
      </c>
      <c r="AQ86" s="3">
        <v>14.259335999999999</v>
      </c>
      <c r="AR86" s="3">
        <v>14.155982</v>
      </c>
      <c r="AS86" s="3">
        <v>13.604521</v>
      </c>
      <c r="AT86" s="3">
        <v>17.466723999999999</v>
      </c>
      <c r="AU86" s="3">
        <v>15.796462999999999</v>
      </c>
      <c r="AV86" s="3">
        <v>14.024478</v>
      </c>
      <c r="AW86" s="3">
        <v>14.183904</v>
      </c>
      <c r="AX86" s="3">
        <v>14.561696</v>
      </c>
      <c r="AY86" s="3">
        <v>17.608034</v>
      </c>
      <c r="AZ86" s="3">
        <v>16.514745999999999</v>
      </c>
      <c r="BA86" s="3">
        <v>14.195054000000001</v>
      </c>
      <c r="BB86" s="3">
        <v>14.058909</v>
      </c>
      <c r="BC86" s="3">
        <v>14.350053000000001</v>
      </c>
      <c r="BD86" s="3">
        <v>14.041734999999999</v>
      </c>
      <c r="BE86" s="3">
        <v>16.451511</v>
      </c>
      <c r="BF86" s="3">
        <v>14.146011</v>
      </c>
      <c r="BG86" s="3">
        <v>14.822514</v>
      </c>
      <c r="BH86" s="3">
        <v>17.907173</v>
      </c>
      <c r="BI86" s="3">
        <v>14.157389999999999</v>
      </c>
      <c r="BJ86" s="3">
        <v>14.864053</v>
      </c>
      <c r="BK86" s="3">
        <v>13.81554</v>
      </c>
      <c r="BL86" s="3">
        <v>14.144579</v>
      </c>
      <c r="BM86" s="3">
        <v>14.160288</v>
      </c>
      <c r="BN86" s="3">
        <v>14.332257</v>
      </c>
      <c r="BO86" s="3">
        <v>13.829275000000001</v>
      </c>
      <c r="BP86" s="3">
        <v>16.390995</v>
      </c>
      <c r="BQ86" s="3">
        <v>14.724354999999999</v>
      </c>
      <c r="BR86" s="3">
        <v>15.052637000000001</v>
      </c>
      <c r="BS86" s="3">
        <v>14.686152999999999</v>
      </c>
      <c r="BT86" s="3">
        <v>14.081395000000001</v>
      </c>
      <c r="BU86" s="3">
        <v>15.133419</v>
      </c>
      <c r="BV86" s="3">
        <v>14.51929</v>
      </c>
      <c r="BW86" s="3">
        <v>13.981558</v>
      </c>
      <c r="BX86" s="3">
        <v>13.207038000000001</v>
      </c>
      <c r="BY86" s="3">
        <v>14.260035999999999</v>
      </c>
      <c r="BZ86" s="3">
        <v>14.037689</v>
      </c>
      <c r="CA86" s="3">
        <v>15.677163</v>
      </c>
      <c r="CB86" s="3">
        <v>14.656286</v>
      </c>
      <c r="CC86" s="3">
        <v>14.283635</v>
      </c>
      <c r="CD86" s="3">
        <v>13.834023</v>
      </c>
      <c r="CE86" s="3">
        <v>14.166717999999999</v>
      </c>
      <c r="CF86" s="3">
        <v>15.308325999999999</v>
      </c>
      <c r="CG86" s="3">
        <v>13.958232000000001</v>
      </c>
      <c r="CH86" s="3">
        <v>14.951682</v>
      </c>
      <c r="CI86" s="3">
        <v>14.098001999999999</v>
      </c>
      <c r="CJ86" s="3">
        <v>13.842064000000001</v>
      </c>
      <c r="CK86" s="3">
        <v>14.037533</v>
      </c>
      <c r="CL86" s="3">
        <v>14.065394</v>
      </c>
      <c r="CM86" s="3">
        <v>14.348406000000001</v>
      </c>
      <c r="CN86" s="3">
        <v>13.948556999999999</v>
      </c>
      <c r="CO86" s="3">
        <v>14.071237</v>
      </c>
      <c r="CP86" s="3">
        <v>13.933752999999999</v>
      </c>
      <c r="CQ86" s="3">
        <v>13.213876000000001</v>
      </c>
      <c r="CR86" s="3">
        <v>14.217447</v>
      </c>
      <c r="CS86" s="3">
        <v>14.232148</v>
      </c>
      <c r="CT86" s="3">
        <v>16.886585</v>
      </c>
      <c r="CU86" s="3">
        <v>13.689814</v>
      </c>
      <c r="CV86" s="3">
        <v>13.393438</v>
      </c>
      <c r="CW86" s="3">
        <v>13.174569999999999</v>
      </c>
      <c r="CX86" s="3">
        <v>14.149452999999999</v>
      </c>
      <c r="CY86" s="3">
        <v>14.986601</v>
      </c>
      <c r="CZ86" s="3">
        <v>14.47316</v>
      </c>
      <c r="DA86" s="3">
        <v>14.520132</v>
      </c>
      <c r="DB86" s="3">
        <v>14.364672000000001</v>
      </c>
      <c r="DC86" s="3">
        <v>14.795634</v>
      </c>
      <c r="DD86" s="3">
        <v>14.836506999999999</v>
      </c>
      <c r="DE86" s="3">
        <v>14.375667999999999</v>
      </c>
      <c r="DF86" s="3">
        <v>15.265409</v>
      </c>
      <c r="DG86" s="3">
        <v>14.057643000000001</v>
      </c>
      <c r="DH86" s="3">
        <v>13.85392</v>
      </c>
      <c r="DI86" s="3"/>
      <c r="DJ86" s="3"/>
      <c r="DM86" s="3"/>
      <c r="DN86" s="3"/>
      <c r="DP86" s="3"/>
      <c r="DQ86" s="3"/>
      <c r="DR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M87" s="3"/>
      <c r="DN87" s="3"/>
      <c r="DP87" s="3"/>
      <c r="DQ87" s="3"/>
      <c r="DR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12.131644819999998</v>
      </c>
      <c r="H88" s="3">
        <f>MAX(M88:GJ88)</f>
        <v>16.832011999999999</v>
      </c>
      <c r="I88" s="3">
        <f>MIN(M88:GJ88)</f>
        <v>8.5999219999999994</v>
      </c>
      <c r="J88" s="3">
        <f>_xlfn.STDEV.P(M88:GJ88)</f>
        <v>2.0018340826470369</v>
      </c>
      <c r="K88" s="3">
        <f>_xlfn.VAR.S(M88:GJ88)</f>
        <v>4.0478178731791008</v>
      </c>
      <c r="M88" s="3">
        <v>10.295963</v>
      </c>
      <c r="N88" s="3">
        <v>14.610915</v>
      </c>
      <c r="O88" s="3">
        <v>12.484049000000001</v>
      </c>
      <c r="P88" s="3">
        <v>11.808230999999999</v>
      </c>
      <c r="Q88" s="3">
        <v>11.194148999999999</v>
      </c>
      <c r="R88" s="3">
        <v>10.712987</v>
      </c>
      <c r="S88" s="3">
        <v>10.666088999999999</v>
      </c>
      <c r="T88" s="3">
        <v>12.094934</v>
      </c>
      <c r="U88" s="3">
        <v>13.213868</v>
      </c>
      <c r="V88" s="3">
        <v>10.736777999999999</v>
      </c>
      <c r="W88" s="3">
        <v>11.218624999999999</v>
      </c>
      <c r="X88" s="3">
        <v>16.059628</v>
      </c>
      <c r="Y88" s="3">
        <v>12.547593000000001</v>
      </c>
      <c r="Z88" s="3">
        <v>13.223857000000001</v>
      </c>
      <c r="AA88" s="3">
        <v>13.645552</v>
      </c>
      <c r="AB88" s="3">
        <v>8.6900910000000007</v>
      </c>
      <c r="AC88" s="3">
        <v>14.515565</v>
      </c>
      <c r="AD88" s="3">
        <v>11.643526</v>
      </c>
      <c r="AE88" s="3">
        <v>11.732411000000001</v>
      </c>
      <c r="AF88" s="3">
        <v>9.4569200000000002</v>
      </c>
      <c r="AG88" s="3">
        <v>11.586471</v>
      </c>
      <c r="AH88" s="3">
        <v>15.820949000000001</v>
      </c>
      <c r="AI88" s="3">
        <v>12.109565999999999</v>
      </c>
      <c r="AJ88" s="3">
        <v>12.263171</v>
      </c>
      <c r="AK88" s="3">
        <v>9.5001789999999993</v>
      </c>
      <c r="AL88" s="3">
        <v>9.0084909999999994</v>
      </c>
      <c r="AM88" s="3">
        <v>13.85172</v>
      </c>
      <c r="AN88" s="3">
        <v>13.251041000000001</v>
      </c>
      <c r="AO88" s="3">
        <v>12.005032999999999</v>
      </c>
      <c r="AP88" s="3">
        <v>10.003603</v>
      </c>
      <c r="AQ88" s="3">
        <v>13.893376999999999</v>
      </c>
      <c r="AR88" s="3">
        <v>14.716017000000001</v>
      </c>
      <c r="AS88" s="3">
        <v>14.678679000000001</v>
      </c>
      <c r="AT88" s="3">
        <v>13.06945</v>
      </c>
      <c r="AU88" s="3">
        <v>12.479601000000001</v>
      </c>
      <c r="AV88" s="3">
        <v>8.5999219999999994</v>
      </c>
      <c r="AW88" s="3">
        <v>14.162025999999999</v>
      </c>
      <c r="AX88" s="3">
        <v>12.115341000000001</v>
      </c>
      <c r="AY88" s="3">
        <v>14.740339000000001</v>
      </c>
      <c r="AZ88" s="3">
        <v>11.357373000000001</v>
      </c>
      <c r="BA88" s="3">
        <v>13.855642</v>
      </c>
      <c r="BB88" s="3">
        <v>12.164534</v>
      </c>
      <c r="BC88" s="3">
        <v>11.884156000000001</v>
      </c>
      <c r="BD88" s="3">
        <v>15.427792</v>
      </c>
      <c r="BE88" s="3">
        <v>11.813877</v>
      </c>
      <c r="BF88" s="3">
        <v>8.9225259999999995</v>
      </c>
      <c r="BG88" s="3">
        <v>13.722235</v>
      </c>
      <c r="BH88" s="3">
        <v>11.990038</v>
      </c>
      <c r="BI88" s="3">
        <v>13.052977</v>
      </c>
      <c r="BJ88" s="3">
        <v>11.495049</v>
      </c>
      <c r="BK88" s="3">
        <v>10.141503</v>
      </c>
      <c r="BL88" s="3">
        <v>9.1017340000000004</v>
      </c>
      <c r="BM88" s="3">
        <v>16.832011999999999</v>
      </c>
      <c r="BN88" s="3">
        <v>15.324225999999999</v>
      </c>
      <c r="BO88" s="3">
        <v>13.974653999999999</v>
      </c>
      <c r="BP88" s="3">
        <v>11.439033999999999</v>
      </c>
      <c r="BQ88" s="3">
        <v>14.798448</v>
      </c>
      <c r="BR88" s="3">
        <v>11.030537000000001</v>
      </c>
      <c r="BS88" s="3">
        <v>9.9990079999999999</v>
      </c>
      <c r="BT88" s="3">
        <v>9.7007239999999992</v>
      </c>
      <c r="BU88" s="3">
        <v>9.6707870000000007</v>
      </c>
      <c r="BV88" s="3">
        <v>8.9788779999999999</v>
      </c>
      <c r="BW88" s="3">
        <v>13.747260000000001</v>
      </c>
      <c r="BX88" s="3">
        <v>11.062208999999999</v>
      </c>
      <c r="BY88" s="3">
        <v>16.037395</v>
      </c>
      <c r="BZ88" s="3">
        <v>11.05284</v>
      </c>
      <c r="CA88" s="3">
        <v>13.511867000000001</v>
      </c>
      <c r="CB88" s="3">
        <v>11.171862000000001</v>
      </c>
      <c r="CC88" s="3">
        <v>11.281574000000001</v>
      </c>
      <c r="CD88" s="3">
        <v>8.7943730000000002</v>
      </c>
      <c r="CE88" s="3">
        <v>12.02102</v>
      </c>
      <c r="CF88" s="3">
        <v>10.287283</v>
      </c>
      <c r="CG88" s="3">
        <v>14.104184</v>
      </c>
      <c r="CH88" s="3">
        <v>11.787801999999999</v>
      </c>
      <c r="CI88" s="3">
        <v>14.948912</v>
      </c>
      <c r="CJ88" s="3">
        <v>11.78722</v>
      </c>
      <c r="CK88" s="3">
        <v>12.45858</v>
      </c>
      <c r="CL88" s="3">
        <v>9.9499809999999993</v>
      </c>
      <c r="CM88" s="3">
        <v>9.962377</v>
      </c>
      <c r="CN88" s="3">
        <v>9.5861059999999991</v>
      </c>
      <c r="CO88" s="3">
        <v>12.948256000000001</v>
      </c>
      <c r="CP88" s="3">
        <v>9.8043589999999998</v>
      </c>
      <c r="CQ88" s="3">
        <v>13.593310000000001</v>
      </c>
      <c r="CR88" s="3">
        <v>11.794620999999999</v>
      </c>
      <c r="CS88" s="3">
        <v>14.862482999999999</v>
      </c>
      <c r="CT88" s="3">
        <v>9.4562620000000006</v>
      </c>
      <c r="CU88" s="3">
        <v>14.967902</v>
      </c>
      <c r="CV88" s="3">
        <v>13.414253</v>
      </c>
      <c r="CW88" s="3">
        <v>10.779642000000001</v>
      </c>
      <c r="CX88" s="3">
        <v>11.582413000000001</v>
      </c>
      <c r="CY88" s="3">
        <v>13.184990000000001</v>
      </c>
      <c r="CZ88" s="3">
        <v>10.351452999999999</v>
      </c>
      <c r="DA88" s="3">
        <v>16.583220000000001</v>
      </c>
      <c r="DB88" s="3">
        <v>9.5811530000000005</v>
      </c>
      <c r="DC88" s="3">
        <v>14.731706000000001</v>
      </c>
      <c r="DD88" s="3">
        <v>11.519786</v>
      </c>
      <c r="DE88" s="3">
        <v>12.950305999999999</v>
      </c>
      <c r="DF88" s="3">
        <v>11.100934000000001</v>
      </c>
      <c r="DG88" s="3">
        <v>10.833772</v>
      </c>
      <c r="DH88" s="3">
        <v>10.486364999999999</v>
      </c>
      <c r="DI88" s="3"/>
      <c r="DJ88" s="3"/>
      <c r="DM88" s="3"/>
      <c r="DN88" s="3"/>
      <c r="DP88" s="3"/>
      <c r="DQ88" s="3"/>
      <c r="DR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M89" s="3"/>
      <c r="DN89" s="3"/>
      <c r="DP89" s="3"/>
      <c r="DQ89" s="3"/>
      <c r="DR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15.339573319999992</v>
      </c>
      <c r="H90" s="3">
        <f>MAX(M90:GJ90)</f>
        <v>19.183122999999998</v>
      </c>
      <c r="I90" s="3">
        <f>MIN(M90:GJ90)</f>
        <v>13.722198000000001</v>
      </c>
      <c r="J90" s="3">
        <f>_xlfn.STDEV.P(M90:GJ90)</f>
        <v>0.96593719389740718</v>
      </c>
      <c r="K90" s="3">
        <f>_xlfn.VAR.S(M90:GJ90)</f>
        <v>0.94245925510545181</v>
      </c>
      <c r="M90" s="3">
        <v>15.025845</v>
      </c>
      <c r="N90" s="3">
        <v>15.504477</v>
      </c>
      <c r="O90" s="3">
        <v>14.030507999999999</v>
      </c>
      <c r="P90" s="3">
        <v>13.972918</v>
      </c>
      <c r="Q90" s="3">
        <v>13.790863</v>
      </c>
      <c r="R90" s="3">
        <v>14.96283</v>
      </c>
      <c r="S90" s="3">
        <v>14.920801000000001</v>
      </c>
      <c r="T90" s="3">
        <v>14.950457</v>
      </c>
      <c r="U90" s="3">
        <v>15.172518999999999</v>
      </c>
      <c r="V90" s="3">
        <v>14.676754000000001</v>
      </c>
      <c r="W90" s="3">
        <v>14.444058999999999</v>
      </c>
      <c r="X90" s="3">
        <v>16.008516</v>
      </c>
      <c r="Y90" s="3">
        <v>14.145011</v>
      </c>
      <c r="Z90" s="3">
        <v>13.945403000000001</v>
      </c>
      <c r="AA90" s="3">
        <v>14.057372000000001</v>
      </c>
      <c r="AB90" s="3">
        <v>14.729517</v>
      </c>
      <c r="AC90" s="3">
        <v>19.183122999999998</v>
      </c>
      <c r="AD90" s="3">
        <v>14.849413999999999</v>
      </c>
      <c r="AE90" s="3">
        <v>15.168936</v>
      </c>
      <c r="AF90" s="3">
        <v>15.148479</v>
      </c>
      <c r="AG90" s="3">
        <v>15.811510999999999</v>
      </c>
      <c r="AH90" s="3">
        <v>14.482540999999999</v>
      </c>
      <c r="AI90" s="3">
        <v>15.562828</v>
      </c>
      <c r="AJ90" s="3">
        <v>14.919269</v>
      </c>
      <c r="AK90" s="3">
        <v>16.225332000000002</v>
      </c>
      <c r="AL90" s="3">
        <v>16.463090999999999</v>
      </c>
      <c r="AM90" s="3">
        <v>15.338746</v>
      </c>
      <c r="AN90" s="3">
        <v>16.023793999999999</v>
      </c>
      <c r="AO90" s="3">
        <v>17.383527999999998</v>
      </c>
      <c r="AP90" s="3">
        <v>14.227618</v>
      </c>
      <c r="AQ90" s="3">
        <v>15.471087000000001</v>
      </c>
      <c r="AR90" s="3">
        <v>16.570511</v>
      </c>
      <c r="AS90" s="3">
        <v>15.621515</v>
      </c>
      <c r="AT90" s="3">
        <v>14.394525</v>
      </c>
      <c r="AU90" s="3">
        <v>16.535053000000001</v>
      </c>
      <c r="AV90" s="3">
        <v>16.602156000000001</v>
      </c>
      <c r="AW90" s="3">
        <v>15.939673000000001</v>
      </c>
      <c r="AX90" s="3">
        <v>16.322353</v>
      </c>
      <c r="AY90" s="3">
        <v>14.95017</v>
      </c>
      <c r="AZ90" s="3">
        <v>15.906077</v>
      </c>
      <c r="BA90" s="3">
        <v>17.298185</v>
      </c>
      <c r="BB90" s="3">
        <v>16.038115000000001</v>
      </c>
      <c r="BC90" s="3">
        <v>16.409417999999999</v>
      </c>
      <c r="BD90" s="3">
        <v>14.920896000000001</v>
      </c>
      <c r="BE90" s="3">
        <v>15.849925000000001</v>
      </c>
      <c r="BF90" s="3">
        <v>16.85136</v>
      </c>
      <c r="BG90" s="3">
        <v>16.397172999999999</v>
      </c>
      <c r="BH90" s="3">
        <v>14.392104</v>
      </c>
      <c r="BI90" s="3">
        <v>16.999683000000001</v>
      </c>
      <c r="BJ90" s="3">
        <v>14.2926</v>
      </c>
      <c r="BK90" s="3">
        <v>16.118234999999999</v>
      </c>
      <c r="BL90" s="3">
        <v>15.897183999999999</v>
      </c>
      <c r="BM90" s="3">
        <v>16.138743999999999</v>
      </c>
      <c r="BN90" s="3">
        <v>15.409782</v>
      </c>
      <c r="BO90" s="3">
        <v>16.444472999999999</v>
      </c>
      <c r="BP90" s="3">
        <v>16.750976999999999</v>
      </c>
      <c r="BQ90" s="3">
        <v>16.062415999999999</v>
      </c>
      <c r="BR90" s="3">
        <v>15.390470000000001</v>
      </c>
      <c r="BS90" s="3">
        <v>15.516435</v>
      </c>
      <c r="BT90" s="3">
        <v>14.282848</v>
      </c>
      <c r="BU90" s="3">
        <v>14.342903</v>
      </c>
      <c r="BV90" s="3">
        <v>16.058508</v>
      </c>
      <c r="BW90" s="3">
        <v>14.330109</v>
      </c>
      <c r="BX90" s="3">
        <v>14.285364</v>
      </c>
      <c r="BY90" s="3">
        <v>14.334227</v>
      </c>
      <c r="BZ90" s="3">
        <v>14.467950999999999</v>
      </c>
      <c r="CA90" s="3">
        <v>15.448858</v>
      </c>
      <c r="CB90" s="3">
        <v>14.253850999999999</v>
      </c>
      <c r="CC90" s="3">
        <v>15.378330999999999</v>
      </c>
      <c r="CD90" s="3">
        <v>14.255557</v>
      </c>
      <c r="CE90" s="3">
        <v>13.722198000000001</v>
      </c>
      <c r="CF90" s="3">
        <v>15.432988</v>
      </c>
      <c r="CG90" s="3">
        <v>14.008315</v>
      </c>
      <c r="CH90" s="3">
        <v>15.366040999999999</v>
      </c>
      <c r="CI90" s="3">
        <v>14.150425</v>
      </c>
      <c r="CJ90" s="3">
        <v>15.232754999999999</v>
      </c>
      <c r="CK90" s="3">
        <v>15.741567</v>
      </c>
      <c r="CL90" s="3">
        <v>15.427526</v>
      </c>
      <c r="CM90" s="3">
        <v>14.546977</v>
      </c>
      <c r="CN90" s="3">
        <v>14.040749999999999</v>
      </c>
      <c r="CO90" s="3">
        <v>15.204613999999999</v>
      </c>
      <c r="CP90" s="3">
        <v>16.123221999999998</v>
      </c>
      <c r="CQ90" s="3">
        <v>14.315122000000001</v>
      </c>
      <c r="CR90" s="3">
        <v>15.409891</v>
      </c>
      <c r="CS90" s="3">
        <v>14.547359999999999</v>
      </c>
      <c r="CT90" s="3">
        <v>16.253073000000001</v>
      </c>
      <c r="CU90" s="3">
        <v>15.557449</v>
      </c>
      <c r="CV90" s="3">
        <v>14.422784999999999</v>
      </c>
      <c r="CW90" s="3">
        <v>16.50703</v>
      </c>
      <c r="CX90" s="3">
        <v>15.663237000000001</v>
      </c>
      <c r="CY90" s="3">
        <v>16.268694</v>
      </c>
      <c r="CZ90" s="3">
        <v>16.052399000000001</v>
      </c>
      <c r="DA90" s="3">
        <v>15.372764</v>
      </c>
      <c r="DB90" s="3">
        <v>15.282665</v>
      </c>
      <c r="DC90" s="3">
        <v>14.071251</v>
      </c>
      <c r="DD90" s="3">
        <v>15.733174</v>
      </c>
      <c r="DE90" s="3">
        <v>15.645427</v>
      </c>
      <c r="DF90" s="3">
        <v>14.168607</v>
      </c>
      <c r="DG90" s="3">
        <v>16.506682999999999</v>
      </c>
      <c r="DH90" s="3">
        <v>15.126481</v>
      </c>
      <c r="DI90" s="3"/>
      <c r="DJ90" s="3"/>
      <c r="DM90" s="3"/>
      <c r="DN90" s="3"/>
      <c r="DP90" s="3"/>
      <c r="DQ90" s="3"/>
      <c r="DR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M91" s="3"/>
      <c r="DN91" s="3"/>
      <c r="DP91" s="3"/>
      <c r="DQ91" s="3"/>
      <c r="DR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14.967789860000003</v>
      </c>
      <c r="H92" s="3">
        <f>MAX(M92:GJ92)</f>
        <v>17.058789999999998</v>
      </c>
      <c r="I92" s="3">
        <f>MIN(M92:GJ92)</f>
        <v>11.420076</v>
      </c>
      <c r="J92" s="3">
        <f>_xlfn.STDEV.P(M92:GJ92)</f>
        <v>1.1047038083124272</v>
      </c>
      <c r="K92" s="3">
        <f>_xlfn.VAR.S(M92:GJ92)</f>
        <v>1.2326974788888687</v>
      </c>
      <c r="M92" s="3">
        <v>13.494088</v>
      </c>
      <c r="N92" s="3">
        <v>15.436754000000001</v>
      </c>
      <c r="O92" s="3">
        <v>16.763741</v>
      </c>
      <c r="P92" s="3">
        <v>14.283300000000001</v>
      </c>
      <c r="Q92" s="3">
        <v>14.582594</v>
      </c>
      <c r="R92" s="3">
        <v>14.218399</v>
      </c>
      <c r="S92" s="3">
        <v>15.040711</v>
      </c>
      <c r="T92" s="3">
        <v>14.944566</v>
      </c>
      <c r="U92" s="3">
        <v>13.303482000000001</v>
      </c>
      <c r="V92" s="3">
        <v>15.052472</v>
      </c>
      <c r="W92" s="3">
        <v>15.251597</v>
      </c>
      <c r="X92" s="3">
        <v>14.057382</v>
      </c>
      <c r="Y92" s="3">
        <v>15.051754000000001</v>
      </c>
      <c r="Z92" s="3">
        <v>13.911782000000001</v>
      </c>
      <c r="AA92" s="3">
        <v>15.50925</v>
      </c>
      <c r="AB92" s="3">
        <v>15.355902</v>
      </c>
      <c r="AC92" s="3">
        <v>14.347503</v>
      </c>
      <c r="AD92" s="3">
        <v>15.248924000000001</v>
      </c>
      <c r="AE92" s="3">
        <v>15.745137</v>
      </c>
      <c r="AF92" s="3">
        <v>14.059275</v>
      </c>
      <c r="AG92" s="3">
        <v>15.982065</v>
      </c>
      <c r="AH92" s="3">
        <v>15.806597</v>
      </c>
      <c r="AI92" s="3">
        <v>16.585114000000001</v>
      </c>
      <c r="AJ92" s="3">
        <v>13.459625000000001</v>
      </c>
      <c r="AK92" s="3">
        <v>15.691153</v>
      </c>
      <c r="AL92" s="3">
        <v>14.968317000000001</v>
      </c>
      <c r="AM92" s="3">
        <v>13.433375</v>
      </c>
      <c r="AN92" s="3">
        <v>15.969103</v>
      </c>
      <c r="AO92" s="3">
        <v>17.058789999999998</v>
      </c>
      <c r="AP92" s="3">
        <v>15.809903</v>
      </c>
      <c r="AQ92" s="3">
        <v>15.031390999999999</v>
      </c>
      <c r="AR92" s="3">
        <v>15.685333999999999</v>
      </c>
      <c r="AS92" s="3">
        <v>15.421150000000001</v>
      </c>
      <c r="AT92" s="3">
        <v>15.528294000000001</v>
      </c>
      <c r="AU92" s="3">
        <v>14.298809</v>
      </c>
      <c r="AV92" s="3">
        <v>12.425122</v>
      </c>
      <c r="AW92" s="3">
        <v>16.022869</v>
      </c>
      <c r="AX92" s="3">
        <v>15.037782</v>
      </c>
      <c r="AY92" s="3">
        <v>15.745395</v>
      </c>
      <c r="AZ92" s="3">
        <v>16.37866</v>
      </c>
      <c r="BA92" s="3">
        <v>15.68329</v>
      </c>
      <c r="BB92" s="3">
        <v>15.395239999999999</v>
      </c>
      <c r="BC92" s="3">
        <v>16.146069000000001</v>
      </c>
      <c r="BD92" s="3">
        <v>13.682263000000001</v>
      </c>
      <c r="BE92" s="3">
        <v>15.718662</v>
      </c>
      <c r="BF92" s="3">
        <v>14.711211</v>
      </c>
      <c r="BG92" s="3">
        <v>15.468863000000001</v>
      </c>
      <c r="BH92" s="3">
        <v>14.301354999999999</v>
      </c>
      <c r="BI92" s="3">
        <v>15.262385999999999</v>
      </c>
      <c r="BJ92" s="3">
        <v>16.290499000000001</v>
      </c>
      <c r="BK92" s="3">
        <v>15.713654999999999</v>
      </c>
      <c r="BL92" s="3">
        <v>13.71532</v>
      </c>
      <c r="BM92" s="3">
        <v>16.121061000000001</v>
      </c>
      <c r="BN92" s="3">
        <v>13.725796000000001</v>
      </c>
      <c r="BO92" s="3">
        <v>14.807817999999999</v>
      </c>
      <c r="BP92" s="3">
        <v>13.872928</v>
      </c>
      <c r="BQ92" s="3">
        <v>14.406196</v>
      </c>
      <c r="BR92" s="3">
        <v>15.772876</v>
      </c>
      <c r="BS92" s="3">
        <v>16.400753000000002</v>
      </c>
      <c r="BT92" s="3">
        <v>16.242032999999999</v>
      </c>
      <c r="BU92" s="3">
        <v>14.748815</v>
      </c>
      <c r="BV92" s="3">
        <v>13.604989</v>
      </c>
      <c r="BW92" s="3">
        <v>15.818428000000001</v>
      </c>
      <c r="BX92" s="3">
        <v>14.466044999999999</v>
      </c>
      <c r="BY92" s="3">
        <v>14.151844000000001</v>
      </c>
      <c r="BZ92" s="3">
        <v>13.971552000000001</v>
      </c>
      <c r="CA92" s="3">
        <v>16.704180000000001</v>
      </c>
      <c r="CB92" s="3">
        <v>15.77483</v>
      </c>
      <c r="CC92" s="3">
        <v>14.626728999999999</v>
      </c>
      <c r="CD92" s="3">
        <v>15.403109000000001</v>
      </c>
      <c r="CE92" s="3">
        <v>12.359381000000001</v>
      </c>
      <c r="CF92" s="3">
        <v>16.178495000000002</v>
      </c>
      <c r="CG92" s="3">
        <v>14.391292999999999</v>
      </c>
      <c r="CH92" s="3">
        <v>16.019918000000001</v>
      </c>
      <c r="CI92" s="3">
        <v>15.976883000000001</v>
      </c>
      <c r="CJ92" s="3">
        <v>14.262546</v>
      </c>
      <c r="CK92" s="3">
        <v>14.478297</v>
      </c>
      <c r="CL92" s="3">
        <v>16.724668999999999</v>
      </c>
      <c r="CM92" s="3">
        <v>15.192969</v>
      </c>
      <c r="CN92" s="3">
        <v>15.460779</v>
      </c>
      <c r="CO92" s="3">
        <v>12.854129</v>
      </c>
      <c r="CP92" s="3">
        <v>15.058773</v>
      </c>
      <c r="CQ92" s="3">
        <v>15.203011999999999</v>
      </c>
      <c r="CR92" s="3">
        <v>16.458106999999998</v>
      </c>
      <c r="CS92" s="3">
        <v>15.052292</v>
      </c>
      <c r="CT92" s="3">
        <v>14.180971</v>
      </c>
      <c r="CU92" s="3">
        <v>15.643134999999999</v>
      </c>
      <c r="CV92" s="3">
        <v>13.515039</v>
      </c>
      <c r="CW92" s="3">
        <v>15.465145</v>
      </c>
      <c r="CX92" s="3">
        <v>16.582446999999998</v>
      </c>
      <c r="CY92" s="3">
        <v>15.096026999999999</v>
      </c>
      <c r="CZ92" s="3">
        <v>13.046135</v>
      </c>
      <c r="DA92" s="3">
        <v>15.169943</v>
      </c>
      <c r="DB92" s="3">
        <v>13.636722000000001</v>
      </c>
      <c r="DC92" s="3">
        <v>14.614758</v>
      </c>
      <c r="DD92" s="3">
        <v>12.165462</v>
      </c>
      <c r="DE92" s="3">
        <v>15.872213</v>
      </c>
      <c r="DF92" s="3">
        <v>14.894361</v>
      </c>
      <c r="DG92" s="3">
        <v>11.420076</v>
      </c>
      <c r="DH92" s="3">
        <v>15.098753</v>
      </c>
      <c r="DI92" s="3"/>
      <c r="DJ92" s="3"/>
      <c r="DM92" s="3"/>
      <c r="DN92" s="3"/>
      <c r="DP92" s="3"/>
      <c r="DQ92" s="3"/>
      <c r="DR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M93" s="3"/>
      <c r="DN93" s="3"/>
      <c r="DP93" s="3"/>
      <c r="DQ93" s="3"/>
      <c r="DR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15.13094384</v>
      </c>
      <c r="H94" s="3">
        <f>MAX(M94:GJ94)</f>
        <v>16.637177999999999</v>
      </c>
      <c r="I94" s="3">
        <f>MIN(M94:GJ94)</f>
        <v>11.578374999999999</v>
      </c>
      <c r="J94" s="3">
        <f>_xlfn.STDEV.P(M94:GJ94)</f>
        <v>1.1381211560912021</v>
      </c>
      <c r="K94" s="3">
        <f>_xlfn.VAR.S(M94:GJ94)</f>
        <v>1.3084038039821964</v>
      </c>
      <c r="M94" s="3">
        <v>13.450937</v>
      </c>
      <c r="N94" s="3">
        <v>13.234435</v>
      </c>
      <c r="O94" s="3">
        <v>15.477708</v>
      </c>
      <c r="P94" s="3">
        <v>15.949175</v>
      </c>
      <c r="Q94" s="3">
        <v>16.227737000000001</v>
      </c>
      <c r="R94" s="3">
        <v>16.548655</v>
      </c>
      <c r="S94" s="3">
        <v>16.509295000000002</v>
      </c>
      <c r="T94" s="3">
        <v>15.902908</v>
      </c>
      <c r="U94" s="3">
        <v>14.837268999999999</v>
      </c>
      <c r="V94" s="3">
        <v>15.758595</v>
      </c>
      <c r="W94" s="3">
        <v>14.403335999999999</v>
      </c>
      <c r="X94" s="3">
        <v>14.930246</v>
      </c>
      <c r="Y94" s="3">
        <v>15.558215000000001</v>
      </c>
      <c r="Z94" s="3">
        <v>15.599907</v>
      </c>
      <c r="AA94" s="3">
        <v>15.117374999999999</v>
      </c>
      <c r="AB94" s="3">
        <v>14.212797</v>
      </c>
      <c r="AC94" s="3">
        <v>14.927291</v>
      </c>
      <c r="AD94" s="3">
        <v>12.261445999999999</v>
      </c>
      <c r="AE94" s="3">
        <v>16.328565999999999</v>
      </c>
      <c r="AF94" s="3">
        <v>16.565878000000001</v>
      </c>
      <c r="AG94" s="3">
        <v>15.928376</v>
      </c>
      <c r="AH94" s="3">
        <v>11.966028</v>
      </c>
      <c r="AI94" s="3">
        <v>15.265140000000001</v>
      </c>
      <c r="AJ94" s="3">
        <v>14.919991</v>
      </c>
      <c r="AK94" s="3">
        <v>13.187241</v>
      </c>
      <c r="AL94" s="3">
        <v>15.031211000000001</v>
      </c>
      <c r="AM94" s="3">
        <v>16.37903</v>
      </c>
      <c r="AN94" s="3">
        <v>14.917043</v>
      </c>
      <c r="AO94" s="3">
        <v>15.457824</v>
      </c>
      <c r="AP94" s="3">
        <v>15.950011999999999</v>
      </c>
      <c r="AQ94" s="3">
        <v>15.770222</v>
      </c>
      <c r="AR94" s="3">
        <v>15.391347</v>
      </c>
      <c r="AS94" s="3">
        <v>14.879325</v>
      </c>
      <c r="AT94" s="3">
        <v>15.135916999999999</v>
      </c>
      <c r="AU94" s="3">
        <v>15.206440000000001</v>
      </c>
      <c r="AV94" s="3">
        <v>15.991776</v>
      </c>
      <c r="AW94" s="3">
        <v>15.534330000000001</v>
      </c>
      <c r="AX94" s="3">
        <v>14.791179</v>
      </c>
      <c r="AY94" s="3">
        <v>15.780409000000001</v>
      </c>
      <c r="AZ94" s="3">
        <v>14.799384</v>
      </c>
      <c r="BA94" s="3">
        <v>14.916838</v>
      </c>
      <c r="BB94" s="3">
        <v>14.079583</v>
      </c>
      <c r="BC94" s="3">
        <v>15.256195</v>
      </c>
      <c r="BD94" s="3">
        <v>15.970236</v>
      </c>
      <c r="BE94" s="3">
        <v>15.712828</v>
      </c>
      <c r="BF94" s="3">
        <v>16.153202</v>
      </c>
      <c r="BG94" s="3">
        <v>12.978410999999999</v>
      </c>
      <c r="BH94" s="3">
        <v>15.156751</v>
      </c>
      <c r="BI94" s="3">
        <v>14.594842999999999</v>
      </c>
      <c r="BJ94" s="3">
        <v>15.443391</v>
      </c>
      <c r="BK94" s="3">
        <v>16.270727000000001</v>
      </c>
      <c r="BL94" s="3">
        <v>15.969391</v>
      </c>
      <c r="BM94" s="3">
        <v>14.843946000000001</v>
      </c>
      <c r="BN94" s="3">
        <v>15.331308999999999</v>
      </c>
      <c r="BO94" s="3">
        <v>15.053694</v>
      </c>
      <c r="BP94" s="3">
        <v>15.551513</v>
      </c>
      <c r="BQ94" s="3">
        <v>15.877386</v>
      </c>
      <c r="BR94" s="3">
        <v>15.470397999999999</v>
      </c>
      <c r="BS94" s="3">
        <v>15.120614</v>
      </c>
      <c r="BT94" s="3">
        <v>13.557963000000001</v>
      </c>
      <c r="BU94" s="3">
        <v>11.578374999999999</v>
      </c>
      <c r="BV94" s="3">
        <v>15.786621999999999</v>
      </c>
      <c r="BW94" s="3">
        <v>15.167134000000001</v>
      </c>
      <c r="BX94" s="3">
        <v>15.645149999999999</v>
      </c>
      <c r="BY94" s="3">
        <v>14.049749</v>
      </c>
      <c r="BZ94" s="3">
        <v>14.94952</v>
      </c>
      <c r="CA94" s="3">
        <v>15.645334</v>
      </c>
      <c r="CB94" s="3">
        <v>16.001656000000001</v>
      </c>
      <c r="CC94" s="3">
        <v>15.93736</v>
      </c>
      <c r="CD94" s="3">
        <v>15.308948000000001</v>
      </c>
      <c r="CE94" s="3">
        <v>16.200256</v>
      </c>
      <c r="CF94" s="3">
        <v>12.805344</v>
      </c>
      <c r="CG94" s="3">
        <v>14.819447</v>
      </c>
      <c r="CH94" s="3">
        <v>14.419324</v>
      </c>
      <c r="CI94" s="3">
        <v>15.069288999999999</v>
      </c>
      <c r="CJ94" s="3">
        <v>16.468084000000001</v>
      </c>
      <c r="CK94" s="3">
        <v>16.551981000000001</v>
      </c>
      <c r="CL94" s="3">
        <v>16.505759999999999</v>
      </c>
      <c r="CM94" s="3">
        <v>16.393232000000001</v>
      </c>
      <c r="CN94" s="3">
        <v>15.658355</v>
      </c>
      <c r="CO94" s="3">
        <v>15.761922</v>
      </c>
      <c r="CP94" s="3">
        <v>15.644705</v>
      </c>
      <c r="CQ94" s="3">
        <v>15.382376000000001</v>
      </c>
      <c r="CR94" s="3">
        <v>16.301324999999999</v>
      </c>
      <c r="CS94" s="3">
        <v>15.801572</v>
      </c>
      <c r="CT94" s="3">
        <v>14.999259</v>
      </c>
      <c r="CU94" s="3">
        <v>15.80757</v>
      </c>
      <c r="CV94" s="3">
        <v>14.736205999999999</v>
      </c>
      <c r="CW94" s="3">
        <v>13.28214</v>
      </c>
      <c r="CX94" s="3">
        <v>13.665842</v>
      </c>
      <c r="CY94" s="3">
        <v>14.362983</v>
      </c>
      <c r="CZ94" s="3">
        <v>16.321005</v>
      </c>
      <c r="DA94" s="3">
        <v>16.637177999999999</v>
      </c>
      <c r="DB94" s="3">
        <v>15.576838</v>
      </c>
      <c r="DC94" s="3">
        <v>15.512337</v>
      </c>
      <c r="DD94" s="3">
        <v>16.213643999999999</v>
      </c>
      <c r="DE94" s="3">
        <v>13.078799999999999</v>
      </c>
      <c r="DF94" s="3">
        <v>12.387627</v>
      </c>
      <c r="DG94" s="3">
        <v>15.650441000000001</v>
      </c>
      <c r="DH94" s="3">
        <v>11.616479</v>
      </c>
      <c r="DI94" s="3"/>
      <c r="DJ94" s="3"/>
      <c r="DM94" s="3"/>
      <c r="DN94" s="3"/>
      <c r="DP94" s="3"/>
      <c r="DQ94" s="3"/>
      <c r="DR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2026-03-05T18:51:34Z</dcterms:modified>
</cp:coreProperties>
</file>