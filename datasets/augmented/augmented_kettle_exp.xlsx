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augmented/"/>
    </mc:Choice>
  </mc:AlternateContent>
  <xr:revisionPtr revIDLastSave="0" documentId="13_ncr:1_{76412352-0F3F-F84D-AA3B-0713BE2230EE}" xr6:coauthVersionLast="47" xr6:coauthVersionMax="47" xr10:uidLastSave="{00000000-0000-0000-0000-000000000000}"/>
  <bookViews>
    <workbookView xWindow="1960" yWindow="1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" i="1" l="1"/>
  <c r="G14" i="1"/>
  <c r="H14" i="1"/>
  <c r="I14" i="1"/>
  <c r="J14" i="1"/>
  <c r="K14" i="1"/>
  <c r="F16" i="1"/>
  <c r="G16" i="1"/>
  <c r="H16" i="1"/>
  <c r="I16" i="1"/>
  <c r="J16" i="1"/>
  <c r="K16" i="1"/>
  <c r="F18" i="1"/>
  <c r="G18" i="1"/>
  <c r="H18" i="1"/>
  <c r="I18" i="1"/>
  <c r="J18" i="1"/>
  <c r="K18" i="1"/>
  <c r="K48" i="1"/>
  <c r="J48" i="1"/>
  <c r="I48" i="1"/>
  <c r="H48" i="1"/>
  <c r="G48" i="1"/>
  <c r="F48" i="1"/>
  <c r="K46" i="1"/>
  <c r="J46" i="1"/>
  <c r="I46" i="1"/>
  <c r="H46" i="1"/>
  <c r="G46" i="1"/>
  <c r="F46" i="1"/>
  <c r="K44" i="1"/>
  <c r="J44" i="1"/>
  <c r="I44" i="1"/>
  <c r="H44" i="1"/>
  <c r="G44" i="1"/>
  <c r="F44" i="1"/>
  <c r="K42" i="1"/>
  <c r="J42" i="1"/>
  <c r="I42" i="1"/>
  <c r="H42" i="1"/>
  <c r="G42" i="1"/>
  <c r="F42" i="1"/>
  <c r="K40" i="1"/>
  <c r="J40" i="1"/>
  <c r="I40" i="1"/>
  <c r="H40" i="1"/>
  <c r="G40" i="1"/>
  <c r="F40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2" i="1"/>
  <c r="J22" i="1"/>
  <c r="I22" i="1"/>
  <c r="H22" i="1"/>
  <c r="G22" i="1"/>
  <c r="F22" i="1"/>
  <c r="K20" i="1"/>
  <c r="J20" i="1"/>
  <c r="I20" i="1"/>
  <c r="H20" i="1"/>
  <c r="G20" i="1"/>
  <c r="F20" i="1"/>
  <c r="G7" i="1" l="1"/>
  <c r="G6" i="1"/>
  <c r="G9" i="1"/>
  <c r="G8" i="1"/>
  <c r="G10" i="1"/>
</calcChain>
</file>

<file path=xl/sharedStrings.xml><?xml version="1.0" encoding="utf-8"?>
<sst xmlns="http://schemas.openxmlformats.org/spreadsheetml/2006/main" count="78" uniqueCount="46">
  <si>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</si>
  <si>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</si>
  <si>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</si>
  <si>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</si>
  <si>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</si>
  <si>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</si>
  <si>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</si>
  <si>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</si>
  <si>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</si>
  <si>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</si>
  <si>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</si>
  <si>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</si>
  <si>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</si>
  <si>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</si>
  <si>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</si>
  <si>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</si>
  <si>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</si>
  <si>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train_synthetic: (hh_04)</t>
  </si>
  <si>
    <t>device: kettle</t>
  </si>
  <si>
    <t>buildings': 8</t>
  </si>
  <si>
    <t>start_time': '2020-01-03'</t>
  </si>
  <si>
    <t>start_time': '2020-01-31'</t>
  </si>
  <si>
    <t>buildings': 11</t>
  </si>
  <si>
    <t>start_time': '2019-12-12'</t>
  </si>
  <si>
    <t>end_time': '2019-12-29'</t>
  </si>
  <si>
    <t>buildings': 17</t>
  </si>
  <si>
    <t>start_time': '2020-01-07'</t>
  </si>
  <si>
    <t>end_time': '2020-01-31'</t>
  </si>
  <si>
    <t>reale Testdaten(hh_17):</t>
  </si>
  <si>
    <t>reale Testdaten(hh_11):</t>
  </si>
  <si>
    <t>reale Testdaten(hh_08):</t>
  </si>
  <si>
    <t>train_synthetic: (hh_01)</t>
  </si>
  <si>
    <t>train_synthetic: (hh_07)</t>
  </si>
  <si>
    <t>train_synthetic: (hh_14)</t>
  </si>
  <si>
    <t>validierung: Validation from training data (15%)</t>
  </si>
  <si>
    <t>RNN_total</t>
  </si>
  <si>
    <t>WindowGRU_total</t>
  </si>
  <si>
    <t>DAE_total</t>
  </si>
  <si>
    <t>Seq2Seq_total</t>
  </si>
  <si>
    <t>Seq2Point_total</t>
  </si>
  <si>
    <t>start_time': '2024-07-01'</t>
  </si>
  <si>
    <t>end_time': '2024-07-28'</t>
  </si>
  <si>
    <t>train: augmented_dataset.h5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</si>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</sst>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X121"/>
  <sheetViews>
    <sheetView tabSelected="1" workbookViewId="0">
      <selection activeCell="D4" sqref="D4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  <col min="25" max="25" width="11.6640625" customWidth="1"/>
  </cols>
  <sheetData>
    <row r="1" spans="1:206" x14ac:dyDescent="0.2">
      <c r="A1" s="1" t="s">
        <v>0</v>
      </c>
      <c r="D1" s="1"/>
    </row>
    <row r="2" spans="1:206" x14ac:dyDescent="0.2">
      <c r="A2" t="s">
        <v>18</v>
      </c>
    </row>
    <row r="3" spans="1:206" x14ac:dyDescent="0.2">
      <c r="A3" t="s">
        <v>42</v>
      </c>
      <c r="B3" s="2"/>
      <c r="C3" s="2"/>
      <c r="E3" s="2"/>
      <c r="F3" s="2"/>
      <c r="G3" s="2"/>
      <c r="H3" s="2"/>
      <c r="I3" s="2"/>
      <c r="J3" s="2"/>
      <c r="K3" s="2"/>
      <c r="L3" s="2"/>
      <c r="N3" s="3"/>
      <c r="O3" s="3"/>
    </row>
    <row r="4" spans="1:206" x14ac:dyDescent="0.2">
      <c r="A4" t="s">
        <v>31</v>
      </c>
      <c r="B4" s="2" t="s">
        <v>40</v>
      </c>
      <c r="C4" s="2" t="s">
        <v>41</v>
      </c>
      <c r="E4" s="2"/>
      <c r="G4" s="2"/>
      <c r="H4" s="2"/>
      <c r="I4" s="2"/>
      <c r="J4" s="3"/>
      <c r="K4" s="2"/>
      <c r="L4" s="2"/>
      <c r="M4" s="3"/>
    </row>
    <row r="5" spans="1:206" x14ac:dyDescent="0.2">
      <c r="A5" t="s">
        <v>17</v>
      </c>
      <c r="B5" s="2" t="s">
        <v>40</v>
      </c>
      <c r="C5" s="2" t="s">
        <v>41</v>
      </c>
      <c r="E5" s="2"/>
      <c r="G5" s="4" t="s">
        <v>45</v>
      </c>
      <c r="H5" s="2"/>
      <c r="I5" s="2"/>
      <c r="J5" s="3"/>
      <c r="K5" s="2"/>
      <c r="L5" s="2"/>
      <c r="M5" s="3"/>
      <c r="N5" s="3"/>
      <c r="O5" s="3"/>
    </row>
    <row r="6" spans="1:206" x14ac:dyDescent="0.2">
      <c r="A6" t="s">
        <v>32</v>
      </c>
      <c r="B6" s="2" t="s">
        <v>40</v>
      </c>
      <c r="C6" s="2" t="s">
        <v>41</v>
      </c>
      <c r="E6" s="2"/>
      <c r="F6" t="s">
        <v>35</v>
      </c>
      <c r="G6" s="3">
        <f>SUM(G14,G27,G40)/3</f>
        <v>18.542869226666671</v>
      </c>
      <c r="H6" s="3"/>
      <c r="I6" s="2"/>
      <c r="J6" s="2"/>
      <c r="K6" s="2"/>
      <c r="L6" s="2"/>
      <c r="N6" s="3"/>
      <c r="O6" s="3"/>
    </row>
    <row r="7" spans="1:206" x14ac:dyDescent="0.2">
      <c r="A7" t="s">
        <v>33</v>
      </c>
      <c r="B7" s="2" t="s">
        <v>40</v>
      </c>
      <c r="C7" s="2" t="s">
        <v>41</v>
      </c>
      <c r="E7" s="2"/>
      <c r="F7" t="s">
        <v>36</v>
      </c>
      <c r="G7" s="3">
        <f>SUM(G16,G29,G42)/3</f>
        <v>14.319437116666668</v>
      </c>
      <c r="H7" s="3"/>
      <c r="I7" s="2"/>
      <c r="J7" s="2"/>
      <c r="K7" s="2"/>
      <c r="L7" s="2"/>
      <c r="N7" s="3"/>
      <c r="O7" s="3"/>
    </row>
    <row r="8" spans="1:206" x14ac:dyDescent="0.2">
      <c r="A8" t="s">
        <v>43</v>
      </c>
      <c r="E8" s="2"/>
      <c r="F8" t="s">
        <v>37</v>
      </c>
      <c r="G8" s="3">
        <f>SUM(G18,G31,G44)/3</f>
        <v>19.573335003333337</v>
      </c>
      <c r="H8" s="3"/>
    </row>
    <row r="9" spans="1:206" x14ac:dyDescent="0.2">
      <c r="A9" t="s">
        <v>34</v>
      </c>
      <c r="B9" s="2"/>
      <c r="C9" s="2"/>
      <c r="D9" s="2"/>
      <c r="E9" s="2"/>
      <c r="F9" t="s">
        <v>38</v>
      </c>
      <c r="G9" s="3">
        <f>SUM(G20,G33,G46)/3</f>
        <v>14.285212593333334</v>
      </c>
      <c r="H9" s="3"/>
    </row>
    <row r="10" spans="1:206" x14ac:dyDescent="0.2">
      <c r="A10" t="s">
        <v>7</v>
      </c>
      <c r="F10" t="s">
        <v>39</v>
      </c>
      <c r="G10" s="3">
        <f>SUM(G22,G35,G48)/3</f>
        <v>14.979893706666665</v>
      </c>
      <c r="H10" s="3"/>
    </row>
    <row r="12" spans="1:206" x14ac:dyDescent="0.2">
      <c r="B12" t="s">
        <v>44</v>
      </c>
      <c r="D12" s="1" t="s">
        <v>30</v>
      </c>
    </row>
    <row r="13" spans="1:206" x14ac:dyDescent="0.2">
      <c r="B13" s="2" t="s">
        <v>19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6" x14ac:dyDescent="0.2">
      <c r="B14" s="2" t="s">
        <v>20</v>
      </c>
      <c r="D14" t="s">
        <v>3</v>
      </c>
      <c r="E14" t="s">
        <v>1</v>
      </c>
      <c r="F14">
        <f>COUNT(M14:GI14)</f>
        <v>100</v>
      </c>
      <c r="G14" s="3">
        <f>AVERAGE(M14:GI14)</f>
        <v>35.802194060000005</v>
      </c>
      <c r="H14" s="3">
        <f>MAX(M14:GI14)</f>
        <v>45.028576000000001</v>
      </c>
      <c r="I14" s="3">
        <f>MIN(M14:GI14)</f>
        <v>30.049852000000001</v>
      </c>
      <c r="J14" s="3">
        <f>_xlfn.STDEV.P(M14:GI14)</f>
        <v>2.9396676544017586</v>
      </c>
      <c r="K14" s="3">
        <f>_xlfn.VAR.S(M14:GI14)</f>
        <v>8.7289352710464012</v>
      </c>
      <c r="M14" s="3">
        <v>35.854641000000001</v>
      </c>
      <c r="N14" s="3">
        <v>39.457580999999998</v>
      </c>
      <c r="O14" s="3">
        <v>38.434044</v>
      </c>
      <c r="P14" s="3">
        <v>39.016025999999997</v>
      </c>
      <c r="Q14" s="3">
        <v>34.114421999999998</v>
      </c>
      <c r="R14" s="3">
        <v>35.712845000000002</v>
      </c>
      <c r="S14" s="3">
        <v>31.372796999999998</v>
      </c>
      <c r="T14" s="3">
        <v>43.584885</v>
      </c>
      <c r="U14" s="3">
        <v>39.443981000000001</v>
      </c>
      <c r="V14" s="3">
        <v>33.829548000000003</v>
      </c>
      <c r="W14" s="3">
        <v>45.028576000000001</v>
      </c>
      <c r="X14" s="3">
        <v>39.003925000000002</v>
      </c>
      <c r="Y14" s="3">
        <v>41.452423000000003</v>
      </c>
      <c r="Z14" s="3">
        <v>39.940075</v>
      </c>
      <c r="AA14" s="3">
        <v>36.440379999999998</v>
      </c>
      <c r="AB14" s="3">
        <v>30.049852000000001</v>
      </c>
      <c r="AC14" s="3">
        <v>37.624546000000002</v>
      </c>
      <c r="AD14" s="3">
        <v>36.822490999999999</v>
      </c>
      <c r="AE14" s="3">
        <v>43.06897</v>
      </c>
      <c r="AF14" s="3">
        <v>39.310310000000001</v>
      </c>
      <c r="AG14" s="3">
        <v>37.078960000000002</v>
      </c>
      <c r="AH14" s="3">
        <v>38.475864000000001</v>
      </c>
      <c r="AI14" s="3">
        <v>31.638612999999999</v>
      </c>
      <c r="AJ14" s="3">
        <v>36.389274999999998</v>
      </c>
      <c r="AK14" s="3">
        <v>36.600498000000002</v>
      </c>
      <c r="AL14" s="3">
        <v>34.39687</v>
      </c>
      <c r="AM14" s="3">
        <v>38.733997000000002</v>
      </c>
      <c r="AN14" s="3">
        <v>38.789852000000003</v>
      </c>
      <c r="AO14" s="3">
        <v>39.608814000000002</v>
      </c>
      <c r="AP14" s="3">
        <v>35.964260000000003</v>
      </c>
      <c r="AQ14" s="3">
        <v>39.892463999999997</v>
      </c>
      <c r="AR14" s="3">
        <v>40.943077000000002</v>
      </c>
      <c r="AS14" s="3">
        <v>31.119364000000001</v>
      </c>
      <c r="AT14" s="3">
        <v>37.441096999999999</v>
      </c>
      <c r="AU14" s="3">
        <v>32.185184</v>
      </c>
      <c r="AV14" s="3">
        <v>39.413673000000003</v>
      </c>
      <c r="AW14" s="3">
        <v>38.852046999999999</v>
      </c>
      <c r="AX14" s="3">
        <v>38.838954999999999</v>
      </c>
      <c r="AY14" s="3">
        <v>33.747706999999998</v>
      </c>
      <c r="AZ14" s="3">
        <v>38.525416999999997</v>
      </c>
      <c r="BA14" s="3">
        <v>36.195427000000002</v>
      </c>
      <c r="BB14" s="3">
        <v>33.172024</v>
      </c>
      <c r="BC14" s="3">
        <v>36.613010000000003</v>
      </c>
      <c r="BD14" s="3">
        <v>39.216540999999999</v>
      </c>
      <c r="BE14" s="3">
        <v>34.259045</v>
      </c>
      <c r="BF14" s="3">
        <v>31.226196000000002</v>
      </c>
      <c r="BG14" s="3">
        <v>35.439075000000003</v>
      </c>
      <c r="BH14" s="3">
        <v>32.466372999999997</v>
      </c>
      <c r="BI14" s="3">
        <v>32.968338000000003</v>
      </c>
      <c r="BJ14" s="3">
        <v>37.299221000000003</v>
      </c>
      <c r="BK14" s="3">
        <v>34.224525</v>
      </c>
      <c r="BL14" s="3">
        <v>35.173411999999999</v>
      </c>
      <c r="BM14" s="3">
        <v>35.519260000000003</v>
      </c>
      <c r="BN14" s="3">
        <v>34.975067000000003</v>
      </c>
      <c r="BO14" s="3">
        <v>34.950488999999997</v>
      </c>
      <c r="BP14" s="3">
        <v>35.277912000000001</v>
      </c>
      <c r="BQ14" s="3">
        <v>34.942711000000003</v>
      </c>
      <c r="BR14" s="3">
        <v>35.090324000000003</v>
      </c>
      <c r="BS14" s="3">
        <v>35.739745999999997</v>
      </c>
      <c r="BT14" s="3">
        <v>33.955787999999998</v>
      </c>
      <c r="BU14" s="3">
        <v>33.778778000000003</v>
      </c>
      <c r="BV14" s="3">
        <v>35.689757999999998</v>
      </c>
      <c r="BW14" s="3">
        <v>32.375221000000003</v>
      </c>
      <c r="BX14" s="3">
        <v>35.675288999999999</v>
      </c>
      <c r="BY14" s="3">
        <v>34.948878999999998</v>
      </c>
      <c r="BZ14" s="3">
        <v>33.414420999999997</v>
      </c>
      <c r="CA14" s="3">
        <v>34.510810999999997</v>
      </c>
      <c r="CB14" s="3">
        <v>34.528233</v>
      </c>
      <c r="CC14" s="3">
        <v>37.536369000000001</v>
      </c>
      <c r="CD14" s="3">
        <v>32.061653</v>
      </c>
      <c r="CE14" s="3">
        <v>30.915631999999999</v>
      </c>
      <c r="CF14" s="3">
        <v>34.416817000000002</v>
      </c>
      <c r="CG14" s="3">
        <v>36.001102000000003</v>
      </c>
      <c r="CH14" s="3">
        <v>33.055160999999998</v>
      </c>
      <c r="CI14" s="3">
        <v>35.135094000000002</v>
      </c>
      <c r="CJ14" s="3">
        <v>31.832280999999998</v>
      </c>
      <c r="CK14" s="3">
        <v>35.364269</v>
      </c>
      <c r="CL14" s="3">
        <v>31.793804000000002</v>
      </c>
      <c r="CM14" s="3">
        <v>38.096043000000002</v>
      </c>
      <c r="CN14" s="3">
        <v>39.659903999999997</v>
      </c>
      <c r="CO14" s="3">
        <v>36.621806999999997</v>
      </c>
      <c r="CP14" s="3">
        <v>36.385734999999997</v>
      </c>
      <c r="CQ14" s="3">
        <v>31.367305999999999</v>
      </c>
      <c r="CR14" s="3">
        <v>32.609848</v>
      </c>
      <c r="CS14" s="3">
        <v>34.889544999999998</v>
      </c>
      <c r="CT14" s="3">
        <v>34.008102000000001</v>
      </c>
      <c r="CU14" s="3">
        <v>37.520676000000002</v>
      </c>
      <c r="CV14" s="3">
        <v>36.522232000000002</v>
      </c>
      <c r="CW14" s="3">
        <v>35.824593</v>
      </c>
      <c r="CX14" s="3">
        <v>34.667591000000002</v>
      </c>
      <c r="CY14" s="3">
        <v>35.804543000000002</v>
      </c>
      <c r="CZ14" s="3">
        <v>30.742000999999998</v>
      </c>
      <c r="DA14" s="3">
        <v>34.730739999999997</v>
      </c>
      <c r="DB14" s="3">
        <v>37.843966999999999</v>
      </c>
      <c r="DC14" s="3">
        <v>33.004562</v>
      </c>
      <c r="DD14" s="3">
        <v>33.618060999999997</v>
      </c>
      <c r="DE14" s="3">
        <v>32.801215999999997</v>
      </c>
      <c r="DF14" s="3">
        <v>34.855862000000002</v>
      </c>
      <c r="DG14" s="3">
        <v>35.178341000000003</v>
      </c>
      <c r="DH14" s="3">
        <v>33.530369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</row>
    <row r="15" spans="1:206" x14ac:dyDescent="0.2">
      <c r="B15" s="2" t="s">
        <v>21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</row>
    <row r="16" spans="1:206" x14ac:dyDescent="0.2">
      <c r="D16" t="s">
        <v>4</v>
      </c>
      <c r="E16" t="s">
        <v>1</v>
      </c>
      <c r="F16">
        <f>COUNT(M16:GI16)</f>
        <v>100</v>
      </c>
      <c r="G16" s="3">
        <f>AVERAGE(M16:GI16)</f>
        <v>23.680541350000002</v>
      </c>
      <c r="H16" s="3">
        <f>MAX(M16:GI16)</f>
        <v>31.682713</v>
      </c>
      <c r="I16" s="3">
        <f>MIN(M16:GI16)</f>
        <v>19.648558000000001</v>
      </c>
      <c r="J16" s="3">
        <f>_xlfn.STDEV.P(M16:GI16)</f>
        <v>2.1259033540105459</v>
      </c>
      <c r="K16" s="3">
        <f>_xlfn.VAR.S(M16:GI16)</f>
        <v>4.565116232922513</v>
      </c>
      <c r="M16" s="3">
        <v>19.911511999999998</v>
      </c>
      <c r="N16" s="3">
        <v>23.475919999999999</v>
      </c>
      <c r="O16" s="3">
        <v>23.485085000000002</v>
      </c>
      <c r="P16" s="3">
        <v>27.036280000000001</v>
      </c>
      <c r="Q16" s="3">
        <v>23.001208999999999</v>
      </c>
      <c r="R16" s="3">
        <v>26.381779000000002</v>
      </c>
      <c r="S16" s="3">
        <v>23.794371000000002</v>
      </c>
      <c r="T16" s="3">
        <v>22.413502000000001</v>
      </c>
      <c r="U16" s="3">
        <v>21.814305999999998</v>
      </c>
      <c r="V16" s="3">
        <v>27.018163999999999</v>
      </c>
      <c r="W16" s="3">
        <v>22.134896999999999</v>
      </c>
      <c r="X16" s="3">
        <v>25.830317000000001</v>
      </c>
      <c r="Y16" s="3">
        <v>24.908073000000002</v>
      </c>
      <c r="Z16" s="3">
        <v>31.682713</v>
      </c>
      <c r="AA16" s="3">
        <v>27.569323000000001</v>
      </c>
      <c r="AB16" s="3">
        <v>23.230947</v>
      </c>
      <c r="AC16" s="3">
        <v>23.146277999999999</v>
      </c>
      <c r="AD16" s="3">
        <v>24.899923000000001</v>
      </c>
      <c r="AE16" s="3">
        <v>23.558605</v>
      </c>
      <c r="AF16" s="3">
        <v>22.450392000000001</v>
      </c>
      <c r="AG16" s="3">
        <v>22.647069999999999</v>
      </c>
      <c r="AH16" s="3">
        <v>23.649107000000001</v>
      </c>
      <c r="AI16" s="3">
        <v>22.500162</v>
      </c>
      <c r="AJ16" s="3">
        <v>23.612656000000001</v>
      </c>
      <c r="AK16" s="3">
        <v>25.074518000000001</v>
      </c>
      <c r="AL16" s="3">
        <v>27.173628000000001</v>
      </c>
      <c r="AM16" s="3">
        <v>21.769676</v>
      </c>
      <c r="AN16" s="3">
        <v>28.317920999999998</v>
      </c>
      <c r="AO16" s="3">
        <v>24.828769999999999</v>
      </c>
      <c r="AP16" s="3">
        <v>20.678225000000001</v>
      </c>
      <c r="AQ16" s="3">
        <v>25.012127</v>
      </c>
      <c r="AR16" s="3">
        <v>24.454639</v>
      </c>
      <c r="AS16" s="3">
        <v>20.184208000000002</v>
      </c>
      <c r="AT16" s="3">
        <v>22.993095</v>
      </c>
      <c r="AU16" s="3">
        <v>25.358398000000001</v>
      </c>
      <c r="AV16" s="3">
        <v>25.554387999999999</v>
      </c>
      <c r="AW16" s="3">
        <v>25.325500000000002</v>
      </c>
      <c r="AX16" s="3">
        <v>23.715069</v>
      </c>
      <c r="AY16" s="3">
        <v>21.776712</v>
      </c>
      <c r="AZ16" s="3">
        <v>24.884274999999999</v>
      </c>
      <c r="BA16" s="3">
        <v>23.444438999999999</v>
      </c>
      <c r="BB16" s="3">
        <v>23.459772000000001</v>
      </c>
      <c r="BC16" s="3">
        <v>24.845124999999999</v>
      </c>
      <c r="BD16" s="3">
        <v>21.977672999999999</v>
      </c>
      <c r="BE16" s="3">
        <v>21.366790999999999</v>
      </c>
      <c r="BF16" s="3">
        <v>23.428287999999998</v>
      </c>
      <c r="BG16" s="3">
        <v>21.572348000000002</v>
      </c>
      <c r="BH16" s="3">
        <v>22.865974000000001</v>
      </c>
      <c r="BI16" s="3">
        <v>24.595448000000001</v>
      </c>
      <c r="BJ16" s="3">
        <v>24.886578</v>
      </c>
      <c r="BK16" s="3">
        <v>21.811785</v>
      </c>
      <c r="BL16" s="3">
        <v>22.452712999999999</v>
      </c>
      <c r="BM16" s="3">
        <v>20.799263</v>
      </c>
      <c r="BN16" s="3">
        <v>22.694595</v>
      </c>
      <c r="BO16" s="3">
        <v>22.318279</v>
      </c>
      <c r="BP16" s="3">
        <v>20.727554000000001</v>
      </c>
      <c r="BQ16" s="3">
        <v>21.051758</v>
      </c>
      <c r="BR16" s="3">
        <v>22.288414</v>
      </c>
      <c r="BS16" s="3">
        <v>20.862455000000001</v>
      </c>
      <c r="BT16" s="3">
        <v>22.430326000000001</v>
      </c>
      <c r="BU16" s="3">
        <v>20.609825000000001</v>
      </c>
      <c r="BV16" s="3">
        <v>22.771967</v>
      </c>
      <c r="BW16" s="3">
        <v>21.951571999999999</v>
      </c>
      <c r="BX16" s="3">
        <v>24.985636</v>
      </c>
      <c r="BY16" s="3">
        <v>25.952514999999998</v>
      </c>
      <c r="BZ16" s="3">
        <v>21.788782000000001</v>
      </c>
      <c r="CA16" s="3">
        <v>22.230532</v>
      </c>
      <c r="CB16" s="3">
        <v>20.695843</v>
      </c>
      <c r="CC16" s="3">
        <v>24.049520000000001</v>
      </c>
      <c r="CD16" s="3">
        <v>25.590883000000002</v>
      </c>
      <c r="CE16" s="3">
        <v>22.924931000000001</v>
      </c>
      <c r="CF16" s="3">
        <v>25.568854999999999</v>
      </c>
      <c r="CG16" s="3">
        <v>22.534234999999999</v>
      </c>
      <c r="CH16" s="3">
        <v>24.202396</v>
      </c>
      <c r="CI16" s="3">
        <v>28.206972</v>
      </c>
      <c r="CJ16" s="3">
        <v>27.153883</v>
      </c>
      <c r="CK16" s="3">
        <v>20.629214999999999</v>
      </c>
      <c r="CL16" s="3">
        <v>23.26145</v>
      </c>
      <c r="CM16" s="3">
        <v>24.153514999999999</v>
      </c>
      <c r="CN16" s="3">
        <v>26.775869</v>
      </c>
      <c r="CO16" s="3">
        <v>25.718077000000001</v>
      </c>
      <c r="CP16" s="3">
        <v>27.444469000000002</v>
      </c>
      <c r="CQ16" s="3">
        <v>19.648558000000001</v>
      </c>
      <c r="CR16" s="3">
        <v>22.537351999999998</v>
      </c>
      <c r="CS16" s="3">
        <v>24.295845</v>
      </c>
      <c r="CT16" s="3">
        <v>23.452566000000001</v>
      </c>
      <c r="CU16" s="3">
        <v>26.133624999999999</v>
      </c>
      <c r="CV16" s="3">
        <v>23.060534000000001</v>
      </c>
      <c r="CW16" s="3">
        <v>21.987857999999999</v>
      </c>
      <c r="CX16" s="3">
        <v>21.769924</v>
      </c>
      <c r="CY16" s="3">
        <v>24.318680000000001</v>
      </c>
      <c r="CZ16" s="3">
        <v>22.924009000000002</v>
      </c>
      <c r="DA16" s="3">
        <v>22.104578</v>
      </c>
      <c r="DB16" s="3">
        <v>22.429967999999999</v>
      </c>
      <c r="DC16" s="3">
        <v>26.546679999999999</v>
      </c>
      <c r="DD16" s="3">
        <v>21.781565000000001</v>
      </c>
      <c r="DE16" s="3">
        <v>25.959503000000002</v>
      </c>
      <c r="DF16" s="3">
        <v>24.363028</v>
      </c>
      <c r="DG16" s="3">
        <v>24.987473000000001</v>
      </c>
      <c r="DH16" s="3">
        <v>23.418129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</row>
    <row r="17" spans="2:206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</row>
    <row r="18" spans="2:206" x14ac:dyDescent="0.2">
      <c r="D18" t="s">
        <v>2</v>
      </c>
      <c r="E18" t="s">
        <v>1</v>
      </c>
      <c r="F18">
        <f>COUNT(M18:GI18)</f>
        <v>100</v>
      </c>
      <c r="G18" s="3">
        <f>AVERAGE(M18:GI18)</f>
        <v>32.844453950000002</v>
      </c>
      <c r="H18" s="3">
        <f>MAX(M18:GI18)</f>
        <v>44.193680000000001</v>
      </c>
      <c r="I18" s="3">
        <f>MIN(M18:GI18)</f>
        <v>25.385688999999999</v>
      </c>
      <c r="J18" s="3">
        <f>_xlfn.STDEV.P(M18:GI18)</f>
        <v>3.5022162441929181</v>
      </c>
      <c r="K18" s="3">
        <f>_xlfn.VAR.S(M18:GI18)</f>
        <v>12.389412748574449</v>
      </c>
      <c r="M18" s="3">
        <v>35.646469000000003</v>
      </c>
      <c r="N18" s="3">
        <v>37.196525999999999</v>
      </c>
      <c r="O18" s="3">
        <v>37.711661999999997</v>
      </c>
      <c r="P18" s="3">
        <v>33.836826000000002</v>
      </c>
      <c r="Q18" s="3">
        <v>32.368533999999997</v>
      </c>
      <c r="R18" s="3">
        <v>37.805477000000003</v>
      </c>
      <c r="S18" s="3">
        <v>35.196269999999998</v>
      </c>
      <c r="T18" s="3">
        <v>34.483882999999999</v>
      </c>
      <c r="U18" s="3">
        <v>31.598789</v>
      </c>
      <c r="V18" s="3">
        <v>36.526527000000002</v>
      </c>
      <c r="W18" s="3">
        <v>36.188189999999999</v>
      </c>
      <c r="X18" s="3">
        <v>38.397666999999998</v>
      </c>
      <c r="Y18" s="3">
        <v>31.542411999999999</v>
      </c>
      <c r="Z18" s="3">
        <v>35.745444999999997</v>
      </c>
      <c r="AA18" s="3">
        <v>34.739078999999997</v>
      </c>
      <c r="AB18" s="3">
        <v>34.293914999999998</v>
      </c>
      <c r="AC18" s="3">
        <v>32.866714000000002</v>
      </c>
      <c r="AD18" s="3">
        <v>35.146526000000001</v>
      </c>
      <c r="AE18" s="3">
        <v>38.404010999999997</v>
      </c>
      <c r="AF18" s="3">
        <v>36.815627999999997</v>
      </c>
      <c r="AG18" s="3">
        <v>37.881428</v>
      </c>
      <c r="AH18" s="3">
        <v>28.899854999999999</v>
      </c>
      <c r="AI18" s="3">
        <v>31.876244</v>
      </c>
      <c r="AJ18" s="3">
        <v>28.900894000000001</v>
      </c>
      <c r="AK18" s="3">
        <v>30.458881000000002</v>
      </c>
      <c r="AL18" s="3">
        <v>32.722163999999999</v>
      </c>
      <c r="AM18" s="3">
        <v>33.936748999999999</v>
      </c>
      <c r="AN18" s="3">
        <v>28.103832000000001</v>
      </c>
      <c r="AO18" s="3">
        <v>29.115078</v>
      </c>
      <c r="AP18" s="3">
        <v>33.820636999999998</v>
      </c>
      <c r="AQ18" s="3">
        <v>34.803223000000003</v>
      </c>
      <c r="AR18" s="3">
        <v>31.326305000000001</v>
      </c>
      <c r="AS18" s="3">
        <v>29.108495999999999</v>
      </c>
      <c r="AT18" s="3">
        <v>32.040568999999998</v>
      </c>
      <c r="AU18" s="3">
        <v>28.872976000000001</v>
      </c>
      <c r="AV18" s="3">
        <v>33.623927999999999</v>
      </c>
      <c r="AW18" s="3">
        <v>30.969958999999999</v>
      </c>
      <c r="AX18" s="3">
        <v>26.339601999999999</v>
      </c>
      <c r="AY18" s="3">
        <v>29.137701</v>
      </c>
      <c r="AZ18" s="3">
        <v>28.179549999999999</v>
      </c>
      <c r="BA18" s="3">
        <v>30.319455999999999</v>
      </c>
      <c r="BB18" s="3">
        <v>29.105228</v>
      </c>
      <c r="BC18" s="3">
        <v>31.256333999999999</v>
      </c>
      <c r="BD18" s="3">
        <v>28.420764999999999</v>
      </c>
      <c r="BE18" s="3">
        <v>30.209109999999999</v>
      </c>
      <c r="BF18" s="3">
        <v>32.198929</v>
      </c>
      <c r="BG18" s="3">
        <v>32.588428</v>
      </c>
      <c r="BH18" s="3">
        <v>31.878271000000002</v>
      </c>
      <c r="BI18" s="3">
        <v>31.801625999999999</v>
      </c>
      <c r="BJ18" s="3">
        <v>26.761543</v>
      </c>
      <c r="BK18" s="3">
        <v>37.019137999999998</v>
      </c>
      <c r="BL18" s="3">
        <v>36.037604999999999</v>
      </c>
      <c r="BM18" s="3">
        <v>27.322903</v>
      </c>
      <c r="BN18" s="3">
        <v>31.115248000000001</v>
      </c>
      <c r="BO18" s="3">
        <v>39.609530999999997</v>
      </c>
      <c r="BP18" s="3">
        <v>34.518039999999999</v>
      </c>
      <c r="BQ18" s="3">
        <v>44.193680000000001</v>
      </c>
      <c r="BR18" s="3">
        <v>34.234219000000003</v>
      </c>
      <c r="BS18" s="3">
        <v>37.152729000000001</v>
      </c>
      <c r="BT18" s="3">
        <v>40.448093</v>
      </c>
      <c r="BU18" s="3">
        <v>34.585845999999997</v>
      </c>
      <c r="BV18" s="3">
        <v>28.819386000000002</v>
      </c>
      <c r="BW18" s="3">
        <v>34.488129000000001</v>
      </c>
      <c r="BX18" s="3">
        <v>28.957159000000001</v>
      </c>
      <c r="BY18" s="3">
        <v>39.687221999999998</v>
      </c>
      <c r="BZ18" s="3">
        <v>31.693939</v>
      </c>
      <c r="CA18" s="3">
        <v>30.119997000000001</v>
      </c>
      <c r="CB18" s="3">
        <v>34.319462000000001</v>
      </c>
      <c r="CC18" s="3">
        <v>37.476208</v>
      </c>
      <c r="CD18" s="3">
        <v>33.798324999999998</v>
      </c>
      <c r="CE18" s="3">
        <v>38.585926000000001</v>
      </c>
      <c r="CF18" s="3">
        <v>34.615268999999998</v>
      </c>
      <c r="CG18" s="3">
        <v>34.392223000000001</v>
      </c>
      <c r="CH18" s="3">
        <v>27.198433000000001</v>
      </c>
      <c r="CI18" s="3">
        <v>32.854481</v>
      </c>
      <c r="CJ18" s="3">
        <v>29.075911000000001</v>
      </c>
      <c r="CK18" s="3">
        <v>30.774155</v>
      </c>
      <c r="CL18" s="3">
        <v>35.612247000000004</v>
      </c>
      <c r="CM18" s="3">
        <v>32.440559</v>
      </c>
      <c r="CN18" s="3">
        <v>30.825437999999998</v>
      </c>
      <c r="CO18" s="3">
        <v>33.632683</v>
      </c>
      <c r="CP18" s="3">
        <v>34.082714000000003</v>
      </c>
      <c r="CQ18" s="3">
        <v>30.034728999999999</v>
      </c>
      <c r="CR18" s="3">
        <v>32.474888</v>
      </c>
      <c r="CS18" s="3">
        <v>37.218120999999996</v>
      </c>
      <c r="CT18" s="3">
        <v>28.765011000000001</v>
      </c>
      <c r="CU18" s="3">
        <v>28.916840000000001</v>
      </c>
      <c r="CV18" s="3">
        <v>35.721007999999998</v>
      </c>
      <c r="CW18" s="3">
        <v>34.782786999999999</v>
      </c>
      <c r="CX18" s="3">
        <v>30.467506</v>
      </c>
      <c r="CY18" s="3">
        <v>30.776197</v>
      </c>
      <c r="CZ18" s="3">
        <v>30.254883</v>
      </c>
      <c r="DA18" s="3">
        <v>31.912213999999999</v>
      </c>
      <c r="DB18" s="3">
        <v>29.89781</v>
      </c>
      <c r="DC18" s="3">
        <v>32.571697</v>
      </c>
      <c r="DD18" s="3">
        <v>31.766172000000001</v>
      </c>
      <c r="DE18" s="3">
        <v>25.385688999999999</v>
      </c>
      <c r="DF18" s="3">
        <v>32.470547000000003</v>
      </c>
      <c r="DG18" s="3">
        <v>29.192909</v>
      </c>
      <c r="DH18" s="3">
        <v>30.981178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</row>
    <row r="19" spans="2:206" x14ac:dyDescent="0.2">
      <c r="G19" s="3"/>
      <c r="H19" s="3"/>
      <c r="I19" s="3"/>
      <c r="J19" s="3"/>
      <c r="K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</row>
    <row r="20" spans="2:206" x14ac:dyDescent="0.2">
      <c r="D20" t="s">
        <v>5</v>
      </c>
      <c r="E20" t="s">
        <v>1</v>
      </c>
      <c r="F20">
        <f>COUNT(M20:GI20)</f>
        <v>100</v>
      </c>
      <c r="G20" s="3">
        <f>AVERAGE(M20:GI20)</f>
        <v>24.972784739999998</v>
      </c>
      <c r="H20" s="3">
        <f>MAX(M20:GI20)</f>
        <v>29.768038000000001</v>
      </c>
      <c r="I20" s="3">
        <f>MIN(M20:GI20)</f>
        <v>21.081223999999999</v>
      </c>
      <c r="J20" s="3">
        <f>_xlfn.STDEV.P(M20:GI20)</f>
        <v>1.6762231771837102</v>
      </c>
      <c r="K20" s="3">
        <f>_xlfn.VAR.S(M20:GI20)</f>
        <v>2.8381051916442952</v>
      </c>
      <c r="M20" s="3">
        <v>26.704547999999999</v>
      </c>
      <c r="N20" s="3">
        <v>24.327383000000001</v>
      </c>
      <c r="O20" s="3">
        <v>25.245647000000002</v>
      </c>
      <c r="P20" s="3">
        <v>24.827870999999998</v>
      </c>
      <c r="Q20" s="3">
        <v>27.307127000000001</v>
      </c>
      <c r="R20" s="3">
        <v>26.771370000000001</v>
      </c>
      <c r="S20" s="3">
        <v>24.266445000000001</v>
      </c>
      <c r="T20" s="3">
        <v>23.950277</v>
      </c>
      <c r="U20" s="3">
        <v>23.729244000000001</v>
      </c>
      <c r="V20" s="3">
        <v>24.946359999999999</v>
      </c>
      <c r="W20" s="3">
        <v>28.705967000000001</v>
      </c>
      <c r="X20" s="3">
        <v>26.346525</v>
      </c>
      <c r="Y20" s="3">
        <v>26.458165999999999</v>
      </c>
      <c r="Z20" s="3">
        <v>26.371231000000002</v>
      </c>
      <c r="AA20" s="3">
        <v>23.092402</v>
      </c>
      <c r="AB20" s="3">
        <v>25.602404</v>
      </c>
      <c r="AC20" s="3">
        <v>29.768038000000001</v>
      </c>
      <c r="AD20" s="3">
        <v>24.24803</v>
      </c>
      <c r="AE20" s="3">
        <v>22.892851</v>
      </c>
      <c r="AF20" s="3">
        <v>23.458506</v>
      </c>
      <c r="AG20" s="3">
        <v>26.821209</v>
      </c>
      <c r="AH20" s="3">
        <v>24.209827000000001</v>
      </c>
      <c r="AI20" s="3">
        <v>23.734428000000001</v>
      </c>
      <c r="AJ20" s="3">
        <v>24.303958999999999</v>
      </c>
      <c r="AK20" s="3">
        <v>26.850003999999998</v>
      </c>
      <c r="AL20" s="3">
        <v>26.447085999999999</v>
      </c>
      <c r="AM20" s="3">
        <v>22.691904000000001</v>
      </c>
      <c r="AN20" s="3">
        <v>26.220459000000002</v>
      </c>
      <c r="AO20" s="3">
        <v>21.081223999999999</v>
      </c>
      <c r="AP20" s="3">
        <v>21.842300000000002</v>
      </c>
      <c r="AQ20" s="3">
        <v>25.771775999999999</v>
      </c>
      <c r="AR20" s="3">
        <v>24.202777999999999</v>
      </c>
      <c r="AS20" s="3">
        <v>22.979697999999999</v>
      </c>
      <c r="AT20" s="3">
        <v>26.600718000000001</v>
      </c>
      <c r="AU20" s="3">
        <v>24.049292000000001</v>
      </c>
      <c r="AV20" s="3">
        <v>25.278683000000001</v>
      </c>
      <c r="AW20" s="3">
        <v>23.570011000000001</v>
      </c>
      <c r="AX20" s="3">
        <v>28.066079999999999</v>
      </c>
      <c r="AY20" s="3">
        <v>25.062897</v>
      </c>
      <c r="AZ20" s="3">
        <v>25.560649999999999</v>
      </c>
      <c r="BA20" s="3">
        <v>25.240555000000001</v>
      </c>
      <c r="BB20" s="3">
        <v>23.351531999999999</v>
      </c>
      <c r="BC20" s="3">
        <v>24.38205</v>
      </c>
      <c r="BD20" s="3">
        <v>23.764088000000001</v>
      </c>
      <c r="BE20" s="3">
        <v>26.340814999999999</v>
      </c>
      <c r="BF20" s="3">
        <v>27.051441000000001</v>
      </c>
      <c r="BG20" s="3">
        <v>25.359877000000001</v>
      </c>
      <c r="BH20" s="3">
        <v>26.076243999999999</v>
      </c>
      <c r="BI20" s="3">
        <v>24.26951</v>
      </c>
      <c r="BJ20" s="3">
        <v>26.434422000000001</v>
      </c>
      <c r="BK20" s="3">
        <v>24.108784</v>
      </c>
      <c r="BL20" s="3">
        <v>23.068279</v>
      </c>
      <c r="BM20" s="3">
        <v>27.785727000000001</v>
      </c>
      <c r="BN20" s="3">
        <v>25.934529999999999</v>
      </c>
      <c r="BO20" s="3">
        <v>24.086400999999999</v>
      </c>
      <c r="BP20" s="3">
        <v>24.144114999999999</v>
      </c>
      <c r="BQ20" s="3">
        <v>27.440052000000001</v>
      </c>
      <c r="BR20" s="3">
        <v>25.752555999999998</v>
      </c>
      <c r="BS20" s="3">
        <v>24.025217000000001</v>
      </c>
      <c r="BT20" s="3">
        <v>22.655180000000001</v>
      </c>
      <c r="BU20" s="3">
        <v>23.539244</v>
      </c>
      <c r="BV20" s="3">
        <v>24.958046</v>
      </c>
      <c r="BW20" s="3">
        <v>24.626132999999999</v>
      </c>
      <c r="BX20" s="3">
        <v>23.881758000000001</v>
      </c>
      <c r="BY20" s="3">
        <v>23.907167000000001</v>
      </c>
      <c r="BZ20" s="3">
        <v>24.289164</v>
      </c>
      <c r="CA20" s="3">
        <v>26.694962</v>
      </c>
      <c r="CB20" s="3">
        <v>29.685745000000001</v>
      </c>
      <c r="CC20" s="3">
        <v>22.852302999999999</v>
      </c>
      <c r="CD20" s="3">
        <v>23.938019000000001</v>
      </c>
      <c r="CE20" s="3">
        <v>23.838363999999999</v>
      </c>
      <c r="CF20" s="3">
        <v>24.946999000000002</v>
      </c>
      <c r="CG20" s="3">
        <v>25.923680999999998</v>
      </c>
      <c r="CH20" s="3">
        <v>25.331232</v>
      </c>
      <c r="CI20" s="3">
        <v>27.543291</v>
      </c>
      <c r="CJ20" s="3">
        <v>22.55209</v>
      </c>
      <c r="CK20" s="3">
        <v>24.879427</v>
      </c>
      <c r="CL20" s="3">
        <v>27.006595999999998</v>
      </c>
      <c r="CM20" s="3">
        <v>22.163881</v>
      </c>
      <c r="CN20" s="3">
        <v>22.825098000000001</v>
      </c>
      <c r="CO20" s="3">
        <v>25.595870999999999</v>
      </c>
      <c r="CP20" s="3">
        <v>27.299032</v>
      </c>
      <c r="CQ20" s="3">
        <v>25.232012000000001</v>
      </c>
      <c r="CR20" s="3">
        <v>26.734386000000001</v>
      </c>
      <c r="CS20" s="3">
        <v>25.216018999999999</v>
      </c>
      <c r="CT20" s="3">
        <v>23.881720000000001</v>
      </c>
      <c r="CU20" s="3">
        <v>26.011185000000001</v>
      </c>
      <c r="CV20" s="3">
        <v>25.477739</v>
      </c>
      <c r="CW20" s="3">
        <v>23.357792</v>
      </c>
      <c r="CX20" s="3">
        <v>24.381029000000002</v>
      </c>
      <c r="CY20" s="3">
        <v>25.037407000000002</v>
      </c>
      <c r="CZ20" s="3">
        <v>22.824831</v>
      </c>
      <c r="DA20" s="3">
        <v>24.450607000000002</v>
      </c>
      <c r="DB20" s="3">
        <v>25.343985</v>
      </c>
      <c r="DC20" s="3">
        <v>22.222422000000002</v>
      </c>
      <c r="DD20" s="3">
        <v>23.666537999999999</v>
      </c>
      <c r="DE20" s="3">
        <v>27.316431000000001</v>
      </c>
      <c r="DF20" s="3">
        <v>24.987099000000001</v>
      </c>
      <c r="DG20" s="3">
        <v>23.454393</v>
      </c>
      <c r="DH20" s="3">
        <v>23.768025999999999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</row>
    <row r="21" spans="2:206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</row>
    <row r="22" spans="2:206" x14ac:dyDescent="0.2">
      <c r="D22" t="s">
        <v>6</v>
      </c>
      <c r="E22" t="s">
        <v>1</v>
      </c>
      <c r="F22">
        <f>COUNT(M22:GI22)</f>
        <v>100</v>
      </c>
      <c r="G22" s="3">
        <f>AVERAGE(M22:GI22)</f>
        <v>26.333168869999998</v>
      </c>
      <c r="H22" s="3">
        <f>MAX(M22:GI22)</f>
        <v>33.571564000000002</v>
      </c>
      <c r="I22" s="3">
        <f>MIN(M22:GI22)</f>
        <v>21.837707999999999</v>
      </c>
      <c r="J22" s="3">
        <f>_xlfn.STDEV.P(M22:GI22)</f>
        <v>2.4815659178637821</v>
      </c>
      <c r="K22" s="3">
        <f>_xlfn.VAR.S(M22:GI22)</f>
        <v>6.2203731360637518</v>
      </c>
      <c r="M22" s="3">
        <v>24.203807999999999</v>
      </c>
      <c r="N22" s="3">
        <v>29.522303000000001</v>
      </c>
      <c r="O22" s="3">
        <v>25.215928999999999</v>
      </c>
      <c r="P22" s="3">
        <v>22.688438000000001</v>
      </c>
      <c r="Q22" s="3">
        <v>30.055724999999999</v>
      </c>
      <c r="R22" s="3">
        <v>26.767714999999999</v>
      </c>
      <c r="S22" s="3">
        <v>24.789027999999998</v>
      </c>
      <c r="T22" s="3">
        <v>33.571564000000002</v>
      </c>
      <c r="U22" s="3">
        <v>22.660520999999999</v>
      </c>
      <c r="V22" s="3">
        <v>30.685345000000002</v>
      </c>
      <c r="W22" s="3">
        <v>27.673165999999998</v>
      </c>
      <c r="X22" s="3">
        <v>27.564487</v>
      </c>
      <c r="Y22" s="3">
        <v>22.909678</v>
      </c>
      <c r="Z22" s="3">
        <v>26.436792000000001</v>
      </c>
      <c r="AA22" s="3">
        <v>27.562283999999998</v>
      </c>
      <c r="AB22" s="3">
        <v>28.317722</v>
      </c>
      <c r="AC22" s="3">
        <v>25.084157999999999</v>
      </c>
      <c r="AD22" s="3">
        <v>31.704619999999998</v>
      </c>
      <c r="AE22" s="3">
        <v>23.435482</v>
      </c>
      <c r="AF22" s="3">
        <v>29.910623999999999</v>
      </c>
      <c r="AG22" s="3">
        <v>25.057183999999999</v>
      </c>
      <c r="AH22" s="3">
        <v>31.015877</v>
      </c>
      <c r="AI22" s="3">
        <v>29.204547999999999</v>
      </c>
      <c r="AJ22" s="3">
        <v>26.758762000000001</v>
      </c>
      <c r="AK22" s="3">
        <v>26.419411</v>
      </c>
      <c r="AL22" s="3">
        <v>23.078074999999998</v>
      </c>
      <c r="AM22" s="3">
        <v>26.661370999999999</v>
      </c>
      <c r="AN22" s="3">
        <v>25.190731</v>
      </c>
      <c r="AO22" s="3">
        <v>22.235029000000001</v>
      </c>
      <c r="AP22" s="3">
        <v>27.923010000000001</v>
      </c>
      <c r="AQ22" s="3">
        <v>24.388767000000001</v>
      </c>
      <c r="AR22" s="3">
        <v>26.621683000000001</v>
      </c>
      <c r="AS22" s="3">
        <v>25.079048</v>
      </c>
      <c r="AT22" s="3">
        <v>26.481242999999999</v>
      </c>
      <c r="AU22" s="3">
        <v>25.761557</v>
      </c>
      <c r="AV22" s="3">
        <v>24.168146</v>
      </c>
      <c r="AW22" s="3">
        <v>28.896172</v>
      </c>
      <c r="AX22" s="3">
        <v>26.085096</v>
      </c>
      <c r="AY22" s="3">
        <v>27.517433</v>
      </c>
      <c r="AZ22" s="3">
        <v>23.28471</v>
      </c>
      <c r="BA22" s="3">
        <v>27.195753</v>
      </c>
      <c r="BB22" s="3">
        <v>24.259281000000001</v>
      </c>
      <c r="BC22" s="3">
        <v>25.758108</v>
      </c>
      <c r="BD22" s="3">
        <v>28.928293</v>
      </c>
      <c r="BE22" s="3">
        <v>25.499641</v>
      </c>
      <c r="BF22" s="3">
        <v>29.196152000000001</v>
      </c>
      <c r="BG22" s="3">
        <v>23.823153000000001</v>
      </c>
      <c r="BH22" s="3">
        <v>30.765799000000001</v>
      </c>
      <c r="BI22" s="3">
        <v>27.415479999999999</v>
      </c>
      <c r="BJ22" s="3">
        <v>26.508569999999999</v>
      </c>
      <c r="BK22" s="3">
        <v>25.942233999999999</v>
      </c>
      <c r="BL22" s="3">
        <v>28.717236</v>
      </c>
      <c r="BM22" s="3">
        <v>22.688095000000001</v>
      </c>
      <c r="BN22" s="3">
        <v>27.511704999999999</v>
      </c>
      <c r="BO22" s="3">
        <v>30.174935999999999</v>
      </c>
      <c r="BP22" s="3">
        <v>25.346613000000001</v>
      </c>
      <c r="BQ22" s="3">
        <v>25.144053</v>
      </c>
      <c r="BR22" s="3">
        <v>28.125762999999999</v>
      </c>
      <c r="BS22" s="3">
        <v>26.311647000000001</v>
      </c>
      <c r="BT22" s="3">
        <v>28.263701999999999</v>
      </c>
      <c r="BU22" s="3">
        <v>23.905176000000001</v>
      </c>
      <c r="BV22" s="3">
        <v>27.767204</v>
      </c>
      <c r="BW22" s="3">
        <v>27.215408</v>
      </c>
      <c r="BX22" s="3">
        <v>22.014841000000001</v>
      </c>
      <c r="BY22" s="3">
        <v>23.873449000000001</v>
      </c>
      <c r="BZ22" s="3">
        <v>22.409399000000001</v>
      </c>
      <c r="CA22" s="3">
        <v>23.680720999999998</v>
      </c>
      <c r="CB22" s="3">
        <v>24.112314000000001</v>
      </c>
      <c r="CC22" s="3">
        <v>25.144093000000002</v>
      </c>
      <c r="CD22" s="3">
        <v>27.870594000000001</v>
      </c>
      <c r="CE22" s="3">
        <v>29.180016999999999</v>
      </c>
      <c r="CF22" s="3">
        <v>26.655508000000001</v>
      </c>
      <c r="CG22" s="3">
        <v>24.873913000000002</v>
      </c>
      <c r="CH22" s="3">
        <v>24.522570000000002</v>
      </c>
      <c r="CI22" s="3">
        <v>29.040226000000001</v>
      </c>
      <c r="CJ22" s="3">
        <v>27.997458999999999</v>
      </c>
      <c r="CK22" s="3">
        <v>24.146889000000002</v>
      </c>
      <c r="CL22" s="3">
        <v>23.689119000000002</v>
      </c>
      <c r="CM22" s="3">
        <v>25.844653999999998</v>
      </c>
      <c r="CN22" s="3">
        <v>26.025404000000002</v>
      </c>
      <c r="CO22" s="3">
        <v>23.687370000000001</v>
      </c>
      <c r="CP22" s="3">
        <v>25.146692000000002</v>
      </c>
      <c r="CQ22" s="3">
        <v>29.392313000000001</v>
      </c>
      <c r="CR22" s="3">
        <v>28.473756999999999</v>
      </c>
      <c r="CS22" s="3">
        <v>27.567875000000001</v>
      </c>
      <c r="CT22" s="3">
        <v>23.416815</v>
      </c>
      <c r="CU22" s="3">
        <v>25.585688000000001</v>
      </c>
      <c r="CV22" s="3">
        <v>30.131883999999999</v>
      </c>
      <c r="CW22" s="3">
        <v>25.299486000000002</v>
      </c>
      <c r="CX22" s="3">
        <v>24.865680999999999</v>
      </c>
      <c r="CY22" s="3">
        <v>26.092768</v>
      </c>
      <c r="CZ22" s="3">
        <v>29.518913000000001</v>
      </c>
      <c r="DA22" s="3">
        <v>25.896059000000001</v>
      </c>
      <c r="DB22" s="3">
        <v>22.574508999999999</v>
      </c>
      <c r="DC22" s="3">
        <v>28.317655999999999</v>
      </c>
      <c r="DD22" s="3">
        <v>22.114096</v>
      </c>
      <c r="DE22" s="3">
        <v>21.837707999999999</v>
      </c>
      <c r="DF22" s="3">
        <v>29.569319</v>
      </c>
      <c r="DG22" s="3">
        <v>27.519653000000002</v>
      </c>
      <c r="DH22" s="3">
        <v>26.176231000000001</v>
      </c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</row>
    <row r="23" spans="2:206" x14ac:dyDescent="0.2"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</row>
    <row r="24" spans="2:206" x14ac:dyDescent="0.2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</row>
    <row r="25" spans="2:206" x14ac:dyDescent="0.2">
      <c r="D25" s="1"/>
      <c r="O25" s="3"/>
    </row>
    <row r="26" spans="2:206" x14ac:dyDescent="0.2">
      <c r="B26" t="s">
        <v>44</v>
      </c>
      <c r="D26" s="1" t="s">
        <v>29</v>
      </c>
    </row>
    <row r="27" spans="2:206" x14ac:dyDescent="0.2">
      <c r="B27" s="2" t="s">
        <v>22</v>
      </c>
      <c r="D27" t="s">
        <v>3</v>
      </c>
      <c r="E27" t="s">
        <v>1</v>
      </c>
      <c r="F27">
        <f>COUNT(M27:GI27)</f>
        <v>100</v>
      </c>
      <c r="G27" s="3">
        <f>AVERAGE(M27:GI27)</f>
        <v>10.385718560000001</v>
      </c>
      <c r="H27" s="3">
        <f>MAX(M27:GI27)</f>
        <v>15.353985</v>
      </c>
      <c r="I27" s="3">
        <f>MIN(M27:GI27)</f>
        <v>8.2868259999999996</v>
      </c>
      <c r="J27" s="3">
        <f>_xlfn.STDEV.P(M27:GI27)</f>
        <v>1.3726050402198791</v>
      </c>
      <c r="K27" s="3">
        <f>_xlfn.VAR.S(M27:GI27)</f>
        <v>1.9030753499363611</v>
      </c>
      <c r="M27" s="3">
        <v>9.890307</v>
      </c>
      <c r="N27" s="3">
        <v>14.180495000000001</v>
      </c>
      <c r="O27" s="3">
        <v>10.342162</v>
      </c>
      <c r="P27" s="3">
        <v>10.193098000000001</v>
      </c>
      <c r="Q27" s="3">
        <v>9.1609049999999996</v>
      </c>
      <c r="R27" s="3">
        <v>11.569296</v>
      </c>
      <c r="S27" s="3">
        <v>9.1117410000000003</v>
      </c>
      <c r="T27" s="3">
        <v>11.038040000000001</v>
      </c>
      <c r="U27" s="3">
        <v>11.982903</v>
      </c>
      <c r="V27" s="3">
        <v>9.7594290000000008</v>
      </c>
      <c r="W27" s="3">
        <v>10.605278</v>
      </c>
      <c r="X27" s="3">
        <v>11.81171</v>
      </c>
      <c r="Y27" s="3">
        <v>11.052382</v>
      </c>
      <c r="Z27" s="3">
        <v>11.709291</v>
      </c>
      <c r="AA27" s="3">
        <v>9.4148409999999991</v>
      </c>
      <c r="AB27" s="3">
        <v>8.6360650000000003</v>
      </c>
      <c r="AC27" s="3">
        <v>13.127928000000001</v>
      </c>
      <c r="AD27" s="3">
        <v>9.7220150000000007</v>
      </c>
      <c r="AE27" s="3">
        <v>10.860912000000001</v>
      </c>
      <c r="AF27" s="3">
        <v>9.773828</v>
      </c>
      <c r="AG27" s="3">
        <v>10.774403</v>
      </c>
      <c r="AH27" s="3">
        <v>13.406409999999999</v>
      </c>
      <c r="AI27" s="3">
        <v>8.6052400000000002</v>
      </c>
      <c r="AJ27" s="3">
        <v>15.353985</v>
      </c>
      <c r="AK27" s="3">
        <v>9.2282869999999999</v>
      </c>
      <c r="AL27" s="3">
        <v>9.8718850000000007</v>
      </c>
      <c r="AM27" s="3">
        <v>10.855949000000001</v>
      </c>
      <c r="AN27" s="3">
        <v>8.7367690000000007</v>
      </c>
      <c r="AO27" s="3">
        <v>13.497752999999999</v>
      </c>
      <c r="AP27" s="3">
        <v>9.5784610000000008</v>
      </c>
      <c r="AQ27" s="3">
        <v>13.447639000000001</v>
      </c>
      <c r="AR27" s="3">
        <v>13.79355</v>
      </c>
      <c r="AS27" s="3">
        <v>9.1704509999999999</v>
      </c>
      <c r="AT27" s="3">
        <v>12.567988</v>
      </c>
      <c r="AU27" s="3">
        <v>9.2634039999999995</v>
      </c>
      <c r="AV27" s="3">
        <v>10.193732000000001</v>
      </c>
      <c r="AW27" s="3">
        <v>14.794715</v>
      </c>
      <c r="AX27" s="3">
        <v>11.602344</v>
      </c>
      <c r="AY27" s="3">
        <v>10.248991999999999</v>
      </c>
      <c r="AZ27" s="3">
        <v>10.469013</v>
      </c>
      <c r="BA27" s="3">
        <v>11.265691</v>
      </c>
      <c r="BB27" s="3">
        <v>9.7365969999999997</v>
      </c>
      <c r="BC27" s="3">
        <v>10.189361</v>
      </c>
      <c r="BD27" s="3">
        <v>9.4362510000000004</v>
      </c>
      <c r="BE27" s="3">
        <v>9.0919249999999998</v>
      </c>
      <c r="BF27" s="3">
        <v>8.3947929999999999</v>
      </c>
      <c r="BG27" s="3">
        <v>9.0605550000000008</v>
      </c>
      <c r="BH27" s="3">
        <v>9.1550049999999992</v>
      </c>
      <c r="BI27" s="3">
        <v>9.4078669999999995</v>
      </c>
      <c r="BJ27" s="3">
        <v>10.254617</v>
      </c>
      <c r="BK27" s="3">
        <v>11.740424000000001</v>
      </c>
      <c r="BL27" s="3">
        <v>9.7616429999999994</v>
      </c>
      <c r="BM27" s="3">
        <v>9.7529050000000002</v>
      </c>
      <c r="BN27" s="3">
        <v>9.6594560000000005</v>
      </c>
      <c r="BO27" s="3">
        <v>10.564301</v>
      </c>
      <c r="BP27" s="3">
        <v>9.9773119999999995</v>
      </c>
      <c r="BQ27" s="3">
        <v>9.4673060000000007</v>
      </c>
      <c r="BR27" s="3">
        <v>8.6973719999999997</v>
      </c>
      <c r="BS27" s="3">
        <v>9.9910549999999994</v>
      </c>
      <c r="BT27" s="3">
        <v>9.8154520000000005</v>
      </c>
      <c r="BU27" s="3">
        <v>10.144629999999999</v>
      </c>
      <c r="BV27" s="3">
        <v>9.6904029999999999</v>
      </c>
      <c r="BW27" s="3">
        <v>9.7016390000000001</v>
      </c>
      <c r="BX27" s="3">
        <v>11.763493</v>
      </c>
      <c r="BY27" s="3">
        <v>9.2327259999999995</v>
      </c>
      <c r="BZ27" s="3">
        <v>9.6167909999999992</v>
      </c>
      <c r="CA27" s="3">
        <v>10.76169</v>
      </c>
      <c r="CB27" s="3">
        <v>10.620858</v>
      </c>
      <c r="CC27" s="3">
        <v>10.045394999999999</v>
      </c>
      <c r="CD27" s="3">
        <v>9.1564949999999996</v>
      </c>
      <c r="CE27" s="3">
        <v>9.3215690000000002</v>
      </c>
      <c r="CF27" s="3">
        <v>9.6857629999999997</v>
      </c>
      <c r="CG27" s="3">
        <v>9.9972440000000002</v>
      </c>
      <c r="CH27" s="3">
        <v>11.230088</v>
      </c>
      <c r="CI27" s="3">
        <v>9.672288</v>
      </c>
      <c r="CJ27" s="3">
        <v>9.5058559999999996</v>
      </c>
      <c r="CK27" s="3">
        <v>10.892080999999999</v>
      </c>
      <c r="CL27" s="3">
        <v>9.9243620000000004</v>
      </c>
      <c r="CM27" s="3">
        <v>10.103726</v>
      </c>
      <c r="CN27" s="3">
        <v>11.34525</v>
      </c>
      <c r="CO27" s="3">
        <v>10.562467</v>
      </c>
      <c r="CP27" s="3">
        <v>10.442824999999999</v>
      </c>
      <c r="CQ27" s="3">
        <v>10.391887000000001</v>
      </c>
      <c r="CR27" s="3">
        <v>10.388890999999999</v>
      </c>
      <c r="CS27" s="3">
        <v>9.0958400000000008</v>
      </c>
      <c r="CT27" s="3">
        <v>10.281908</v>
      </c>
      <c r="CU27" s="3">
        <v>11.325727000000001</v>
      </c>
      <c r="CV27" s="3">
        <v>9.7004439999999992</v>
      </c>
      <c r="CW27" s="3">
        <v>10.372821999999999</v>
      </c>
      <c r="CX27" s="3">
        <v>9.2377959999999995</v>
      </c>
      <c r="CY27" s="3">
        <v>10.576646</v>
      </c>
      <c r="CZ27" s="3">
        <v>9.7995160000000006</v>
      </c>
      <c r="DA27" s="3">
        <v>9.6438679999999994</v>
      </c>
      <c r="DB27" s="3">
        <v>10.806581</v>
      </c>
      <c r="DC27" s="3">
        <v>8.6829520000000002</v>
      </c>
      <c r="DD27" s="3">
        <v>11.492519</v>
      </c>
      <c r="DE27" s="3">
        <v>11.134836999999999</v>
      </c>
      <c r="DF27" s="3">
        <v>8.2868259999999996</v>
      </c>
      <c r="DG27" s="3">
        <v>9.7955480000000001</v>
      </c>
      <c r="DH27" s="3">
        <v>9.3161249999999995</v>
      </c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</row>
    <row r="28" spans="2:206" x14ac:dyDescent="0.2">
      <c r="B28" s="2" t="s">
        <v>23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</row>
    <row r="29" spans="2:206" x14ac:dyDescent="0.2">
      <c r="B29" s="2" t="s">
        <v>24</v>
      </c>
      <c r="D29" t="s">
        <v>4</v>
      </c>
      <c r="E29" t="s">
        <v>1</v>
      </c>
      <c r="F29">
        <f>COUNT(M29:GI29)</f>
        <v>100</v>
      </c>
      <c r="G29" s="3">
        <f>AVERAGE(M29:GI29)</f>
        <v>9.0969655800000009</v>
      </c>
      <c r="H29" s="3">
        <f>MAX(M29:GI29)</f>
        <v>14.558192999999999</v>
      </c>
      <c r="I29" s="3">
        <f>MIN(M29:GI29)</f>
        <v>5.8063339999999997</v>
      </c>
      <c r="J29" s="3">
        <f>_xlfn.STDEV.P(M29:GI29)</f>
        <v>1.8254321468946801</v>
      </c>
      <c r="K29" s="3">
        <f>_xlfn.VAR.S(M29:GI29)</f>
        <v>3.3658611342591138</v>
      </c>
      <c r="M29" s="3">
        <v>7.5777080000000003</v>
      </c>
      <c r="N29" s="3">
        <v>8.5171100000000006</v>
      </c>
      <c r="O29" s="3">
        <v>6.8030759999999999</v>
      </c>
      <c r="P29" s="3">
        <v>9.2191200000000002</v>
      </c>
      <c r="Q29" s="3">
        <v>7.7959839999999998</v>
      </c>
      <c r="R29" s="3">
        <v>9.3843979999999991</v>
      </c>
      <c r="S29" s="3">
        <v>7.0249319999999997</v>
      </c>
      <c r="T29" s="3">
        <v>8.7388530000000006</v>
      </c>
      <c r="U29" s="3">
        <v>8.8504550000000002</v>
      </c>
      <c r="V29" s="3">
        <v>10.309533</v>
      </c>
      <c r="W29" s="3">
        <v>7.8190850000000003</v>
      </c>
      <c r="X29" s="3">
        <v>11.498215</v>
      </c>
      <c r="Y29" s="3">
        <v>10.169154000000001</v>
      </c>
      <c r="Z29" s="3">
        <v>10.335834999999999</v>
      </c>
      <c r="AA29" s="3">
        <v>12.154467</v>
      </c>
      <c r="AB29" s="3">
        <v>8.4403100000000002</v>
      </c>
      <c r="AC29" s="3">
        <v>9.1429039999999997</v>
      </c>
      <c r="AD29" s="3">
        <v>9.68886</v>
      </c>
      <c r="AE29" s="3">
        <v>8.6464219999999994</v>
      </c>
      <c r="AF29" s="3">
        <v>7.6339750000000004</v>
      </c>
      <c r="AG29" s="3">
        <v>7.2183650000000004</v>
      </c>
      <c r="AH29" s="3">
        <v>7.8814460000000004</v>
      </c>
      <c r="AI29" s="3">
        <v>7.6391450000000001</v>
      </c>
      <c r="AJ29" s="3">
        <v>7.2912140000000001</v>
      </c>
      <c r="AK29" s="3">
        <v>13.468425999999999</v>
      </c>
      <c r="AL29" s="3">
        <v>9.8378479999999993</v>
      </c>
      <c r="AM29" s="3">
        <v>5.8063339999999997</v>
      </c>
      <c r="AN29" s="3">
        <v>10.970762000000001</v>
      </c>
      <c r="AO29" s="3">
        <v>6.8131110000000001</v>
      </c>
      <c r="AP29" s="3">
        <v>7.1679139999999997</v>
      </c>
      <c r="AQ29" s="3">
        <v>10.902373000000001</v>
      </c>
      <c r="AR29" s="3">
        <v>7.0510299999999999</v>
      </c>
      <c r="AS29" s="3">
        <v>6.3813570000000004</v>
      </c>
      <c r="AT29" s="3">
        <v>6.013115</v>
      </c>
      <c r="AU29" s="3">
        <v>11.036114</v>
      </c>
      <c r="AV29" s="3">
        <v>11.119230999999999</v>
      </c>
      <c r="AW29" s="3">
        <v>11.730900999999999</v>
      </c>
      <c r="AX29" s="3">
        <v>7.9243439999999996</v>
      </c>
      <c r="AY29" s="3">
        <v>9.3642339999999997</v>
      </c>
      <c r="AZ29" s="3">
        <v>11.962349</v>
      </c>
      <c r="BA29" s="3">
        <v>8.3080660000000002</v>
      </c>
      <c r="BB29" s="3">
        <v>8.6936590000000002</v>
      </c>
      <c r="BC29" s="3">
        <v>9.7929580000000005</v>
      </c>
      <c r="BD29" s="3">
        <v>8.7621000000000002</v>
      </c>
      <c r="BE29" s="3">
        <v>7.9558450000000001</v>
      </c>
      <c r="BF29" s="3">
        <v>8.1038809999999994</v>
      </c>
      <c r="BG29" s="3">
        <v>7.3339369999999997</v>
      </c>
      <c r="BH29" s="3">
        <v>8.7679139999999993</v>
      </c>
      <c r="BI29" s="3">
        <v>12.115957</v>
      </c>
      <c r="BJ29" s="3">
        <v>11.332890000000001</v>
      </c>
      <c r="BK29" s="3">
        <v>8.1454939999999993</v>
      </c>
      <c r="BL29" s="3">
        <v>9.8990229999999997</v>
      </c>
      <c r="BM29" s="3">
        <v>7.5782619999999996</v>
      </c>
      <c r="BN29" s="3">
        <v>9.0087089999999996</v>
      </c>
      <c r="BO29" s="3">
        <v>9.8151229999999998</v>
      </c>
      <c r="BP29" s="3">
        <v>7.4280499999999998</v>
      </c>
      <c r="BQ29" s="3">
        <v>7.2270370000000002</v>
      </c>
      <c r="BR29" s="3">
        <v>8.7458580000000001</v>
      </c>
      <c r="BS29" s="3">
        <v>10.295942</v>
      </c>
      <c r="BT29" s="3">
        <v>10.092292</v>
      </c>
      <c r="BU29" s="3">
        <v>8.5291910000000009</v>
      </c>
      <c r="BV29" s="3">
        <v>6.9281550000000003</v>
      </c>
      <c r="BW29" s="3">
        <v>7.0727270000000004</v>
      </c>
      <c r="BX29" s="3">
        <v>10.885789000000001</v>
      </c>
      <c r="BY29" s="3">
        <v>12.555474999999999</v>
      </c>
      <c r="BZ29" s="3">
        <v>7.8040469999999997</v>
      </c>
      <c r="CA29" s="3">
        <v>6.0200979999999999</v>
      </c>
      <c r="CB29" s="3">
        <v>10.803982</v>
      </c>
      <c r="CC29" s="3">
        <v>6.8132200000000003</v>
      </c>
      <c r="CD29" s="3">
        <v>9.8173999999999992</v>
      </c>
      <c r="CE29" s="3">
        <v>7.4494499999999997</v>
      </c>
      <c r="CF29" s="3">
        <v>10.719277999999999</v>
      </c>
      <c r="CG29" s="3">
        <v>9.0581329999999998</v>
      </c>
      <c r="CH29" s="3">
        <v>10.010471000000001</v>
      </c>
      <c r="CI29" s="3">
        <v>14.558192999999999</v>
      </c>
      <c r="CJ29" s="3">
        <v>12.123250000000001</v>
      </c>
      <c r="CK29" s="3">
        <v>8.4707950000000007</v>
      </c>
      <c r="CL29" s="3">
        <v>7.1901979999999996</v>
      </c>
      <c r="CM29" s="3">
        <v>10.190856</v>
      </c>
      <c r="CN29" s="3">
        <v>9.7478189999999998</v>
      </c>
      <c r="CO29" s="3">
        <v>8.7733100000000004</v>
      </c>
      <c r="CP29" s="3">
        <v>9.464696</v>
      </c>
      <c r="CQ29" s="3">
        <v>7.510961</v>
      </c>
      <c r="CR29" s="3">
        <v>10.180650999999999</v>
      </c>
      <c r="CS29" s="3">
        <v>11.913565999999999</v>
      </c>
      <c r="CT29" s="3">
        <v>11.692659000000001</v>
      </c>
      <c r="CU29" s="3">
        <v>9.0475530000000006</v>
      </c>
      <c r="CV29" s="3">
        <v>7.7896029999999996</v>
      </c>
      <c r="CW29" s="3">
        <v>6.7185490000000003</v>
      </c>
      <c r="CX29" s="3">
        <v>6.1271209999999998</v>
      </c>
      <c r="CY29" s="3">
        <v>12.951468</v>
      </c>
      <c r="CZ29" s="3">
        <v>7.6114670000000002</v>
      </c>
      <c r="DA29" s="3">
        <v>8.9695199999999993</v>
      </c>
      <c r="DB29" s="3">
        <v>8.0823640000000001</v>
      </c>
      <c r="DC29" s="3">
        <v>10.10444</v>
      </c>
      <c r="DD29" s="3">
        <v>7.8510869999999997</v>
      </c>
      <c r="DE29" s="3">
        <v>11.103192999999999</v>
      </c>
      <c r="DF29" s="3">
        <v>10.783994</v>
      </c>
      <c r="DG29" s="3">
        <v>9.2349440000000005</v>
      </c>
      <c r="DH29" s="3">
        <v>10.303879</v>
      </c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</row>
    <row r="30" spans="2:206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</row>
    <row r="31" spans="2:206" x14ac:dyDescent="0.2">
      <c r="D31" t="s">
        <v>2</v>
      </c>
      <c r="E31" t="s">
        <v>1</v>
      </c>
      <c r="F31">
        <f>COUNT(M31:GI31)</f>
        <v>100</v>
      </c>
      <c r="G31" s="3">
        <f>AVERAGE(M31:GI31)</f>
        <v>11.941738759999998</v>
      </c>
      <c r="H31" s="3">
        <f>MAX(M31:GI31)</f>
        <v>17.057763999999999</v>
      </c>
      <c r="I31" s="3">
        <f>MIN(M31:GI31)</f>
        <v>8.5483429999999991</v>
      </c>
      <c r="J31" s="3">
        <f>_xlfn.STDEV.P(M31:GI31)</f>
        <v>1.6707801114344663</v>
      </c>
      <c r="K31" s="3">
        <f>_xlfn.VAR.S(M31:GI31)</f>
        <v>2.8197032128938933</v>
      </c>
      <c r="M31" s="3">
        <v>12.039958</v>
      </c>
      <c r="N31" s="3">
        <v>13.056554999999999</v>
      </c>
      <c r="O31" s="3">
        <v>13.644973</v>
      </c>
      <c r="P31" s="3">
        <v>11.629405</v>
      </c>
      <c r="Q31" s="3">
        <v>10.508546000000001</v>
      </c>
      <c r="R31" s="3">
        <v>12.669599</v>
      </c>
      <c r="S31" s="3">
        <v>10.994382</v>
      </c>
      <c r="T31" s="3">
        <v>10.923347</v>
      </c>
      <c r="U31" s="3">
        <v>10.639119000000001</v>
      </c>
      <c r="V31" s="3">
        <v>11.187372</v>
      </c>
      <c r="W31" s="3">
        <v>11.357500999999999</v>
      </c>
      <c r="X31" s="3">
        <v>12.870063</v>
      </c>
      <c r="Y31" s="3">
        <v>10.584026</v>
      </c>
      <c r="Z31" s="3">
        <v>11.563999000000001</v>
      </c>
      <c r="AA31" s="3">
        <v>12.432273</v>
      </c>
      <c r="AB31" s="3">
        <v>12.676216</v>
      </c>
      <c r="AC31" s="3">
        <v>10.781699</v>
      </c>
      <c r="AD31" s="3">
        <v>10.019147999999999</v>
      </c>
      <c r="AE31" s="3">
        <v>12.734443000000001</v>
      </c>
      <c r="AF31" s="3">
        <v>12.710779</v>
      </c>
      <c r="AG31" s="3">
        <v>13.310961000000001</v>
      </c>
      <c r="AH31" s="3">
        <v>12.128975000000001</v>
      </c>
      <c r="AI31" s="3">
        <v>11.065765000000001</v>
      </c>
      <c r="AJ31" s="3">
        <v>14.575797</v>
      </c>
      <c r="AK31" s="3">
        <v>13.469082999999999</v>
      </c>
      <c r="AL31" s="3">
        <v>17.057763999999999</v>
      </c>
      <c r="AM31" s="3">
        <v>14.925981999999999</v>
      </c>
      <c r="AN31" s="3">
        <v>12.736193</v>
      </c>
      <c r="AO31" s="3">
        <v>11.673159999999999</v>
      </c>
      <c r="AP31" s="3">
        <v>14.128489999999999</v>
      </c>
      <c r="AQ31" s="3">
        <v>14.969567</v>
      </c>
      <c r="AR31" s="3">
        <v>14.744289999999999</v>
      </c>
      <c r="AS31" s="3">
        <v>11.662277</v>
      </c>
      <c r="AT31" s="3">
        <v>13.481477</v>
      </c>
      <c r="AU31" s="3">
        <v>12.689859999999999</v>
      </c>
      <c r="AV31" s="3">
        <v>15.622809999999999</v>
      </c>
      <c r="AW31" s="3">
        <v>11.820753</v>
      </c>
      <c r="AX31" s="3">
        <v>14.283882</v>
      </c>
      <c r="AY31" s="3">
        <v>13.251621</v>
      </c>
      <c r="AZ31" s="3">
        <v>14.712077000000001</v>
      </c>
      <c r="BA31" s="3">
        <v>13.596155</v>
      </c>
      <c r="BB31" s="3">
        <v>14.293183000000001</v>
      </c>
      <c r="BC31" s="3">
        <v>14.621294000000001</v>
      </c>
      <c r="BD31" s="3">
        <v>11.719543</v>
      </c>
      <c r="BE31" s="3">
        <v>13.741364000000001</v>
      </c>
      <c r="BF31" s="3">
        <v>15.711510000000001</v>
      </c>
      <c r="BG31" s="3">
        <v>12.650581000000001</v>
      </c>
      <c r="BH31" s="3">
        <v>15.323429000000001</v>
      </c>
      <c r="BI31" s="3">
        <v>15.087664999999999</v>
      </c>
      <c r="BJ31" s="3">
        <v>11.977448000000001</v>
      </c>
      <c r="BK31" s="3">
        <v>11.364462</v>
      </c>
      <c r="BL31" s="3">
        <v>13.245543</v>
      </c>
      <c r="BM31" s="3">
        <v>11.539495000000001</v>
      </c>
      <c r="BN31" s="3">
        <v>10.518836</v>
      </c>
      <c r="BO31" s="3">
        <v>11.754894999999999</v>
      </c>
      <c r="BP31" s="3">
        <v>12.146910999999999</v>
      </c>
      <c r="BQ31" s="3">
        <v>12.590206</v>
      </c>
      <c r="BR31" s="3">
        <v>10.961679999999999</v>
      </c>
      <c r="BS31" s="3">
        <v>12.033332</v>
      </c>
      <c r="BT31" s="3">
        <v>13.468066</v>
      </c>
      <c r="BU31" s="3">
        <v>9.5191330000000001</v>
      </c>
      <c r="BV31" s="3">
        <v>11.925670999999999</v>
      </c>
      <c r="BW31" s="3">
        <v>10.627509</v>
      </c>
      <c r="BX31" s="3">
        <v>8.5483429999999991</v>
      </c>
      <c r="BY31" s="3">
        <v>11.864625999999999</v>
      </c>
      <c r="BZ31" s="3">
        <v>9.4109669999999994</v>
      </c>
      <c r="CA31" s="3">
        <v>11.713345</v>
      </c>
      <c r="CB31" s="3">
        <v>10.648591</v>
      </c>
      <c r="CC31" s="3">
        <v>12.185855</v>
      </c>
      <c r="CD31" s="3">
        <v>11.855467000000001</v>
      </c>
      <c r="CE31" s="3">
        <v>9.532959</v>
      </c>
      <c r="CF31" s="3">
        <v>10.834584</v>
      </c>
      <c r="CG31" s="3">
        <v>10.528537999999999</v>
      </c>
      <c r="CH31" s="3">
        <v>11.540369999999999</v>
      </c>
      <c r="CI31" s="3">
        <v>9.1718759999999993</v>
      </c>
      <c r="CJ31" s="3">
        <v>10.579000000000001</v>
      </c>
      <c r="CK31" s="3">
        <v>10.722453</v>
      </c>
      <c r="CL31" s="3">
        <v>11.603804999999999</v>
      </c>
      <c r="CM31" s="3">
        <v>11.795215000000001</v>
      </c>
      <c r="CN31" s="3">
        <v>10.564869</v>
      </c>
      <c r="CO31" s="3">
        <v>10.168215</v>
      </c>
      <c r="CP31" s="3">
        <v>11.7888</v>
      </c>
      <c r="CQ31" s="3">
        <v>9.7770399999999995</v>
      </c>
      <c r="CR31" s="3">
        <v>10.773813000000001</v>
      </c>
      <c r="CS31" s="3">
        <v>12.140299000000001</v>
      </c>
      <c r="CT31" s="3">
        <v>10.437639000000001</v>
      </c>
      <c r="CU31" s="3">
        <v>9.4852589999999992</v>
      </c>
      <c r="CV31" s="3">
        <v>10.639643</v>
      </c>
      <c r="CW31" s="3">
        <v>11.249938</v>
      </c>
      <c r="CX31" s="3">
        <v>10.364869000000001</v>
      </c>
      <c r="CY31" s="3">
        <v>10.567152999999999</v>
      </c>
      <c r="CZ31" s="3">
        <v>10.950609</v>
      </c>
      <c r="DA31" s="3">
        <v>10.757797999999999</v>
      </c>
      <c r="DB31" s="3">
        <v>10.347968</v>
      </c>
      <c r="DC31" s="3">
        <v>9.7825539999999993</v>
      </c>
      <c r="DD31" s="3">
        <v>11.077642000000001</v>
      </c>
      <c r="DE31" s="3">
        <v>9.6017390000000002</v>
      </c>
      <c r="DF31" s="3">
        <v>10.198708999999999</v>
      </c>
      <c r="DG31" s="3">
        <v>10.775812999999999</v>
      </c>
      <c r="DH31" s="3">
        <v>12.435415000000001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</row>
    <row r="32" spans="2:206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</row>
    <row r="33" spans="2:206" x14ac:dyDescent="0.2">
      <c r="D33" t="s">
        <v>5</v>
      </c>
      <c r="E33" t="s">
        <v>1</v>
      </c>
      <c r="F33">
        <f>COUNT(M33:GI33)</f>
        <v>100</v>
      </c>
      <c r="G33" s="3">
        <f>AVERAGE(M33:GI33)</f>
        <v>8.2538026300000027</v>
      </c>
      <c r="H33" s="3">
        <f>MAX(M33:GI33)</f>
        <v>10.989456000000001</v>
      </c>
      <c r="I33" s="3">
        <f>MIN(M33:GI33)</f>
        <v>6.6386479999999999</v>
      </c>
      <c r="J33" s="3">
        <f>_xlfn.STDEV.P(M33:GI33)</f>
        <v>0.83728984653714289</v>
      </c>
      <c r="K33" s="3">
        <f>_xlfn.VAR.S(M33:GI33)</f>
        <v>0.70813564354969027</v>
      </c>
      <c r="M33" s="3">
        <v>8.1666559999999997</v>
      </c>
      <c r="N33" s="3">
        <v>7.3210920000000002</v>
      </c>
      <c r="O33" s="3">
        <v>9.2631709999999998</v>
      </c>
      <c r="P33" s="3">
        <v>9.1272020000000005</v>
      </c>
      <c r="Q33" s="3">
        <v>8.5583209999999994</v>
      </c>
      <c r="R33" s="3">
        <v>9.1251420000000003</v>
      </c>
      <c r="S33" s="3">
        <v>7.8483349999999996</v>
      </c>
      <c r="T33" s="3">
        <v>7.6301899999999998</v>
      </c>
      <c r="U33" s="3">
        <v>8.8590970000000002</v>
      </c>
      <c r="V33" s="3">
        <v>8.1856209999999994</v>
      </c>
      <c r="W33" s="3">
        <v>8.3776229999999998</v>
      </c>
      <c r="X33" s="3">
        <v>8.43276</v>
      </c>
      <c r="Y33" s="3">
        <v>8.1567740000000004</v>
      </c>
      <c r="Z33" s="3">
        <v>9.0863399999999999</v>
      </c>
      <c r="AA33" s="3">
        <v>7.866136</v>
      </c>
      <c r="AB33" s="3">
        <v>8.8283909999999999</v>
      </c>
      <c r="AC33" s="3">
        <v>10.410956000000001</v>
      </c>
      <c r="AD33" s="3">
        <v>7.1700699999999999</v>
      </c>
      <c r="AE33" s="3">
        <v>6.7450989999999997</v>
      </c>
      <c r="AF33" s="3">
        <v>9.4356349999999996</v>
      </c>
      <c r="AG33" s="3">
        <v>7.7089920000000003</v>
      </c>
      <c r="AH33" s="3">
        <v>7.882727</v>
      </c>
      <c r="AI33" s="3">
        <v>7.4668640000000002</v>
      </c>
      <c r="AJ33" s="3">
        <v>8.5965589999999992</v>
      </c>
      <c r="AK33" s="3">
        <v>9.0562930000000001</v>
      </c>
      <c r="AL33" s="3">
        <v>10.989456000000001</v>
      </c>
      <c r="AM33" s="3">
        <v>6.6386479999999999</v>
      </c>
      <c r="AN33" s="3">
        <v>8.2055089999999993</v>
      </c>
      <c r="AO33" s="3">
        <v>7.2397289999999996</v>
      </c>
      <c r="AP33" s="3">
        <v>7.5570440000000003</v>
      </c>
      <c r="AQ33" s="3">
        <v>9.5172880000000006</v>
      </c>
      <c r="AR33" s="3">
        <v>7.1046639999999996</v>
      </c>
      <c r="AS33" s="3">
        <v>7.2953029999999996</v>
      </c>
      <c r="AT33" s="3">
        <v>9.436083</v>
      </c>
      <c r="AU33" s="3">
        <v>7.8808749999999996</v>
      </c>
      <c r="AV33" s="3">
        <v>8.7666409999999999</v>
      </c>
      <c r="AW33" s="3">
        <v>7.651529</v>
      </c>
      <c r="AX33" s="3">
        <v>7.9630580000000002</v>
      </c>
      <c r="AY33" s="3">
        <v>8.4113959999999999</v>
      </c>
      <c r="AZ33" s="3">
        <v>7.3419359999999996</v>
      </c>
      <c r="BA33" s="3">
        <v>8.0582639999999994</v>
      </c>
      <c r="BB33" s="3">
        <v>7.4104770000000002</v>
      </c>
      <c r="BC33" s="3">
        <v>7.5561670000000003</v>
      </c>
      <c r="BD33" s="3">
        <v>7.6235549999999996</v>
      </c>
      <c r="BE33" s="3">
        <v>9.1320540000000001</v>
      </c>
      <c r="BF33" s="3">
        <v>8.8260810000000003</v>
      </c>
      <c r="BG33" s="3">
        <v>9.9727940000000004</v>
      </c>
      <c r="BH33" s="3">
        <v>7.7885280000000003</v>
      </c>
      <c r="BI33" s="3">
        <v>8.0804550000000006</v>
      </c>
      <c r="BJ33" s="3">
        <v>8.7955190000000005</v>
      </c>
      <c r="BK33" s="3">
        <v>6.8933910000000003</v>
      </c>
      <c r="BL33" s="3">
        <v>9.0694540000000003</v>
      </c>
      <c r="BM33" s="3">
        <v>8.9025800000000004</v>
      </c>
      <c r="BN33" s="3">
        <v>9.2717519999999993</v>
      </c>
      <c r="BO33" s="3">
        <v>8.9502070000000007</v>
      </c>
      <c r="BP33" s="3">
        <v>7.9135150000000003</v>
      </c>
      <c r="BQ33" s="3">
        <v>9.0427070000000001</v>
      </c>
      <c r="BR33" s="3">
        <v>8.7695819999999998</v>
      </c>
      <c r="BS33" s="3">
        <v>7.2254069999999997</v>
      </c>
      <c r="BT33" s="3">
        <v>7.7294109999999998</v>
      </c>
      <c r="BU33" s="3">
        <v>7.5547550000000001</v>
      </c>
      <c r="BV33" s="3">
        <v>8.7979109999999991</v>
      </c>
      <c r="BW33" s="3">
        <v>7.5129270000000004</v>
      </c>
      <c r="BX33" s="3">
        <v>8.1813090000000006</v>
      </c>
      <c r="BY33" s="3">
        <v>8.4037009999999999</v>
      </c>
      <c r="BZ33" s="3">
        <v>7.4353150000000001</v>
      </c>
      <c r="CA33" s="3">
        <v>8.1523489999999992</v>
      </c>
      <c r="CB33" s="3">
        <v>7.7272939999999997</v>
      </c>
      <c r="CC33" s="3">
        <v>7.562487</v>
      </c>
      <c r="CD33" s="3">
        <v>7.8847820000000004</v>
      </c>
      <c r="CE33" s="3">
        <v>7.2382770000000001</v>
      </c>
      <c r="CF33" s="3">
        <v>8.7220619999999993</v>
      </c>
      <c r="CG33" s="3">
        <v>7.6157570000000003</v>
      </c>
      <c r="CH33" s="3">
        <v>8.4056599999999992</v>
      </c>
      <c r="CI33" s="3">
        <v>8.5612840000000006</v>
      </c>
      <c r="CJ33" s="3">
        <v>7.2300820000000003</v>
      </c>
      <c r="CK33" s="3">
        <v>8.5885180000000005</v>
      </c>
      <c r="CL33" s="3">
        <v>7.6706159999999999</v>
      </c>
      <c r="CM33" s="3">
        <v>8.5745959999999997</v>
      </c>
      <c r="CN33" s="3">
        <v>7.510338</v>
      </c>
      <c r="CO33" s="3">
        <v>8.3092889999999997</v>
      </c>
      <c r="CP33" s="3">
        <v>8.0623319999999996</v>
      </c>
      <c r="CQ33" s="3">
        <v>8.4803979999999992</v>
      </c>
      <c r="CR33" s="3">
        <v>8.0662590000000005</v>
      </c>
      <c r="CS33" s="3">
        <v>8.5254130000000004</v>
      </c>
      <c r="CT33" s="3">
        <v>7.2761909999999999</v>
      </c>
      <c r="CU33" s="3">
        <v>9.7954340000000002</v>
      </c>
      <c r="CV33" s="3">
        <v>7.6692359999999997</v>
      </c>
      <c r="CW33" s="3">
        <v>7.754073</v>
      </c>
      <c r="CX33" s="3">
        <v>8.7863760000000006</v>
      </c>
      <c r="CY33" s="3">
        <v>10.251792</v>
      </c>
      <c r="CZ33" s="3">
        <v>7.7195819999999999</v>
      </c>
      <c r="DA33" s="3">
        <v>8.7740349999999996</v>
      </c>
      <c r="DB33" s="3">
        <v>8.2184449999999991</v>
      </c>
      <c r="DC33" s="3">
        <v>7.5409329999999999</v>
      </c>
      <c r="DD33" s="3">
        <v>8.0315969999999997</v>
      </c>
      <c r="DE33" s="3">
        <v>10.430615</v>
      </c>
      <c r="DF33" s="3">
        <v>7.9177739999999996</v>
      </c>
      <c r="DG33" s="3">
        <v>7.707808</v>
      </c>
      <c r="DH33" s="3">
        <v>8.4155560000000005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</row>
    <row r="34" spans="2:206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</row>
    <row r="35" spans="2:206" x14ac:dyDescent="0.2">
      <c r="D35" t="s">
        <v>6</v>
      </c>
      <c r="E35" t="s">
        <v>1</v>
      </c>
      <c r="F35">
        <f>COUNT(M35:GI35)</f>
        <v>100</v>
      </c>
      <c r="G35" s="3">
        <f>AVERAGE(M35:GI35)</f>
        <v>8.8194680000000005</v>
      </c>
      <c r="H35" s="3">
        <f>MAX(M35:GI35)</f>
        <v>11.258311000000001</v>
      </c>
      <c r="I35" s="3">
        <f>MIN(M35:GI35)</f>
        <v>6.3639559999999999</v>
      </c>
      <c r="J35" s="3">
        <f>_xlfn.STDEV.P(M35:GI35)</f>
        <v>1.0130119916799598</v>
      </c>
      <c r="K35" s="3">
        <f>_xlfn.VAR.S(M35:GI35)</f>
        <v>1.0365588841286899</v>
      </c>
      <c r="M35" s="3">
        <v>7.4604569999999999</v>
      </c>
      <c r="N35" s="3">
        <v>10.117946999999999</v>
      </c>
      <c r="O35" s="3">
        <v>8.9664169999999999</v>
      </c>
      <c r="P35" s="3">
        <v>7.1732100000000001</v>
      </c>
      <c r="Q35" s="3">
        <v>10.579745000000001</v>
      </c>
      <c r="R35" s="3">
        <v>8.5351459999999992</v>
      </c>
      <c r="S35" s="3">
        <v>7.6283539999999999</v>
      </c>
      <c r="T35" s="3">
        <v>10.677690999999999</v>
      </c>
      <c r="U35" s="3">
        <v>8.7477900000000002</v>
      </c>
      <c r="V35" s="3">
        <v>10.652944</v>
      </c>
      <c r="W35" s="3">
        <v>8.0241880000000005</v>
      </c>
      <c r="X35" s="3">
        <v>8.0579199999999993</v>
      </c>
      <c r="Y35" s="3">
        <v>6.3639559999999999</v>
      </c>
      <c r="Z35" s="3">
        <v>8.5433039999999991</v>
      </c>
      <c r="AA35" s="3">
        <v>10.076931999999999</v>
      </c>
      <c r="AB35" s="3">
        <v>7.5058550000000004</v>
      </c>
      <c r="AC35" s="3">
        <v>7.7057079999999996</v>
      </c>
      <c r="AD35" s="3">
        <v>8.7307330000000007</v>
      </c>
      <c r="AE35" s="3">
        <v>7.8052099999999998</v>
      </c>
      <c r="AF35" s="3">
        <v>9.1400380000000006</v>
      </c>
      <c r="AG35" s="3">
        <v>8.3364630000000002</v>
      </c>
      <c r="AH35" s="3">
        <v>9.0462319999999998</v>
      </c>
      <c r="AI35" s="3">
        <v>10.046186000000001</v>
      </c>
      <c r="AJ35" s="3">
        <v>9.3719819999999991</v>
      </c>
      <c r="AK35" s="3">
        <v>10.749355</v>
      </c>
      <c r="AL35" s="3">
        <v>9.0746040000000008</v>
      </c>
      <c r="AM35" s="3">
        <v>8.5417070000000006</v>
      </c>
      <c r="AN35" s="3">
        <v>8.3184670000000001</v>
      </c>
      <c r="AO35" s="3">
        <v>7.7075170000000002</v>
      </c>
      <c r="AP35" s="3">
        <v>9.2820870000000006</v>
      </c>
      <c r="AQ35" s="3">
        <v>7.241771</v>
      </c>
      <c r="AR35" s="3">
        <v>9.5365140000000004</v>
      </c>
      <c r="AS35" s="3">
        <v>8.2508730000000003</v>
      </c>
      <c r="AT35" s="3">
        <v>8.8671779999999991</v>
      </c>
      <c r="AU35" s="3">
        <v>8.9638950000000008</v>
      </c>
      <c r="AV35" s="3">
        <v>7.877586</v>
      </c>
      <c r="AW35" s="3">
        <v>9.7681920000000009</v>
      </c>
      <c r="AX35" s="3">
        <v>7.1679050000000002</v>
      </c>
      <c r="AY35" s="3">
        <v>7.7402389999999999</v>
      </c>
      <c r="AZ35" s="3">
        <v>7.5388229999999998</v>
      </c>
      <c r="BA35" s="3">
        <v>7.664701</v>
      </c>
      <c r="BB35" s="3">
        <v>8.5200910000000007</v>
      </c>
      <c r="BC35" s="3">
        <v>8.4599580000000003</v>
      </c>
      <c r="BD35" s="3">
        <v>8.8816959999999998</v>
      </c>
      <c r="BE35" s="3">
        <v>9.7988510000000009</v>
      </c>
      <c r="BF35" s="3">
        <v>10.970530999999999</v>
      </c>
      <c r="BG35" s="3">
        <v>7.0631769999999996</v>
      </c>
      <c r="BH35" s="3">
        <v>9.6060639999999999</v>
      </c>
      <c r="BI35" s="3">
        <v>9.6766620000000003</v>
      </c>
      <c r="BJ35" s="3">
        <v>8.9178949999999997</v>
      </c>
      <c r="BK35" s="3">
        <v>8.9886459999999992</v>
      </c>
      <c r="BL35" s="3">
        <v>9.8014349999999997</v>
      </c>
      <c r="BM35" s="3">
        <v>8.6988690000000002</v>
      </c>
      <c r="BN35" s="3">
        <v>9.2324300000000008</v>
      </c>
      <c r="BO35" s="3">
        <v>8.3332440000000005</v>
      </c>
      <c r="BP35" s="3">
        <v>7.2802870000000004</v>
      </c>
      <c r="BQ35" s="3">
        <v>9.9775559999999999</v>
      </c>
      <c r="BR35" s="3">
        <v>9.0249140000000008</v>
      </c>
      <c r="BS35" s="3">
        <v>9.9116979999999995</v>
      </c>
      <c r="BT35" s="3">
        <v>9.3235250000000001</v>
      </c>
      <c r="BU35" s="3">
        <v>8.1497620000000008</v>
      </c>
      <c r="BV35" s="3">
        <v>9.1115770000000005</v>
      </c>
      <c r="BW35" s="3">
        <v>8.4853939999999994</v>
      </c>
      <c r="BX35" s="3">
        <v>9.5002809999999993</v>
      </c>
      <c r="BY35" s="3">
        <v>8.524654</v>
      </c>
      <c r="BZ35" s="3">
        <v>7.4654340000000001</v>
      </c>
      <c r="CA35" s="3">
        <v>7.572152</v>
      </c>
      <c r="CB35" s="3">
        <v>7.743093</v>
      </c>
      <c r="CC35" s="3">
        <v>7.7086540000000001</v>
      </c>
      <c r="CD35" s="3">
        <v>11.237586</v>
      </c>
      <c r="CE35" s="3">
        <v>10.014480000000001</v>
      </c>
      <c r="CF35" s="3">
        <v>10.676064</v>
      </c>
      <c r="CG35" s="3">
        <v>9.4867439999999998</v>
      </c>
      <c r="CH35" s="3">
        <v>8.9991839999999996</v>
      </c>
      <c r="CI35" s="3">
        <v>9.2865129999999994</v>
      </c>
      <c r="CJ35" s="3">
        <v>8.2142219999999995</v>
      </c>
      <c r="CK35" s="3">
        <v>8.5823029999999996</v>
      </c>
      <c r="CL35" s="3">
        <v>8.9871200000000009</v>
      </c>
      <c r="CM35" s="3">
        <v>8.6293710000000008</v>
      </c>
      <c r="CN35" s="3">
        <v>9.5946660000000001</v>
      </c>
      <c r="CO35" s="3">
        <v>8.4293429999999994</v>
      </c>
      <c r="CP35" s="3">
        <v>8.5232880000000009</v>
      </c>
      <c r="CQ35" s="3">
        <v>10.169596</v>
      </c>
      <c r="CR35" s="3">
        <v>8.6631129999999992</v>
      </c>
      <c r="CS35" s="3">
        <v>10.045196000000001</v>
      </c>
      <c r="CT35" s="3">
        <v>8.5397560000000006</v>
      </c>
      <c r="CU35" s="3">
        <v>8.4421409999999995</v>
      </c>
      <c r="CV35" s="3">
        <v>10.03684</v>
      </c>
      <c r="CW35" s="3">
        <v>8.0973509999999997</v>
      </c>
      <c r="CX35" s="3">
        <v>8.4016669999999998</v>
      </c>
      <c r="CY35" s="3">
        <v>9.5130189999999999</v>
      </c>
      <c r="CZ35" s="3">
        <v>9.5495870000000007</v>
      </c>
      <c r="DA35" s="3">
        <v>8.8387189999999993</v>
      </c>
      <c r="DB35" s="3">
        <v>8.0251970000000004</v>
      </c>
      <c r="DC35" s="3">
        <v>9.0111530000000002</v>
      </c>
      <c r="DD35" s="3">
        <v>8.2571359999999991</v>
      </c>
      <c r="DE35" s="3">
        <v>7.7263489999999999</v>
      </c>
      <c r="DF35" s="3">
        <v>8.1248930000000001</v>
      </c>
      <c r="DG35" s="3">
        <v>11.258311000000001</v>
      </c>
      <c r="DH35" s="3">
        <v>8.2715399999999999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</row>
    <row r="36" spans="2:206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</row>
    <row r="37" spans="2:206" x14ac:dyDescent="0.2"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</row>
    <row r="39" spans="2:206" x14ac:dyDescent="0.2">
      <c r="B39" t="s">
        <v>44</v>
      </c>
      <c r="D39" s="1" t="s">
        <v>28</v>
      </c>
    </row>
    <row r="40" spans="2:206" x14ac:dyDescent="0.2">
      <c r="B40" s="2" t="s">
        <v>25</v>
      </c>
      <c r="D40" t="s">
        <v>3</v>
      </c>
      <c r="E40" t="s">
        <v>1</v>
      </c>
      <c r="F40">
        <f>COUNT(M40:GI40)</f>
        <v>100</v>
      </c>
      <c r="G40" s="3">
        <f>AVERAGE(M40:GI40)</f>
        <v>9.4406950600000012</v>
      </c>
      <c r="H40" s="3">
        <f>MAX(M40:GI40)</f>
        <v>13.854099</v>
      </c>
      <c r="I40" s="3">
        <f>MIN(M40:GI40)</f>
        <v>7.8227890000000002</v>
      </c>
      <c r="J40" s="3">
        <f>_xlfn.STDEV.P(M40:GI40)</f>
        <v>1.226896855482857</v>
      </c>
      <c r="K40" s="3">
        <f>_xlfn.VAR.S(M40:GI40)</f>
        <v>1.520480701003768</v>
      </c>
      <c r="M40" s="3">
        <v>8.6140100000000004</v>
      </c>
      <c r="N40" s="3">
        <v>12.500731</v>
      </c>
      <c r="O40" s="3">
        <v>9.0781759999999991</v>
      </c>
      <c r="P40" s="3">
        <v>9.4090520000000009</v>
      </c>
      <c r="Q40" s="3">
        <v>8.09605</v>
      </c>
      <c r="R40" s="3">
        <v>10.730715999999999</v>
      </c>
      <c r="S40" s="3">
        <v>8.9988689999999991</v>
      </c>
      <c r="T40" s="3">
        <v>10.524946</v>
      </c>
      <c r="U40" s="3">
        <v>11.793576</v>
      </c>
      <c r="V40" s="3">
        <v>9.9638829999999992</v>
      </c>
      <c r="W40" s="3">
        <v>10.146865</v>
      </c>
      <c r="X40" s="3">
        <v>10.523558</v>
      </c>
      <c r="Y40" s="3">
        <v>9.3244570000000007</v>
      </c>
      <c r="Z40" s="3">
        <v>12.033355999999999</v>
      </c>
      <c r="AA40" s="3">
        <v>8.4471769999999999</v>
      </c>
      <c r="AB40" s="3">
        <v>7.9498350000000002</v>
      </c>
      <c r="AC40" s="3">
        <v>11.778047000000001</v>
      </c>
      <c r="AD40" s="3">
        <v>9.5476729999999996</v>
      </c>
      <c r="AE40" s="3">
        <v>9.8849219999999995</v>
      </c>
      <c r="AF40" s="3">
        <v>8.879588</v>
      </c>
      <c r="AG40" s="3">
        <v>9.6768999999999998</v>
      </c>
      <c r="AH40" s="3">
        <v>10.434945000000001</v>
      </c>
      <c r="AI40" s="3">
        <v>8.2349460000000008</v>
      </c>
      <c r="AJ40" s="3">
        <v>13.854099</v>
      </c>
      <c r="AK40" s="3">
        <v>8.5115130000000008</v>
      </c>
      <c r="AL40" s="3">
        <v>9.1591970000000007</v>
      </c>
      <c r="AM40" s="3">
        <v>9.4140800000000002</v>
      </c>
      <c r="AN40" s="3">
        <v>8.4953090000000007</v>
      </c>
      <c r="AO40" s="3">
        <v>12.254801</v>
      </c>
      <c r="AP40" s="3">
        <v>8.8691659999999999</v>
      </c>
      <c r="AQ40" s="3">
        <v>12.037252000000001</v>
      </c>
      <c r="AR40" s="3">
        <v>11.472953</v>
      </c>
      <c r="AS40" s="3">
        <v>7.8227890000000002</v>
      </c>
      <c r="AT40" s="3">
        <v>12.259269</v>
      </c>
      <c r="AU40" s="3">
        <v>8.4314630000000008</v>
      </c>
      <c r="AV40" s="3">
        <v>10.111575</v>
      </c>
      <c r="AW40" s="3">
        <v>12.951765999999999</v>
      </c>
      <c r="AX40" s="3">
        <v>11.613970999999999</v>
      </c>
      <c r="AY40" s="3">
        <v>9.0336449999999999</v>
      </c>
      <c r="AZ40" s="3">
        <v>8.8069089999999992</v>
      </c>
      <c r="BA40" s="3">
        <v>10.307195999999999</v>
      </c>
      <c r="BB40" s="3">
        <v>9.2766230000000007</v>
      </c>
      <c r="BC40" s="3">
        <v>8.9118169999999992</v>
      </c>
      <c r="BD40" s="3">
        <v>8.4775469999999995</v>
      </c>
      <c r="BE40" s="3">
        <v>8.0928989999999992</v>
      </c>
      <c r="BF40" s="3">
        <v>8.0163089999999997</v>
      </c>
      <c r="BG40" s="3">
        <v>8.5114180000000008</v>
      </c>
      <c r="BH40" s="3">
        <v>8.6578180000000007</v>
      </c>
      <c r="BI40" s="3">
        <v>9.1549209999999999</v>
      </c>
      <c r="BJ40" s="3">
        <v>8.7010869999999993</v>
      </c>
      <c r="BK40" s="3">
        <v>9.5833630000000003</v>
      </c>
      <c r="BL40" s="3">
        <v>9.6098789999999994</v>
      </c>
      <c r="BM40" s="3">
        <v>8.6329650000000004</v>
      </c>
      <c r="BN40" s="3">
        <v>8.2591520000000003</v>
      </c>
      <c r="BO40" s="3">
        <v>9.3497629999999994</v>
      </c>
      <c r="BP40" s="3">
        <v>9.1711720000000003</v>
      </c>
      <c r="BQ40" s="3">
        <v>8.5492139999999992</v>
      </c>
      <c r="BR40" s="3">
        <v>8.5752290000000002</v>
      </c>
      <c r="BS40" s="3">
        <v>8.6114599999999992</v>
      </c>
      <c r="BT40" s="3">
        <v>8.9824339999999996</v>
      </c>
      <c r="BU40" s="3">
        <v>8.530303</v>
      </c>
      <c r="BV40" s="3">
        <v>9.096959</v>
      </c>
      <c r="BW40" s="3">
        <v>8.5179720000000003</v>
      </c>
      <c r="BX40" s="3">
        <v>10.278900999999999</v>
      </c>
      <c r="BY40" s="3">
        <v>8.3008790000000001</v>
      </c>
      <c r="BZ40" s="3">
        <v>8.7627959999999998</v>
      </c>
      <c r="CA40" s="3">
        <v>9.2884089999999997</v>
      </c>
      <c r="CB40" s="3">
        <v>10.532202</v>
      </c>
      <c r="CC40" s="3">
        <v>8.8766230000000004</v>
      </c>
      <c r="CD40" s="3">
        <v>9.0376270000000005</v>
      </c>
      <c r="CE40" s="3">
        <v>8.0096240000000005</v>
      </c>
      <c r="CF40" s="3">
        <v>8.8352249999999994</v>
      </c>
      <c r="CG40" s="3">
        <v>9.4556149999999999</v>
      </c>
      <c r="CH40" s="3">
        <v>10.97621</v>
      </c>
      <c r="CI40" s="3">
        <v>8.3847260000000006</v>
      </c>
      <c r="CJ40" s="3">
        <v>9.2975709999999996</v>
      </c>
      <c r="CK40" s="3">
        <v>8.8469060000000006</v>
      </c>
      <c r="CL40" s="3">
        <v>8.0292619999999992</v>
      </c>
      <c r="CM40" s="3">
        <v>9.0644980000000004</v>
      </c>
      <c r="CN40" s="3">
        <v>10.010517</v>
      </c>
      <c r="CO40" s="3">
        <v>8.8046399999999991</v>
      </c>
      <c r="CP40" s="3">
        <v>9.5376209999999997</v>
      </c>
      <c r="CQ40" s="3">
        <v>10.058168999999999</v>
      </c>
      <c r="CR40" s="3">
        <v>9.3708919999999996</v>
      </c>
      <c r="CS40" s="3">
        <v>8.7019749999999991</v>
      </c>
      <c r="CT40" s="3">
        <v>9.828125</v>
      </c>
      <c r="CU40" s="3">
        <v>10.068968</v>
      </c>
      <c r="CV40" s="3">
        <v>8.3284339999999997</v>
      </c>
      <c r="CW40" s="3">
        <v>9.6420080000000006</v>
      </c>
      <c r="CX40" s="3">
        <v>8.2156330000000004</v>
      </c>
      <c r="CY40" s="3">
        <v>8.8350580000000001</v>
      </c>
      <c r="CZ40" s="3">
        <v>8.829955</v>
      </c>
      <c r="DA40" s="3">
        <v>8.8130000000000006</v>
      </c>
      <c r="DB40" s="3">
        <v>9.8919580000000007</v>
      </c>
      <c r="DC40" s="3">
        <v>8.4387249999999998</v>
      </c>
      <c r="DD40" s="3">
        <v>10.715358999999999</v>
      </c>
      <c r="DE40" s="3">
        <v>9.7024150000000002</v>
      </c>
      <c r="DF40" s="3">
        <v>8.2745440000000006</v>
      </c>
      <c r="DG40" s="3">
        <v>8.3909020000000005</v>
      </c>
      <c r="DH40" s="3">
        <v>8.3839989999999993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</row>
    <row r="41" spans="2:206" x14ac:dyDescent="0.2">
      <c r="B41" s="2" t="s">
        <v>26</v>
      </c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</row>
    <row r="42" spans="2:206" x14ac:dyDescent="0.2">
      <c r="B42" s="2" t="s">
        <v>27</v>
      </c>
      <c r="D42" t="s">
        <v>4</v>
      </c>
      <c r="E42" t="s">
        <v>1</v>
      </c>
      <c r="F42">
        <f>COUNT(M42:GI42)</f>
        <v>100</v>
      </c>
      <c r="G42" s="3">
        <f>AVERAGE(M42:GI42)</f>
        <v>10.180804419999999</v>
      </c>
      <c r="H42" s="3">
        <f>MAX(M42:GI42)</f>
        <v>14.122645</v>
      </c>
      <c r="I42" s="3">
        <f>MIN(M42:GI42)</f>
        <v>7.4626659999999996</v>
      </c>
      <c r="J42" s="3">
        <f>_xlfn.STDEV.P(M42:GI42)</f>
        <v>1.4517993793825892</v>
      </c>
      <c r="K42" s="3">
        <f>_xlfn.VAR.S(M42:GI42)</f>
        <v>2.1290115535107956</v>
      </c>
      <c r="M42" s="3">
        <v>8.4272659999999995</v>
      </c>
      <c r="N42" s="3">
        <v>11.144928999999999</v>
      </c>
      <c r="O42" s="3">
        <v>10.222293000000001</v>
      </c>
      <c r="P42" s="3">
        <v>12.071228</v>
      </c>
      <c r="Q42" s="3">
        <v>8.4361280000000001</v>
      </c>
      <c r="R42" s="3">
        <v>11.12951</v>
      </c>
      <c r="S42" s="3">
        <v>9.6709870000000002</v>
      </c>
      <c r="T42" s="3">
        <v>9.1248090000000008</v>
      </c>
      <c r="U42" s="3">
        <v>9.0580350000000003</v>
      </c>
      <c r="V42" s="3">
        <v>11.935433</v>
      </c>
      <c r="W42" s="3">
        <v>8.4177579999999992</v>
      </c>
      <c r="X42" s="3">
        <v>12.971409</v>
      </c>
      <c r="Y42" s="3">
        <v>10.932995999999999</v>
      </c>
      <c r="Z42" s="3">
        <v>11.935687</v>
      </c>
      <c r="AA42" s="3">
        <v>12.509706</v>
      </c>
      <c r="AB42" s="3">
        <v>9.8185579999999995</v>
      </c>
      <c r="AC42" s="3">
        <v>9.2638630000000006</v>
      </c>
      <c r="AD42" s="3">
        <v>8.2994950000000003</v>
      </c>
      <c r="AE42" s="3">
        <v>9.9626370000000009</v>
      </c>
      <c r="AF42" s="3">
        <v>9.8013709999999996</v>
      </c>
      <c r="AG42" s="3">
        <v>9.5988120000000006</v>
      </c>
      <c r="AH42" s="3">
        <v>9.4779090000000004</v>
      </c>
      <c r="AI42" s="3">
        <v>8.6747110000000003</v>
      </c>
      <c r="AJ42" s="3">
        <v>8.5198239999999998</v>
      </c>
      <c r="AK42" s="3">
        <v>12.09403</v>
      </c>
      <c r="AL42" s="3">
        <v>9.8102009999999993</v>
      </c>
      <c r="AM42" s="3">
        <v>8.7305869999999999</v>
      </c>
      <c r="AN42" s="3">
        <v>14.122645</v>
      </c>
      <c r="AO42" s="3">
        <v>9.295795</v>
      </c>
      <c r="AP42" s="3">
        <v>9.4745240000000006</v>
      </c>
      <c r="AQ42" s="3">
        <v>10.170683</v>
      </c>
      <c r="AR42" s="3">
        <v>10.728358</v>
      </c>
      <c r="AS42" s="3">
        <v>7.864179</v>
      </c>
      <c r="AT42" s="3">
        <v>9.0996229999999994</v>
      </c>
      <c r="AU42" s="3">
        <v>12.272204</v>
      </c>
      <c r="AV42" s="3">
        <v>9.2611760000000007</v>
      </c>
      <c r="AW42" s="3">
        <v>11.586117</v>
      </c>
      <c r="AX42" s="3">
        <v>10.226495999999999</v>
      </c>
      <c r="AY42" s="3">
        <v>9.995927</v>
      </c>
      <c r="AZ42" s="3">
        <v>11.986177</v>
      </c>
      <c r="BA42" s="3">
        <v>11.194903999999999</v>
      </c>
      <c r="BB42" s="3">
        <v>11.059773</v>
      </c>
      <c r="BC42" s="3">
        <v>12.262015999999999</v>
      </c>
      <c r="BD42" s="3">
        <v>8.4387509999999999</v>
      </c>
      <c r="BE42" s="3">
        <v>8.4701109999999993</v>
      </c>
      <c r="BF42" s="3">
        <v>9.7899709999999995</v>
      </c>
      <c r="BG42" s="3">
        <v>11.626931000000001</v>
      </c>
      <c r="BH42" s="3">
        <v>9.9545779999999997</v>
      </c>
      <c r="BI42" s="3">
        <v>10.626787999999999</v>
      </c>
      <c r="BJ42" s="3">
        <v>11.513370999999999</v>
      </c>
      <c r="BK42" s="3">
        <v>8.4257390000000001</v>
      </c>
      <c r="BL42" s="3">
        <v>11.300577000000001</v>
      </c>
      <c r="BM42" s="3">
        <v>8.0547989999999992</v>
      </c>
      <c r="BN42" s="3">
        <v>7.6725269999999997</v>
      </c>
      <c r="BO42" s="3">
        <v>10.668696000000001</v>
      </c>
      <c r="BP42" s="3">
        <v>8.0019179999999999</v>
      </c>
      <c r="BQ42" s="3">
        <v>9.4385069999999995</v>
      </c>
      <c r="BR42" s="3">
        <v>7.4626659999999996</v>
      </c>
      <c r="BS42" s="3">
        <v>9.8340479999999992</v>
      </c>
      <c r="BT42" s="3">
        <v>10.65634</v>
      </c>
      <c r="BU42" s="3">
        <v>7.8083330000000002</v>
      </c>
      <c r="BV42" s="3">
        <v>8.5752980000000001</v>
      </c>
      <c r="BW42" s="3">
        <v>10.630507</v>
      </c>
      <c r="BX42" s="3">
        <v>10.984297</v>
      </c>
      <c r="BY42" s="3">
        <v>12.731904999999999</v>
      </c>
      <c r="BZ42" s="3">
        <v>10.581829000000001</v>
      </c>
      <c r="CA42" s="3">
        <v>8.6637389999999996</v>
      </c>
      <c r="CB42" s="3">
        <v>9.5961960000000008</v>
      </c>
      <c r="CC42" s="3">
        <v>8.9304220000000001</v>
      </c>
      <c r="CD42" s="3">
        <v>10.124836999999999</v>
      </c>
      <c r="CE42" s="3">
        <v>7.9101210000000002</v>
      </c>
      <c r="CF42" s="3">
        <v>9.6236479999999993</v>
      </c>
      <c r="CG42" s="3">
        <v>11.141009</v>
      </c>
      <c r="CH42" s="3">
        <v>10.668526</v>
      </c>
      <c r="CI42" s="3">
        <v>13.553838000000001</v>
      </c>
      <c r="CJ42" s="3">
        <v>10.772328</v>
      </c>
      <c r="CK42" s="3">
        <v>10.06964</v>
      </c>
      <c r="CL42" s="3">
        <v>8.5182850000000006</v>
      </c>
      <c r="CM42" s="3">
        <v>12.221016000000001</v>
      </c>
      <c r="CN42" s="3">
        <v>10.934855000000001</v>
      </c>
      <c r="CO42" s="3">
        <v>10.050242000000001</v>
      </c>
      <c r="CP42" s="3">
        <v>9.6945060000000005</v>
      </c>
      <c r="CQ42" s="3">
        <v>8.7853069999999995</v>
      </c>
      <c r="CR42" s="3">
        <v>10.96082</v>
      </c>
      <c r="CS42" s="3">
        <v>11.546122</v>
      </c>
      <c r="CT42" s="3">
        <v>10.621839</v>
      </c>
      <c r="CU42" s="3">
        <v>11.093356</v>
      </c>
      <c r="CV42" s="3">
        <v>9.1350110000000004</v>
      </c>
      <c r="CW42" s="3">
        <v>9.4949919999999999</v>
      </c>
      <c r="CX42" s="3">
        <v>8.4483350000000002</v>
      </c>
      <c r="CY42" s="3">
        <v>12.51703</v>
      </c>
      <c r="CZ42" s="3">
        <v>9.4657250000000008</v>
      </c>
      <c r="DA42" s="3">
        <v>9.4526219999999999</v>
      </c>
      <c r="DB42" s="3">
        <v>10.290331999999999</v>
      </c>
      <c r="DC42" s="3">
        <v>13.170636999999999</v>
      </c>
      <c r="DD42" s="3">
        <v>9.6577059999999992</v>
      </c>
      <c r="DE42" s="3">
        <v>11.534634</v>
      </c>
      <c r="DF42" s="3">
        <v>12.011157000000001</v>
      </c>
      <c r="DG42" s="3">
        <v>11.279176</v>
      </c>
      <c r="DH42" s="3">
        <v>10.253177000000001</v>
      </c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</row>
    <row r="43" spans="2:206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</row>
    <row r="44" spans="2:206" x14ac:dyDescent="0.2">
      <c r="D44" t="s">
        <v>2</v>
      </c>
      <c r="E44" t="s">
        <v>1</v>
      </c>
      <c r="F44">
        <f>COUNT(M44:GI44)</f>
        <v>100</v>
      </c>
      <c r="G44" s="3">
        <f>AVERAGE(M44:GI44)</f>
        <v>13.933812300000007</v>
      </c>
      <c r="H44" s="3">
        <f>MAX(M44:GI44)</f>
        <v>16.731342000000001</v>
      </c>
      <c r="I44" s="3">
        <f>MIN(M44:GI44)</f>
        <v>11.642473000000001</v>
      </c>
      <c r="J44" s="3">
        <f>_xlfn.STDEV.P(M44:GI44)</f>
        <v>1.1574855115113321</v>
      </c>
      <c r="K44" s="3">
        <f>_xlfn.VAR.S(M44:GI44)</f>
        <v>1.3533057670289397</v>
      </c>
      <c r="M44" s="3">
        <v>14.902405</v>
      </c>
      <c r="N44" s="3">
        <v>15.925178000000001</v>
      </c>
      <c r="O44" s="3">
        <v>16.731342000000001</v>
      </c>
      <c r="P44" s="3">
        <v>14.675481</v>
      </c>
      <c r="Q44" s="3">
        <v>12.456465</v>
      </c>
      <c r="R44" s="3">
        <v>15.146008</v>
      </c>
      <c r="S44" s="3">
        <v>14.562846</v>
      </c>
      <c r="T44" s="3">
        <v>12.685616</v>
      </c>
      <c r="U44" s="3">
        <v>12.869204999999999</v>
      </c>
      <c r="V44" s="3">
        <v>15.557598</v>
      </c>
      <c r="W44" s="3">
        <v>15.327584999999999</v>
      </c>
      <c r="X44" s="3">
        <v>14.86966</v>
      </c>
      <c r="Y44" s="3">
        <v>13.0205</v>
      </c>
      <c r="Z44" s="3">
        <v>13.69933</v>
      </c>
      <c r="AA44" s="3">
        <v>13.794155</v>
      </c>
      <c r="AB44" s="3">
        <v>15.126663000000001</v>
      </c>
      <c r="AC44" s="3">
        <v>12.921165</v>
      </c>
      <c r="AD44" s="3">
        <v>12.621264</v>
      </c>
      <c r="AE44" s="3">
        <v>15.55827</v>
      </c>
      <c r="AF44" s="3">
        <v>15.435122</v>
      </c>
      <c r="AG44" s="3">
        <v>13.363609</v>
      </c>
      <c r="AH44" s="3">
        <v>12.358881999999999</v>
      </c>
      <c r="AI44" s="3">
        <v>13.178423</v>
      </c>
      <c r="AJ44" s="3">
        <v>14.241542000000001</v>
      </c>
      <c r="AK44" s="3">
        <v>14.512579000000001</v>
      </c>
      <c r="AL44" s="3">
        <v>14.151199999999999</v>
      </c>
      <c r="AM44" s="3">
        <v>15.680697</v>
      </c>
      <c r="AN44" s="3">
        <v>12.567035000000001</v>
      </c>
      <c r="AO44" s="3">
        <v>13.415150000000001</v>
      </c>
      <c r="AP44" s="3">
        <v>15.251270999999999</v>
      </c>
      <c r="AQ44" s="3">
        <v>14.374544</v>
      </c>
      <c r="AR44" s="3">
        <v>16.146758999999999</v>
      </c>
      <c r="AS44" s="3">
        <v>13.363498999999999</v>
      </c>
      <c r="AT44" s="3">
        <v>15.467769000000001</v>
      </c>
      <c r="AU44" s="3">
        <v>14.895205000000001</v>
      </c>
      <c r="AV44" s="3">
        <v>15.647368999999999</v>
      </c>
      <c r="AW44" s="3">
        <v>13.643188</v>
      </c>
      <c r="AX44" s="3">
        <v>12.777493</v>
      </c>
      <c r="AY44" s="3">
        <v>13.994496</v>
      </c>
      <c r="AZ44" s="3">
        <v>14.785755999999999</v>
      </c>
      <c r="BA44" s="3">
        <v>15.237272000000001</v>
      </c>
      <c r="BB44" s="3">
        <v>14.726006999999999</v>
      </c>
      <c r="BC44" s="3">
        <v>15.857028</v>
      </c>
      <c r="BD44" s="3">
        <v>15.155229</v>
      </c>
      <c r="BE44" s="3">
        <v>15.643993999999999</v>
      </c>
      <c r="BF44" s="3">
        <v>13.919817</v>
      </c>
      <c r="BG44" s="3">
        <v>14.382965</v>
      </c>
      <c r="BH44" s="3">
        <v>14.02965</v>
      </c>
      <c r="BI44" s="3">
        <v>15.077451</v>
      </c>
      <c r="BJ44" s="3">
        <v>13.383832999999999</v>
      </c>
      <c r="BK44" s="3">
        <v>14.657809</v>
      </c>
      <c r="BL44" s="3">
        <v>15.835940000000001</v>
      </c>
      <c r="BM44" s="3">
        <v>13.370564999999999</v>
      </c>
      <c r="BN44" s="3">
        <v>13.751963</v>
      </c>
      <c r="BO44" s="3">
        <v>14.284637999999999</v>
      </c>
      <c r="BP44" s="3">
        <v>14.80284</v>
      </c>
      <c r="BQ44" s="3">
        <v>15.614757000000001</v>
      </c>
      <c r="BR44" s="3">
        <v>12.496902</v>
      </c>
      <c r="BS44" s="3">
        <v>14.695539999999999</v>
      </c>
      <c r="BT44" s="3">
        <v>15.501232999999999</v>
      </c>
      <c r="BU44" s="3">
        <v>12.913237000000001</v>
      </c>
      <c r="BV44" s="3">
        <v>13.647873000000001</v>
      </c>
      <c r="BW44" s="3">
        <v>13.010547000000001</v>
      </c>
      <c r="BX44" s="3">
        <v>12.00647</v>
      </c>
      <c r="BY44" s="3">
        <v>15.292562999999999</v>
      </c>
      <c r="BZ44" s="3">
        <v>12.375443000000001</v>
      </c>
      <c r="CA44" s="3">
        <v>14.459913</v>
      </c>
      <c r="CB44" s="3">
        <v>13.281506</v>
      </c>
      <c r="CC44" s="3">
        <v>14.621646999999999</v>
      </c>
      <c r="CD44" s="3">
        <v>14.563072999999999</v>
      </c>
      <c r="CE44" s="3">
        <v>12.619139000000001</v>
      </c>
      <c r="CF44" s="3">
        <v>12.776070000000001</v>
      </c>
      <c r="CG44" s="3">
        <v>14.17515</v>
      </c>
      <c r="CH44" s="3">
        <v>13.592796999999999</v>
      </c>
      <c r="CI44" s="3">
        <v>12.467987000000001</v>
      </c>
      <c r="CJ44" s="3">
        <v>12.779773</v>
      </c>
      <c r="CK44" s="3">
        <v>13.628605</v>
      </c>
      <c r="CL44" s="3">
        <v>14.082542</v>
      </c>
      <c r="CM44" s="3">
        <v>14.306107000000001</v>
      </c>
      <c r="CN44" s="3">
        <v>12.444356000000001</v>
      </c>
      <c r="CO44" s="3">
        <v>13.362188</v>
      </c>
      <c r="CP44" s="3">
        <v>13.771827999999999</v>
      </c>
      <c r="CQ44" s="3">
        <v>12.266143</v>
      </c>
      <c r="CR44" s="3">
        <v>13.243012999999999</v>
      </c>
      <c r="CS44" s="3">
        <v>14.289111</v>
      </c>
      <c r="CT44" s="3">
        <v>13.018444000000001</v>
      </c>
      <c r="CU44" s="3">
        <v>11.642473000000001</v>
      </c>
      <c r="CV44" s="3">
        <v>13.242333</v>
      </c>
      <c r="CW44" s="3">
        <v>14.237496999999999</v>
      </c>
      <c r="CX44" s="3">
        <v>12.071607</v>
      </c>
      <c r="CY44" s="3">
        <v>13.476645</v>
      </c>
      <c r="CZ44" s="3">
        <v>12.663606</v>
      </c>
      <c r="DA44" s="3">
        <v>12.994842999999999</v>
      </c>
      <c r="DB44" s="3">
        <v>11.921469999999999</v>
      </c>
      <c r="DC44" s="3">
        <v>12.709282999999999</v>
      </c>
      <c r="DD44" s="3">
        <v>12.98306</v>
      </c>
      <c r="DE44" s="3">
        <v>12.052153000000001</v>
      </c>
      <c r="DF44" s="3">
        <v>13.345223000000001</v>
      </c>
      <c r="DG44" s="3">
        <v>13.059714</v>
      </c>
      <c r="DH44" s="3">
        <v>13.858041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</row>
    <row r="45" spans="2:206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</row>
    <row r="46" spans="2:206" x14ac:dyDescent="0.2">
      <c r="D46" t="s">
        <v>5</v>
      </c>
      <c r="E46" t="s">
        <v>1</v>
      </c>
      <c r="F46">
        <f>COUNT(M46:GI46)</f>
        <v>100</v>
      </c>
      <c r="G46" s="3">
        <f>AVERAGE(M46:GI46)</f>
        <v>9.6290504099999978</v>
      </c>
      <c r="H46" s="3">
        <f>MAX(M46:GI46)</f>
        <v>11.529261999999999</v>
      </c>
      <c r="I46" s="3">
        <f>MIN(M46:GI46)</f>
        <v>8.1225690000000004</v>
      </c>
      <c r="J46" s="3">
        <f>_xlfn.STDEV.P(M46:GI46)</f>
        <v>0.63595769141423375</v>
      </c>
      <c r="K46" s="3">
        <f>_xlfn.VAR.S(M46:GI46)</f>
        <v>0.40852745986759775</v>
      </c>
      <c r="M46" s="3">
        <v>10.171728</v>
      </c>
      <c r="N46" s="3">
        <v>9.0330600000000008</v>
      </c>
      <c r="O46" s="3">
        <v>9.9306199999999993</v>
      </c>
      <c r="P46" s="3">
        <v>9.5899669999999997</v>
      </c>
      <c r="Q46" s="3">
        <v>9.4860670000000002</v>
      </c>
      <c r="R46" s="3">
        <v>9.3142739999999993</v>
      </c>
      <c r="S46" s="3">
        <v>9.194115</v>
      </c>
      <c r="T46" s="3">
        <v>9.6894200000000001</v>
      </c>
      <c r="U46" s="3">
        <v>9.9569329999999994</v>
      </c>
      <c r="V46" s="3">
        <v>9.9379799999999996</v>
      </c>
      <c r="W46" s="3">
        <v>10.531767</v>
      </c>
      <c r="X46" s="3">
        <v>10.971444999999999</v>
      </c>
      <c r="Y46" s="3">
        <v>9.8716139999999992</v>
      </c>
      <c r="Z46" s="3">
        <v>9.7495670000000008</v>
      </c>
      <c r="AA46" s="3">
        <v>9.1376050000000006</v>
      </c>
      <c r="AB46" s="3">
        <v>10.114765</v>
      </c>
      <c r="AC46" s="3">
        <v>10.584989999999999</v>
      </c>
      <c r="AD46" s="3">
        <v>9.3397699999999997</v>
      </c>
      <c r="AE46" s="3">
        <v>9.6104470000000006</v>
      </c>
      <c r="AF46" s="3">
        <v>10.038074999999999</v>
      </c>
      <c r="AG46" s="3">
        <v>9.9186409999999992</v>
      </c>
      <c r="AH46" s="3">
        <v>9.2854880000000009</v>
      </c>
      <c r="AI46" s="3">
        <v>8.9935080000000003</v>
      </c>
      <c r="AJ46" s="3">
        <v>9.0553950000000007</v>
      </c>
      <c r="AK46" s="3">
        <v>9.9115479999999998</v>
      </c>
      <c r="AL46" s="3">
        <v>9.5585290000000001</v>
      </c>
      <c r="AM46" s="3">
        <v>8.6491579999999999</v>
      </c>
      <c r="AN46" s="3">
        <v>10.553461</v>
      </c>
      <c r="AO46" s="3">
        <v>9.7378440000000008</v>
      </c>
      <c r="AP46" s="3">
        <v>9.2857979999999998</v>
      </c>
      <c r="AQ46" s="3">
        <v>10.260553</v>
      </c>
      <c r="AR46" s="3">
        <v>9.672587</v>
      </c>
      <c r="AS46" s="3">
        <v>9.0969230000000003</v>
      </c>
      <c r="AT46" s="3">
        <v>9.9140040000000003</v>
      </c>
      <c r="AU46" s="3">
        <v>8.6894600000000004</v>
      </c>
      <c r="AV46" s="3">
        <v>10.056016</v>
      </c>
      <c r="AW46" s="3">
        <v>9.8514180000000007</v>
      </c>
      <c r="AX46" s="3">
        <v>9.5576749999999997</v>
      </c>
      <c r="AY46" s="3">
        <v>9.1125550000000004</v>
      </c>
      <c r="AZ46" s="3">
        <v>9.3121550000000006</v>
      </c>
      <c r="BA46" s="3">
        <v>9.844455</v>
      </c>
      <c r="BB46" s="3">
        <v>8.6617700000000006</v>
      </c>
      <c r="BC46" s="3">
        <v>9.8994619999999998</v>
      </c>
      <c r="BD46" s="3">
        <v>9.1932740000000006</v>
      </c>
      <c r="BE46" s="3">
        <v>9.7000019999999996</v>
      </c>
      <c r="BF46" s="3">
        <v>10.567774</v>
      </c>
      <c r="BG46" s="3">
        <v>9.860697</v>
      </c>
      <c r="BH46" s="3">
        <v>9.3829619999999991</v>
      </c>
      <c r="BI46" s="3">
        <v>10.848476</v>
      </c>
      <c r="BJ46" s="3">
        <v>10.462109999999999</v>
      </c>
      <c r="BK46" s="3">
        <v>8.6079790000000003</v>
      </c>
      <c r="BL46" s="3">
        <v>8.1225690000000004</v>
      </c>
      <c r="BM46" s="3">
        <v>10.111629000000001</v>
      </c>
      <c r="BN46" s="3">
        <v>11.529261999999999</v>
      </c>
      <c r="BO46" s="3">
        <v>9.4172539999999998</v>
      </c>
      <c r="BP46" s="3">
        <v>8.6773930000000004</v>
      </c>
      <c r="BQ46" s="3">
        <v>10.603548999999999</v>
      </c>
      <c r="BR46" s="3">
        <v>9.2476590000000005</v>
      </c>
      <c r="BS46" s="3">
        <v>8.670795</v>
      </c>
      <c r="BT46" s="3">
        <v>8.9617570000000004</v>
      </c>
      <c r="BU46" s="3">
        <v>9.3728149999999992</v>
      </c>
      <c r="BV46" s="3">
        <v>9.9264550000000007</v>
      </c>
      <c r="BW46" s="3">
        <v>8.8882879999999993</v>
      </c>
      <c r="BX46" s="3">
        <v>9.2925240000000002</v>
      </c>
      <c r="BY46" s="3">
        <v>8.9580400000000004</v>
      </c>
      <c r="BZ46" s="3">
        <v>9.6002430000000007</v>
      </c>
      <c r="CA46" s="3">
        <v>9.4751069999999995</v>
      </c>
      <c r="CB46" s="3">
        <v>9.8340010000000007</v>
      </c>
      <c r="CC46" s="3">
        <v>9.0748929999999994</v>
      </c>
      <c r="CD46" s="3">
        <v>9.8318639999999995</v>
      </c>
      <c r="CE46" s="3">
        <v>9.0828950000000006</v>
      </c>
      <c r="CF46" s="3">
        <v>10.249119</v>
      </c>
      <c r="CG46" s="3">
        <v>9.4410100000000003</v>
      </c>
      <c r="CH46" s="3">
        <v>9.1721330000000005</v>
      </c>
      <c r="CI46" s="3">
        <v>9.8759910000000009</v>
      </c>
      <c r="CJ46" s="3">
        <v>8.4302770000000002</v>
      </c>
      <c r="CK46" s="3">
        <v>9.9270720000000008</v>
      </c>
      <c r="CL46" s="3">
        <v>9.3092579999999998</v>
      </c>
      <c r="CM46" s="3">
        <v>9.6840790000000005</v>
      </c>
      <c r="CN46" s="3">
        <v>8.8561929999999993</v>
      </c>
      <c r="CO46" s="3">
        <v>9.2211990000000004</v>
      </c>
      <c r="CP46" s="3">
        <v>9.9834790000000009</v>
      </c>
      <c r="CQ46" s="3">
        <v>9.6158750000000008</v>
      </c>
      <c r="CR46" s="3">
        <v>10.529073</v>
      </c>
      <c r="CS46" s="3">
        <v>9.6291130000000003</v>
      </c>
      <c r="CT46" s="3">
        <v>8.9162990000000004</v>
      </c>
      <c r="CU46" s="3">
        <v>11.229635999999999</v>
      </c>
      <c r="CV46" s="3">
        <v>9.7708680000000001</v>
      </c>
      <c r="CW46" s="3">
        <v>9.4636910000000007</v>
      </c>
      <c r="CX46" s="3">
        <v>9.6871759999999991</v>
      </c>
      <c r="CY46" s="3">
        <v>9.7528769999999998</v>
      </c>
      <c r="CZ46" s="3">
        <v>8.6304929999999995</v>
      </c>
      <c r="DA46" s="3">
        <v>10.334801000000001</v>
      </c>
      <c r="DB46" s="3">
        <v>9.8363870000000002</v>
      </c>
      <c r="DC46" s="3">
        <v>8.7782219999999995</v>
      </c>
      <c r="DD46" s="3">
        <v>8.8682669999999995</v>
      </c>
      <c r="DE46" s="3">
        <v>10.261478</v>
      </c>
      <c r="DF46" s="3">
        <v>9.7992729999999995</v>
      </c>
      <c r="DG46" s="3">
        <v>10.20673</v>
      </c>
      <c r="DH46" s="3">
        <v>11.010094</v>
      </c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</row>
    <row r="47" spans="2:206" x14ac:dyDescent="0.2">
      <c r="G47" s="3"/>
      <c r="H47" s="3"/>
      <c r="I47" s="3"/>
      <c r="J47" s="3"/>
      <c r="K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</row>
    <row r="48" spans="2:206" x14ac:dyDescent="0.2">
      <c r="D48" t="s">
        <v>6</v>
      </c>
      <c r="E48" t="s">
        <v>1</v>
      </c>
      <c r="F48">
        <f>COUNT(M48:GI48)</f>
        <v>100</v>
      </c>
      <c r="G48" s="3">
        <f>AVERAGE(M48:GI48)</f>
        <v>9.7870442500000028</v>
      </c>
      <c r="H48" s="3">
        <f>MAX(M48:GI48)</f>
        <v>11.880655000000001</v>
      </c>
      <c r="I48" s="3">
        <f>MIN(M48:GI48)</f>
        <v>8.0224770000000003</v>
      </c>
      <c r="J48" s="3">
        <f>_xlfn.STDEV.P(M48:GI48)</f>
        <v>1.0041007249956044</v>
      </c>
      <c r="K48" s="3">
        <f>_xlfn.VAR.S(M48:GI48)</f>
        <v>1.0184022888249522</v>
      </c>
      <c r="M48" s="3">
        <v>8.9549679999999992</v>
      </c>
      <c r="N48" s="3">
        <v>11.520057</v>
      </c>
      <c r="O48" s="3">
        <v>10.770891000000001</v>
      </c>
      <c r="P48" s="3">
        <v>8.0224770000000003</v>
      </c>
      <c r="Q48" s="3">
        <v>11.617829</v>
      </c>
      <c r="R48" s="3">
        <v>9.0011840000000003</v>
      </c>
      <c r="S48" s="3">
        <v>9.1963880000000007</v>
      </c>
      <c r="T48" s="3">
        <v>11.188673</v>
      </c>
      <c r="U48" s="3">
        <v>8.6040600000000005</v>
      </c>
      <c r="V48" s="3">
        <v>11.685952</v>
      </c>
      <c r="W48" s="3">
        <v>10.436203000000001</v>
      </c>
      <c r="X48" s="3">
        <v>10.776355000000001</v>
      </c>
      <c r="Y48" s="3">
        <v>9.9493220000000004</v>
      </c>
      <c r="Z48" s="3">
        <v>9.7504589999999993</v>
      </c>
      <c r="AA48" s="3">
        <v>10.4755</v>
      </c>
      <c r="AB48" s="3">
        <v>11.235792</v>
      </c>
      <c r="AC48" s="3">
        <v>9.7396750000000001</v>
      </c>
      <c r="AD48" s="3">
        <v>10.722837</v>
      </c>
      <c r="AE48" s="3">
        <v>8.9728309999999993</v>
      </c>
      <c r="AF48" s="3">
        <v>10.782752</v>
      </c>
      <c r="AG48" s="3">
        <v>9.208183</v>
      </c>
      <c r="AH48" s="3">
        <v>11.473419</v>
      </c>
      <c r="AI48" s="3">
        <v>9.6724540000000001</v>
      </c>
      <c r="AJ48" s="3">
        <v>10.254334999999999</v>
      </c>
      <c r="AK48" s="3">
        <v>10.149955</v>
      </c>
      <c r="AL48" s="3">
        <v>8.8424359999999993</v>
      </c>
      <c r="AM48" s="3">
        <v>9.9533919999999991</v>
      </c>
      <c r="AN48" s="3">
        <v>9.2398530000000001</v>
      </c>
      <c r="AO48" s="3">
        <v>9.0782279999999993</v>
      </c>
      <c r="AP48" s="3">
        <v>10.155169000000001</v>
      </c>
      <c r="AQ48" s="3">
        <v>8.4909630000000007</v>
      </c>
      <c r="AR48" s="3">
        <v>9.7828160000000004</v>
      </c>
      <c r="AS48" s="3">
        <v>9.0596879999999995</v>
      </c>
      <c r="AT48" s="3">
        <v>8.9425220000000003</v>
      </c>
      <c r="AU48" s="3">
        <v>8.9315060000000006</v>
      </c>
      <c r="AV48" s="3">
        <v>8.6391240000000007</v>
      </c>
      <c r="AW48" s="3">
        <v>10.495521999999999</v>
      </c>
      <c r="AX48" s="3">
        <v>9.3211650000000006</v>
      </c>
      <c r="AY48" s="3">
        <v>9.2199419999999996</v>
      </c>
      <c r="AZ48" s="3">
        <v>9.1328420000000001</v>
      </c>
      <c r="BA48" s="3">
        <v>9.6521000000000008</v>
      </c>
      <c r="BB48" s="3">
        <v>9.4709430000000001</v>
      </c>
      <c r="BC48" s="3">
        <v>10.608325000000001</v>
      </c>
      <c r="BD48" s="3">
        <v>11.243873000000001</v>
      </c>
      <c r="BE48" s="3">
        <v>10.824149999999999</v>
      </c>
      <c r="BF48" s="3">
        <v>9.5386729999999993</v>
      </c>
      <c r="BG48" s="3">
        <v>8.7803640000000005</v>
      </c>
      <c r="BH48" s="3">
        <v>11.880655000000001</v>
      </c>
      <c r="BI48" s="3">
        <v>9.5560449999999992</v>
      </c>
      <c r="BJ48" s="3">
        <v>8.7415009999999995</v>
      </c>
      <c r="BK48" s="3">
        <v>10.811728</v>
      </c>
      <c r="BL48" s="3">
        <v>11.827458</v>
      </c>
      <c r="BM48" s="3">
        <v>10.695660999999999</v>
      </c>
      <c r="BN48" s="3">
        <v>9.9699430000000007</v>
      </c>
      <c r="BO48" s="3">
        <v>9.3831930000000003</v>
      </c>
      <c r="BP48" s="3">
        <v>8.5339589999999994</v>
      </c>
      <c r="BQ48" s="3">
        <v>8.4733809999999998</v>
      </c>
      <c r="BR48" s="3">
        <v>11.180717</v>
      </c>
      <c r="BS48" s="3">
        <v>10.690621999999999</v>
      </c>
      <c r="BT48" s="3">
        <v>10.612461</v>
      </c>
      <c r="BU48" s="3">
        <v>9.0959439999999994</v>
      </c>
      <c r="BV48" s="3">
        <v>9.6000809999999994</v>
      </c>
      <c r="BW48" s="3">
        <v>8.9397330000000004</v>
      </c>
      <c r="BX48" s="3">
        <v>8.1840209999999995</v>
      </c>
      <c r="BY48" s="3">
        <v>9.4030400000000007</v>
      </c>
      <c r="BZ48" s="3">
        <v>8.0515600000000003</v>
      </c>
      <c r="CA48" s="3">
        <v>8.121658</v>
      </c>
      <c r="CB48" s="3">
        <v>8.8174390000000002</v>
      </c>
      <c r="CC48" s="3">
        <v>8.8102640000000001</v>
      </c>
      <c r="CD48" s="3">
        <v>10.422167999999999</v>
      </c>
      <c r="CE48" s="3">
        <v>9.8113320000000002</v>
      </c>
      <c r="CF48" s="3">
        <v>9.573067</v>
      </c>
      <c r="CG48" s="3">
        <v>11.434345</v>
      </c>
      <c r="CH48" s="3">
        <v>9.0786289999999994</v>
      </c>
      <c r="CI48" s="3">
        <v>11.481899</v>
      </c>
      <c r="CJ48" s="3">
        <v>9.1328910000000008</v>
      </c>
      <c r="CK48" s="3">
        <v>8.9322999999999997</v>
      </c>
      <c r="CL48" s="3">
        <v>8.8744139999999998</v>
      </c>
      <c r="CM48" s="3">
        <v>9.4757200000000008</v>
      </c>
      <c r="CN48" s="3">
        <v>8.6491310000000006</v>
      </c>
      <c r="CO48" s="3">
        <v>9.8718540000000008</v>
      </c>
      <c r="CP48" s="3">
        <v>9.068346</v>
      </c>
      <c r="CQ48" s="3">
        <v>11.817501</v>
      </c>
      <c r="CR48" s="3">
        <v>10.983349</v>
      </c>
      <c r="CS48" s="3">
        <v>9.4296009999999999</v>
      </c>
      <c r="CT48" s="3">
        <v>8.7709240000000008</v>
      </c>
      <c r="CU48" s="3">
        <v>9.7894360000000002</v>
      </c>
      <c r="CV48" s="3">
        <v>10.840396</v>
      </c>
      <c r="CW48" s="3">
        <v>10.102505000000001</v>
      </c>
      <c r="CX48" s="3">
        <v>10.343750999999999</v>
      </c>
      <c r="CY48" s="3">
        <v>10.001182999999999</v>
      </c>
      <c r="CZ48" s="3">
        <v>9.7648910000000004</v>
      </c>
      <c r="DA48" s="3">
        <v>9.1118799999999993</v>
      </c>
      <c r="DB48" s="3">
        <v>8.5952439999999992</v>
      </c>
      <c r="DC48" s="3">
        <v>10.277388</v>
      </c>
      <c r="DD48" s="3">
        <v>8.4404859999999999</v>
      </c>
      <c r="DE48" s="3">
        <v>8.4620850000000001</v>
      </c>
      <c r="DF48" s="3">
        <v>9.5841360000000009</v>
      </c>
      <c r="DG48" s="3">
        <v>11.716041000000001</v>
      </c>
      <c r="DH48" s="3">
        <v>9.9203209999999995</v>
      </c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</row>
    <row r="49" spans="2:206" x14ac:dyDescent="0.2">
      <c r="G49" s="3"/>
      <c r="H49" s="3"/>
      <c r="I49" s="3"/>
      <c r="J49" s="3"/>
      <c r="K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</row>
    <row r="50" spans="2:206" x14ac:dyDescent="0.2"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</row>
    <row r="51" spans="2:206" x14ac:dyDescent="0.2">
      <c r="D51" s="1"/>
    </row>
    <row r="52" spans="2:206" x14ac:dyDescent="0.2">
      <c r="D52" s="1"/>
    </row>
    <row r="53" spans="2:206" x14ac:dyDescent="0.2">
      <c r="B53" s="2"/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</row>
    <row r="54" spans="2:206" x14ac:dyDescent="0.2">
      <c r="B54" s="2"/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</row>
    <row r="55" spans="2:206" x14ac:dyDescent="0.2">
      <c r="B55" s="2"/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</row>
    <row r="56" spans="2:206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</row>
    <row r="57" spans="2:206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</row>
    <row r="58" spans="2:206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</row>
    <row r="59" spans="2:206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</row>
    <row r="60" spans="2:206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</row>
    <row r="61" spans="2:206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</row>
    <row r="62" spans="2:206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</row>
    <row r="63" spans="2:206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</row>
    <row r="64" spans="2:206" x14ac:dyDescent="0.2">
      <c r="G64" s="3"/>
      <c r="H64" s="3"/>
      <c r="I64" s="3"/>
      <c r="J64" s="3"/>
      <c r="K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</row>
    <row r="65" spans="2:206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</row>
    <row r="66" spans="2:206" x14ac:dyDescent="0.2">
      <c r="G66" s="3"/>
      <c r="H66" s="3"/>
      <c r="I66" s="3"/>
      <c r="J66" s="3"/>
      <c r="K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</row>
    <row r="67" spans="2:206" x14ac:dyDescent="0.2"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</row>
    <row r="68" spans="2:206" x14ac:dyDescent="0.2"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</row>
    <row r="70" spans="2:206" x14ac:dyDescent="0.2">
      <c r="D70" s="1"/>
    </row>
    <row r="71" spans="2:206" x14ac:dyDescent="0.2">
      <c r="B71" s="2"/>
      <c r="G71" s="3"/>
      <c r="H71" s="3"/>
      <c r="I71" s="3"/>
      <c r="J71" s="3"/>
      <c r="K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</row>
    <row r="72" spans="2:206" x14ac:dyDescent="0.2">
      <c r="B72" s="2"/>
      <c r="G72" s="3"/>
      <c r="H72" s="3"/>
      <c r="I72" s="3"/>
      <c r="J72" s="3"/>
      <c r="K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</row>
    <row r="73" spans="2:206" x14ac:dyDescent="0.2">
      <c r="B73" s="2"/>
      <c r="G73" s="3"/>
      <c r="H73" s="3"/>
      <c r="I73" s="3"/>
      <c r="J73" s="3"/>
      <c r="K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</row>
    <row r="74" spans="2:206" x14ac:dyDescent="0.2">
      <c r="G74" s="3"/>
      <c r="H74" s="3"/>
      <c r="I74" s="3"/>
      <c r="J74" s="3"/>
      <c r="K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2:206" x14ac:dyDescent="0.2"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</row>
    <row r="76" spans="2:206" x14ac:dyDescent="0.2">
      <c r="G76" s="3"/>
      <c r="H76" s="3"/>
      <c r="I76" s="3"/>
      <c r="J76" s="3"/>
      <c r="K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</row>
    <row r="77" spans="2:206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</row>
    <row r="78" spans="2:206" x14ac:dyDescent="0.2">
      <c r="G78" s="3"/>
      <c r="H78" s="3"/>
      <c r="I78" s="3"/>
      <c r="J78" s="3"/>
      <c r="K78" s="3"/>
      <c r="M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</row>
    <row r="79" spans="2:206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</row>
    <row r="80" spans="2:206" x14ac:dyDescent="0.2">
      <c r="G80" s="3"/>
      <c r="H80" s="3"/>
      <c r="I80" s="3"/>
      <c r="J80" s="3"/>
      <c r="K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</row>
    <row r="81" spans="2:206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</row>
    <row r="82" spans="2:206" x14ac:dyDescent="0.2">
      <c r="G82" s="3"/>
      <c r="H82" s="3"/>
      <c r="I82" s="3"/>
      <c r="J82" s="3"/>
      <c r="K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</row>
    <row r="83" spans="2:206" x14ac:dyDescent="0.2">
      <c r="G83" s="3"/>
      <c r="H83" s="3"/>
      <c r="I83" s="3"/>
      <c r="J83" s="3"/>
      <c r="K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</row>
    <row r="84" spans="2:206" x14ac:dyDescent="0.2">
      <c r="G84" s="3"/>
      <c r="H84" s="3"/>
      <c r="I84" s="3"/>
      <c r="J84" s="3"/>
      <c r="K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</row>
    <row r="85" spans="2:206" x14ac:dyDescent="0.2"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</row>
    <row r="86" spans="2:206" x14ac:dyDescent="0.2"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</row>
    <row r="87" spans="2:206" x14ac:dyDescent="0.2">
      <c r="M87" s="3"/>
      <c r="N87" s="3"/>
    </row>
    <row r="88" spans="2:206" x14ac:dyDescent="0.2">
      <c r="D88" s="1"/>
    </row>
    <row r="89" spans="2:206" x14ac:dyDescent="0.2">
      <c r="B89" s="2"/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</row>
    <row r="90" spans="2:206" x14ac:dyDescent="0.2">
      <c r="B90" s="2"/>
      <c r="G90" s="3"/>
      <c r="H90" s="3"/>
      <c r="I90" s="3"/>
      <c r="J90" s="3"/>
      <c r="K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</row>
    <row r="91" spans="2:206" x14ac:dyDescent="0.2">
      <c r="B91" s="2"/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</row>
    <row r="92" spans="2:206" x14ac:dyDescent="0.2">
      <c r="G92" s="3"/>
      <c r="H92" s="3"/>
      <c r="I92" s="3"/>
      <c r="J92" s="3"/>
      <c r="K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</row>
    <row r="93" spans="2:206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</row>
    <row r="94" spans="2:206" x14ac:dyDescent="0.2">
      <c r="G94" s="3"/>
      <c r="H94" s="3"/>
      <c r="I94" s="3"/>
      <c r="J94" s="3"/>
      <c r="K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</row>
    <row r="95" spans="2:206" x14ac:dyDescent="0.2">
      <c r="G95" s="3"/>
      <c r="H95" s="3"/>
      <c r="I95" s="3"/>
      <c r="J95" s="3"/>
      <c r="K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</row>
    <row r="96" spans="2:206" x14ac:dyDescent="0.2">
      <c r="G96" s="3"/>
      <c r="H96" s="3"/>
      <c r="I96" s="3"/>
      <c r="J96" s="3"/>
      <c r="K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</row>
    <row r="97" spans="2:206" x14ac:dyDescent="0.2">
      <c r="G97" s="3"/>
      <c r="H97" s="3"/>
      <c r="I97" s="3"/>
      <c r="J97" s="3"/>
      <c r="K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</row>
    <row r="98" spans="2:206" x14ac:dyDescent="0.2">
      <c r="G98" s="3"/>
      <c r="H98" s="3"/>
      <c r="I98" s="3"/>
      <c r="J98" s="3"/>
      <c r="K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</row>
    <row r="99" spans="2:206" x14ac:dyDescent="0.2">
      <c r="G99" s="3"/>
      <c r="H99" s="3"/>
      <c r="I99" s="3"/>
      <c r="J99" s="3"/>
      <c r="K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</row>
    <row r="100" spans="2:206" x14ac:dyDescent="0.2">
      <c r="G100" s="3"/>
      <c r="H100" s="3"/>
      <c r="I100" s="3"/>
      <c r="J100" s="3"/>
      <c r="K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</row>
    <row r="101" spans="2:206" x14ac:dyDescent="0.2">
      <c r="G101" s="3"/>
      <c r="H101" s="3"/>
      <c r="I101" s="3"/>
      <c r="J101" s="3"/>
      <c r="K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</row>
    <row r="102" spans="2:206" x14ac:dyDescent="0.2">
      <c r="G102" s="3"/>
      <c r="H102" s="3"/>
      <c r="I102" s="3"/>
      <c r="J102" s="3"/>
      <c r="K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</row>
    <row r="103" spans="2:206" x14ac:dyDescent="0.2"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</row>
    <row r="104" spans="2:206" x14ac:dyDescent="0.2"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</row>
    <row r="105" spans="2:206" x14ac:dyDescent="0.2">
      <c r="M105" s="3"/>
      <c r="N105" s="3"/>
    </row>
    <row r="106" spans="2:206" x14ac:dyDescent="0.2">
      <c r="D106" s="1"/>
    </row>
    <row r="107" spans="2:206" x14ac:dyDescent="0.2">
      <c r="B107" s="2"/>
      <c r="G107" s="3"/>
      <c r="H107" s="3"/>
      <c r="I107" s="3"/>
      <c r="J107" s="3"/>
      <c r="K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</row>
    <row r="108" spans="2:206" x14ac:dyDescent="0.2">
      <c r="B108" s="2"/>
      <c r="G108" s="3"/>
      <c r="H108" s="3"/>
      <c r="I108" s="3"/>
      <c r="J108" s="3"/>
      <c r="K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</row>
    <row r="109" spans="2:206" x14ac:dyDescent="0.2">
      <c r="B109" s="2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</row>
    <row r="110" spans="2:206" x14ac:dyDescent="0.2"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</row>
    <row r="111" spans="2:206" x14ac:dyDescent="0.2">
      <c r="G111" s="3"/>
      <c r="H111" s="3"/>
      <c r="I111" s="3"/>
      <c r="J111" s="3"/>
      <c r="K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</row>
    <row r="112" spans="2:206" x14ac:dyDescent="0.2">
      <c r="G112" s="3"/>
      <c r="H112" s="3"/>
      <c r="I112" s="3"/>
      <c r="J112" s="3"/>
      <c r="K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</row>
    <row r="113" spans="7:206" x14ac:dyDescent="0.2">
      <c r="G113" s="3"/>
      <c r="H113" s="3"/>
      <c r="I113" s="3"/>
      <c r="J113" s="3"/>
      <c r="K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</row>
    <row r="114" spans="7:206" x14ac:dyDescent="0.2">
      <c r="G114" s="3"/>
      <c r="H114" s="3"/>
      <c r="I114" s="3"/>
      <c r="J114" s="3"/>
      <c r="K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</row>
    <row r="115" spans="7:206" x14ac:dyDescent="0.2">
      <c r="G115" s="3"/>
      <c r="H115" s="3"/>
      <c r="I115" s="3"/>
      <c r="J115" s="3"/>
      <c r="K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</row>
    <row r="116" spans="7:206" x14ac:dyDescent="0.2">
      <c r="G116" s="3"/>
      <c r="H116" s="3"/>
      <c r="I116" s="3"/>
      <c r="J116" s="3"/>
      <c r="K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</row>
    <row r="117" spans="7:206" x14ac:dyDescent="0.2">
      <c r="G117" s="3"/>
      <c r="H117" s="3"/>
      <c r="I117" s="3"/>
      <c r="J117" s="3"/>
      <c r="K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</row>
    <row r="118" spans="7:206" x14ac:dyDescent="0.2">
      <c r="G118" s="3"/>
      <c r="H118" s="3"/>
      <c r="I118" s="3"/>
      <c r="J118" s="3"/>
      <c r="K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</row>
    <row r="119" spans="7:206" x14ac:dyDescent="0.2">
      <c r="G119" s="3"/>
      <c r="H119" s="3"/>
      <c r="I119" s="3"/>
      <c r="J119" s="3"/>
      <c r="K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</row>
    <row r="120" spans="7:206" x14ac:dyDescent="0.2">
      <c r="G120" s="3"/>
      <c r="H120" s="3"/>
      <c r="I120" s="3"/>
      <c r="J120" s="3"/>
      <c r="K120" s="3"/>
      <c r="M120" s="3"/>
      <c r="N120" s="3"/>
      <c r="O120" s="3"/>
      <c r="P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</row>
    <row r="121" spans="7:206" x14ac:dyDescent="0.2"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2026-03-05T18:54:40Z</dcterms:modified>
</cp:coreProperties>
</file>