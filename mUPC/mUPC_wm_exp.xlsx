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mUPC/"/>
    </mc:Choice>
  </mc:AlternateContent>
  <xr:revisionPtr revIDLastSave="0" documentId="13_ncr:1_{B601B6AD-82E7-854A-A4E3-B84F17411912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G9" i="1" s="1"/>
  <c r="F20" i="1"/>
  <c r="G8" i="1" l="1"/>
  <c r="G6" i="1"/>
  <c r="G7" i="1"/>
  <c r="G10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<sst xmlns="http://schemas.openxmlformats.org/spreadsheetml/2006/main" count="138" uniqueCount="61">
  <si>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</si>
  <si>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</si>
  <si>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</si>
  <si>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</si>
  <si>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</si>
  <si>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</si>
  <si>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</si>
  <si>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</si>
  <si>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</si>
  <si>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</si>
  <si>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</si>
  <si>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</si>
  <si>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</si>
  <si>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</si>
  <si>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</si>
  <si>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</si>
  <si>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</si>
  <si>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</si>
  <si>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</si>
  <si>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</si>
  <si>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</si>
  <si>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</si>
  <si>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</si>
  <si>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</si>
  <si>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</si>
  <si>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</si>
  <si>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</si>
  <si>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</si>
  <si>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</si>
  <si>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</si>
  <si>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</si>
  <si>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</si>
  <si>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</si>
  <si>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</si>
  <si>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</si>
  <si>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</si>
  <si>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</si>
  <si>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</si>
  <si>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</si>
  <si>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</si>
  <si>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</si>
  <si>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</si>
  <si>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</si>
  <si>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</si>
  <si>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</si>
  <si>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</si>
  <si>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(hh_15)</t>
  </si>
  <si>
    <t>train_synth: (hh_14)</t>
  </si>
  <si>
    <t>train_synth: (hh_04)</t>
  </si>
  <si>
    <t>train_synth: (hh_01)</t>
  </si>
  <si>
    <t>WindowGRU_total</t>
  </si>
  <si>
    <t>Seq2Point_total</t>
  </si>
  <si>
    <t>RNN_total</t>
  </si>
  <si>
    <t>DAE_total</t>
  </si>
  <si>
    <t>Seq2Seq_total</t>
  </si>
  <si>
    <t>start_time': '2024-02-01'</t>
  </si>
  <si>
    <t>end_time': '2024-02-14'</t>
  </si>
  <si>
    <t>train: mUPC_dataset.h5</t>
  </si>
  <si>
    <t>test_real: test_dataset.h5</t>
  </si>
  <si>
    <t>MAE_total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</si>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</sst>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164" fontId="0" fillId="0" borderId="0" xfId="0" applyNumberFormat="1" applyBorder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6"/>
  <sheetViews>
    <sheetView tabSelected="1" workbookViewId="0">
      <selection activeCell="B18" sqref="B18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57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49</v>
      </c>
      <c r="B4" s="2" t="s">
        <v>55</v>
      </c>
      <c r="C4" s="2" t="s">
        <v>56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48</v>
      </c>
      <c r="B5" s="2" t="s">
        <v>55</v>
      </c>
      <c r="C5" s="2" t="s">
        <v>56</v>
      </c>
      <c r="E5" s="2"/>
      <c r="G5" s="6" t="s">
        <v>59</v>
      </c>
      <c r="H5" s="2"/>
      <c r="I5" s="2"/>
      <c r="J5" s="3"/>
      <c r="K5" s="2"/>
      <c r="L5" s="2"/>
    </row>
    <row r="6" spans="1:207" x14ac:dyDescent="0.2">
      <c r="A6" t="s">
        <v>47</v>
      </c>
      <c r="B6" s="2" t="s">
        <v>55</v>
      </c>
      <c r="C6" s="2" t="s">
        <v>56</v>
      </c>
      <c r="E6" s="2"/>
      <c r="F6" t="s">
        <v>52</v>
      </c>
      <c r="G6" s="3">
        <f>SUM(G14,G26,G38,G50,G62,G74,G86)/7</f>
        <v>24.129655530000001</v>
      </c>
      <c r="H6" s="4"/>
      <c r="I6" s="3"/>
      <c r="J6" s="3"/>
      <c r="K6" s="3"/>
      <c r="L6" s="2"/>
    </row>
    <row r="7" spans="1:207" x14ac:dyDescent="0.2">
      <c r="A7" t="s">
        <v>46</v>
      </c>
      <c r="B7" s="2" t="s">
        <v>55</v>
      </c>
      <c r="C7" s="2" t="s">
        <v>56</v>
      </c>
      <c r="E7" s="2"/>
      <c r="F7" t="s">
        <v>50</v>
      </c>
      <c r="G7" s="3">
        <f>SUM(G16,G28,G40,G52,G64,G76,G88)/7</f>
        <v>25.477372248571424</v>
      </c>
      <c r="H7" s="4"/>
      <c r="I7" s="3"/>
      <c r="J7" s="3"/>
      <c r="K7" s="3"/>
      <c r="L7" s="2"/>
    </row>
    <row r="8" spans="1:207" x14ac:dyDescent="0.2">
      <c r="A8" t="s">
        <v>58</v>
      </c>
      <c r="E8" s="2"/>
      <c r="F8" t="s">
        <v>53</v>
      </c>
      <c r="G8" s="3">
        <f>SUM(G18,G30,G42,G54,G66,G78,G90)/7</f>
        <v>29.293753701428567</v>
      </c>
      <c r="H8" s="4"/>
      <c r="I8" s="3"/>
      <c r="J8" s="3"/>
      <c r="K8" s="3"/>
    </row>
    <row r="9" spans="1:207" x14ac:dyDescent="0.2">
      <c r="A9" t="s">
        <v>45</v>
      </c>
      <c r="B9" s="2"/>
      <c r="C9" s="2"/>
      <c r="D9" s="2"/>
      <c r="E9" s="2"/>
      <c r="F9" t="s">
        <v>54</v>
      </c>
      <c r="G9" s="3">
        <f>SUM(G20,G32,G44,G56,G68,G80,G92)/7</f>
        <v>23.743383952857148</v>
      </c>
      <c r="H9" s="4"/>
      <c r="I9" s="3"/>
      <c r="J9" s="3"/>
      <c r="K9" s="3"/>
    </row>
    <row r="10" spans="1:207" x14ac:dyDescent="0.2">
      <c r="A10" t="s">
        <v>7</v>
      </c>
      <c r="F10" t="s">
        <v>51</v>
      </c>
      <c r="G10" s="3">
        <f>SUM(G22,G34,G46,G58,G70,G82,G94)/7</f>
        <v>23.86002466857143</v>
      </c>
      <c r="H10" s="4"/>
      <c r="I10" s="3"/>
      <c r="J10" s="3"/>
      <c r="K10" s="3"/>
    </row>
    <row r="11" spans="1:207" x14ac:dyDescent="0.2">
      <c r="G11" s="5"/>
      <c r="H11" s="5"/>
    </row>
    <row r="12" spans="1:207" x14ac:dyDescent="0.2">
      <c r="B12" t="s">
        <v>60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14.468244110000002</v>
      </c>
      <c r="H14" s="3">
        <f>MAX(M14:GJ14)</f>
        <v>21.101887000000001</v>
      </c>
      <c r="I14" s="3">
        <f>MIN(M14:GJ14)</f>
        <v>8.5918759999999992</v>
      </c>
      <c r="J14" s="3">
        <f>_xlfn.STDEV.P(M14:GJ14)</f>
        <v>2.3049570206008045</v>
      </c>
      <c r="K14" s="3">
        <f>_xlfn.VAR.S(M14:GJ14)</f>
        <v>5.3664917846635758</v>
      </c>
      <c r="M14" s="3">
        <v>15.375721</v>
      </c>
      <c r="N14" s="3">
        <v>13.202218999999999</v>
      </c>
      <c r="O14" s="3">
        <v>15.115276</v>
      </c>
      <c r="P14" s="3">
        <v>18.897359999999999</v>
      </c>
      <c r="Q14" s="3">
        <v>17.134046999999999</v>
      </c>
      <c r="R14" s="3">
        <v>12.916171</v>
      </c>
      <c r="S14" s="3">
        <v>15.341707</v>
      </c>
      <c r="T14" s="3">
        <v>15.693134000000001</v>
      </c>
      <c r="U14" s="3">
        <v>14.514941</v>
      </c>
      <c r="V14" s="3">
        <v>15.011917</v>
      </c>
      <c r="W14" s="3">
        <v>15.813734</v>
      </c>
      <c r="X14" s="3">
        <v>13.208247</v>
      </c>
      <c r="Y14" s="3">
        <v>11.776002</v>
      </c>
      <c r="Z14" s="3">
        <v>17.328938999999998</v>
      </c>
      <c r="AA14" s="3">
        <v>12.786752999999999</v>
      </c>
      <c r="AB14" s="3">
        <v>15.919736</v>
      </c>
      <c r="AC14" s="3">
        <v>13.386279999999999</v>
      </c>
      <c r="AD14" s="3">
        <v>16.550117</v>
      </c>
      <c r="AE14" s="3">
        <v>15.877674000000001</v>
      </c>
      <c r="AF14" s="3">
        <v>14.454515000000001</v>
      </c>
      <c r="AG14" s="3">
        <v>12.587419000000001</v>
      </c>
      <c r="AH14" s="3">
        <v>12.924231000000001</v>
      </c>
      <c r="AI14" s="3">
        <v>14.480788</v>
      </c>
      <c r="AJ14" s="3">
        <v>10.609783</v>
      </c>
      <c r="AK14" s="3">
        <v>11.186801000000001</v>
      </c>
      <c r="AL14" s="3">
        <v>12.591645</v>
      </c>
      <c r="AM14" s="3">
        <v>13.945489</v>
      </c>
      <c r="AN14" s="3">
        <v>13.075976000000001</v>
      </c>
      <c r="AO14" s="3">
        <v>14.507417999999999</v>
      </c>
      <c r="AP14" s="3">
        <v>15.024198999999999</v>
      </c>
      <c r="AQ14" s="3">
        <v>13.540778</v>
      </c>
      <c r="AR14" s="3">
        <v>12.810959</v>
      </c>
      <c r="AS14" s="3">
        <v>20.066143</v>
      </c>
      <c r="AT14" s="3">
        <v>14.359348000000001</v>
      </c>
      <c r="AU14" s="3">
        <v>12.386267</v>
      </c>
      <c r="AV14" s="3">
        <v>17.356013999999998</v>
      </c>
      <c r="AW14" s="3">
        <v>13.852326</v>
      </c>
      <c r="AX14" s="3">
        <v>11.748453</v>
      </c>
      <c r="AY14" s="3">
        <v>14.826302999999999</v>
      </c>
      <c r="AZ14" s="3">
        <v>15.581906</v>
      </c>
      <c r="BA14" s="3">
        <v>12.269898</v>
      </c>
      <c r="BB14" s="3">
        <v>11.459641</v>
      </c>
      <c r="BC14" s="3">
        <v>16.099699000000001</v>
      </c>
      <c r="BD14" s="3">
        <v>14.532627</v>
      </c>
      <c r="BE14" s="3">
        <v>16.777853</v>
      </c>
      <c r="BF14" s="3">
        <v>11.693148000000001</v>
      </c>
      <c r="BG14" s="3">
        <v>18.259274000000001</v>
      </c>
      <c r="BH14" s="3">
        <v>13.668241999999999</v>
      </c>
      <c r="BI14" s="3">
        <v>16.863012000000001</v>
      </c>
      <c r="BJ14" s="3">
        <v>10.470992000000001</v>
      </c>
      <c r="BK14" s="3">
        <v>13.229514999999999</v>
      </c>
      <c r="BL14" s="3">
        <v>17.823523999999999</v>
      </c>
      <c r="BM14" s="3">
        <v>11.075384</v>
      </c>
      <c r="BN14" s="3">
        <v>16.352464999999999</v>
      </c>
      <c r="BO14" s="3">
        <v>18.990497999999999</v>
      </c>
      <c r="BP14" s="3">
        <v>13.455412000000001</v>
      </c>
      <c r="BQ14" s="3">
        <v>10.253857</v>
      </c>
      <c r="BR14" s="3">
        <v>14.114955</v>
      </c>
      <c r="BS14" s="3">
        <v>14.251507999999999</v>
      </c>
      <c r="BT14" s="3">
        <v>12.410902</v>
      </c>
      <c r="BU14" s="3">
        <v>13.855104000000001</v>
      </c>
      <c r="BV14" s="3">
        <v>15.051928999999999</v>
      </c>
      <c r="BW14" s="3">
        <v>14.253123</v>
      </c>
      <c r="BX14" s="3">
        <v>15.377205999999999</v>
      </c>
      <c r="BY14" s="3">
        <v>12.61393</v>
      </c>
      <c r="BZ14" s="3">
        <v>11.667818</v>
      </c>
      <c r="CA14" s="3">
        <v>13.491317</v>
      </c>
      <c r="CB14" s="3">
        <v>16.156466999999999</v>
      </c>
      <c r="CC14" s="3">
        <v>16.754244</v>
      </c>
      <c r="CD14" s="3">
        <v>14.154783999999999</v>
      </c>
      <c r="CE14" s="3">
        <v>11.934369999999999</v>
      </c>
      <c r="CF14" s="3">
        <v>15.447929999999999</v>
      </c>
      <c r="CG14" s="3">
        <v>18.807772</v>
      </c>
      <c r="CH14" s="3">
        <v>13.897499</v>
      </c>
      <c r="CI14" s="3">
        <v>14.295237999999999</v>
      </c>
      <c r="CJ14" s="3">
        <v>12.018732999999999</v>
      </c>
      <c r="CK14" s="3">
        <v>16.403368</v>
      </c>
      <c r="CL14" s="3">
        <v>13.882644000000001</v>
      </c>
      <c r="CM14" s="3">
        <v>17.946693</v>
      </c>
      <c r="CN14" s="3">
        <v>17.330632999999999</v>
      </c>
      <c r="CO14" s="3">
        <v>18.900133</v>
      </c>
      <c r="CP14" s="3">
        <v>13.440395000000001</v>
      </c>
      <c r="CQ14" s="3">
        <v>15.609583000000001</v>
      </c>
      <c r="CR14" s="3">
        <v>9.8770699999999998</v>
      </c>
      <c r="CS14" s="3">
        <v>12.991737000000001</v>
      </c>
      <c r="CT14" s="3">
        <v>14.691641000000001</v>
      </c>
      <c r="CU14" s="3">
        <v>14.819098</v>
      </c>
      <c r="CV14" s="3">
        <v>15.431089999999999</v>
      </c>
      <c r="CW14" s="3">
        <v>21.101887000000001</v>
      </c>
      <c r="CX14" s="3">
        <v>12.317311</v>
      </c>
      <c r="CY14" s="3">
        <v>14.1647</v>
      </c>
      <c r="CZ14" s="3">
        <v>15.199353</v>
      </c>
      <c r="DA14" s="3">
        <v>16.093271000000001</v>
      </c>
      <c r="DB14" s="3">
        <v>13.604974</v>
      </c>
      <c r="DC14" s="3">
        <v>12.994786</v>
      </c>
      <c r="DD14" s="3">
        <v>11.543122</v>
      </c>
      <c r="DE14" s="3">
        <v>8.5918759999999992</v>
      </c>
      <c r="DF14" s="3">
        <v>17.174016999999999</v>
      </c>
      <c r="DG14" s="3">
        <v>15.992371</v>
      </c>
      <c r="DH14" s="3">
        <v>15.126052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17.571033809999999</v>
      </c>
      <c r="H16" s="3">
        <f>MAX(M16:GJ16)</f>
        <v>30.603328999999999</v>
      </c>
      <c r="I16" s="3">
        <f>MIN(M16:GJ16)</f>
        <v>9.6456630000000008</v>
      </c>
      <c r="J16" s="3">
        <f>_xlfn.STDEV.P(M16:GJ16)</f>
        <v>5.4075127584006486</v>
      </c>
      <c r="K16" s="3">
        <f>_xlfn.VAR.S(M16:GJ16)</f>
        <v>29.536559830571484</v>
      </c>
      <c r="M16" s="3">
        <v>13.962914</v>
      </c>
      <c r="N16" s="3">
        <v>12.103265</v>
      </c>
      <c r="O16" s="3">
        <v>15.068542000000001</v>
      </c>
      <c r="P16" s="3">
        <v>16.780645</v>
      </c>
      <c r="Q16" s="3">
        <v>17.373009</v>
      </c>
      <c r="R16" s="3">
        <v>17.332338</v>
      </c>
      <c r="S16" s="3">
        <v>24.745173999999999</v>
      </c>
      <c r="T16" s="3">
        <v>25.190441</v>
      </c>
      <c r="U16" s="3">
        <v>12.408772000000001</v>
      </c>
      <c r="V16" s="3">
        <v>25.466995000000001</v>
      </c>
      <c r="W16" s="3">
        <v>30.603328999999999</v>
      </c>
      <c r="X16" s="3">
        <v>15.822856</v>
      </c>
      <c r="Y16" s="3">
        <v>16.611229000000002</v>
      </c>
      <c r="Z16" s="3">
        <v>20.501094999999999</v>
      </c>
      <c r="AA16" s="3">
        <v>14.689818000000001</v>
      </c>
      <c r="AB16" s="3">
        <v>12.956364000000001</v>
      </c>
      <c r="AC16" s="3">
        <v>25.517340000000001</v>
      </c>
      <c r="AD16" s="3">
        <v>18.337914999999999</v>
      </c>
      <c r="AE16" s="3">
        <v>24.762246999999999</v>
      </c>
      <c r="AF16" s="3">
        <v>16.707360999999999</v>
      </c>
      <c r="AG16" s="3">
        <v>15.678812000000001</v>
      </c>
      <c r="AH16" s="3">
        <v>25.936962000000001</v>
      </c>
      <c r="AI16" s="3">
        <v>28.329401000000001</v>
      </c>
      <c r="AJ16" s="3">
        <v>17.33877</v>
      </c>
      <c r="AK16" s="3">
        <v>17.773502000000001</v>
      </c>
      <c r="AL16" s="3">
        <v>13.808823</v>
      </c>
      <c r="AM16" s="3">
        <v>10.929611</v>
      </c>
      <c r="AN16" s="3">
        <v>14.98977</v>
      </c>
      <c r="AO16" s="3">
        <v>13.301201000000001</v>
      </c>
      <c r="AP16" s="3">
        <v>12.47383</v>
      </c>
      <c r="AQ16" s="3">
        <v>14.482841000000001</v>
      </c>
      <c r="AR16" s="3">
        <v>23.824708999999999</v>
      </c>
      <c r="AS16" s="3">
        <v>24.888227000000001</v>
      </c>
      <c r="AT16" s="3">
        <v>18.474243000000001</v>
      </c>
      <c r="AU16" s="3">
        <v>25.318031000000001</v>
      </c>
      <c r="AV16" s="3">
        <v>26.248709000000002</v>
      </c>
      <c r="AW16" s="3">
        <v>13.666091</v>
      </c>
      <c r="AX16" s="3">
        <v>10.675606</v>
      </c>
      <c r="AY16" s="3">
        <v>13.92618</v>
      </c>
      <c r="AZ16" s="3">
        <v>12.135978</v>
      </c>
      <c r="BA16" s="3">
        <v>12.530052</v>
      </c>
      <c r="BB16" s="3">
        <v>26.626145999999999</v>
      </c>
      <c r="BC16" s="3">
        <v>11.82954</v>
      </c>
      <c r="BD16" s="3">
        <v>19.047947000000001</v>
      </c>
      <c r="BE16" s="3">
        <v>10.660710999999999</v>
      </c>
      <c r="BF16" s="3">
        <v>11.514288000000001</v>
      </c>
      <c r="BG16" s="3">
        <v>27.086866000000001</v>
      </c>
      <c r="BH16" s="3">
        <v>24.911010999999998</v>
      </c>
      <c r="BI16" s="3">
        <v>16.392323999999999</v>
      </c>
      <c r="BJ16" s="3">
        <v>12.926062</v>
      </c>
      <c r="BK16" s="3">
        <v>12.499701</v>
      </c>
      <c r="BL16" s="3">
        <v>16.189419000000001</v>
      </c>
      <c r="BM16" s="3">
        <v>23.749063</v>
      </c>
      <c r="BN16" s="3">
        <v>16.273529</v>
      </c>
      <c r="BO16" s="3">
        <v>22.000724999999999</v>
      </c>
      <c r="BP16" s="3">
        <v>17.933498</v>
      </c>
      <c r="BQ16" s="3">
        <v>17.782246000000001</v>
      </c>
      <c r="BR16" s="3">
        <v>23.537209000000001</v>
      </c>
      <c r="BS16" s="3">
        <v>12.859582</v>
      </c>
      <c r="BT16" s="3">
        <v>26.80378</v>
      </c>
      <c r="BU16" s="3">
        <v>27.074376999999998</v>
      </c>
      <c r="BV16" s="3">
        <v>14.307009000000001</v>
      </c>
      <c r="BW16" s="3">
        <v>23.387513999999999</v>
      </c>
      <c r="BX16" s="3">
        <v>14.258730999999999</v>
      </c>
      <c r="BY16" s="3">
        <v>12.468272000000001</v>
      </c>
      <c r="BZ16" s="3">
        <v>17.370208999999999</v>
      </c>
      <c r="CA16" s="3">
        <v>14.501246</v>
      </c>
      <c r="CB16" s="3">
        <v>23.980637000000002</v>
      </c>
      <c r="CC16" s="3">
        <v>28.773237000000002</v>
      </c>
      <c r="CD16" s="3">
        <v>17.505178000000001</v>
      </c>
      <c r="CE16" s="3">
        <v>13.755141999999999</v>
      </c>
      <c r="CF16" s="3">
        <v>22.013860999999999</v>
      </c>
      <c r="CG16" s="3">
        <v>24.650095</v>
      </c>
      <c r="CH16" s="3">
        <v>10.867236999999999</v>
      </c>
      <c r="CI16" s="3">
        <v>13.168464</v>
      </c>
      <c r="CJ16" s="3">
        <v>17.354465000000001</v>
      </c>
      <c r="CK16" s="3">
        <v>11.662152000000001</v>
      </c>
      <c r="CL16" s="3">
        <v>22.501579</v>
      </c>
      <c r="CM16" s="3">
        <v>14.013591999999999</v>
      </c>
      <c r="CN16" s="3">
        <v>12.615831999999999</v>
      </c>
      <c r="CO16" s="3">
        <v>15.012877</v>
      </c>
      <c r="CP16" s="3">
        <v>11.850944999999999</v>
      </c>
      <c r="CQ16" s="3">
        <v>21.803974</v>
      </c>
      <c r="CR16" s="3">
        <v>11.527260999999999</v>
      </c>
      <c r="CS16" s="3">
        <v>15.611757000000001</v>
      </c>
      <c r="CT16" s="3">
        <v>22.221806000000001</v>
      </c>
      <c r="CU16" s="3">
        <v>15.857663000000001</v>
      </c>
      <c r="CV16" s="3">
        <v>17.591799000000002</v>
      </c>
      <c r="CW16" s="3">
        <v>13.86373</v>
      </c>
      <c r="CX16" s="3">
        <v>13.685280000000001</v>
      </c>
      <c r="CY16" s="3">
        <v>11.335623999999999</v>
      </c>
      <c r="CZ16" s="3">
        <v>11.841723</v>
      </c>
      <c r="DA16" s="3">
        <v>16.509111000000001</v>
      </c>
      <c r="DB16" s="3">
        <v>24.682941</v>
      </c>
      <c r="DC16" s="3">
        <v>16.102447999999999</v>
      </c>
      <c r="DD16" s="3">
        <v>12.673640000000001</v>
      </c>
      <c r="DE16" s="3">
        <v>9.7810109999999995</v>
      </c>
      <c r="DF16" s="3">
        <v>23.1127</v>
      </c>
      <c r="DG16" s="3">
        <v>11.865954</v>
      </c>
      <c r="DH16" s="3">
        <v>9.6456630000000008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25.161910039999988</v>
      </c>
      <c r="H18" s="3">
        <f>MAX(M18:GJ18)</f>
        <v>28.619243999999998</v>
      </c>
      <c r="I18" s="3">
        <f>MIN(M18:GJ18)</f>
        <v>22.823136999999999</v>
      </c>
      <c r="J18" s="3">
        <f>_xlfn.STDEV.P(M18:GJ18)</f>
        <v>1.1041684173004578</v>
      </c>
      <c r="K18" s="3">
        <f>_xlfn.VAR.S(M18:GJ18)</f>
        <v>1.2315029229937353</v>
      </c>
      <c r="M18" s="3">
        <v>24.778479000000001</v>
      </c>
      <c r="N18" s="3">
        <v>24.751740999999999</v>
      </c>
      <c r="O18" s="3">
        <v>25.004463000000001</v>
      </c>
      <c r="P18" s="3">
        <v>26.393991</v>
      </c>
      <c r="Q18" s="3">
        <v>23.839656999999999</v>
      </c>
      <c r="R18" s="3">
        <v>23.882683</v>
      </c>
      <c r="S18" s="3">
        <v>25.066210000000002</v>
      </c>
      <c r="T18" s="3">
        <v>25.254576</v>
      </c>
      <c r="U18" s="3">
        <v>25.632607</v>
      </c>
      <c r="V18" s="3">
        <v>25.173850999999999</v>
      </c>
      <c r="W18" s="3">
        <v>23.319317000000002</v>
      </c>
      <c r="X18" s="3">
        <v>25.721632</v>
      </c>
      <c r="Y18" s="3">
        <v>23.809753000000001</v>
      </c>
      <c r="Z18" s="3">
        <v>25.554459000000001</v>
      </c>
      <c r="AA18" s="3">
        <v>26.022911000000001</v>
      </c>
      <c r="AB18" s="3">
        <v>26.283591999999999</v>
      </c>
      <c r="AC18" s="3">
        <v>24.055021</v>
      </c>
      <c r="AD18" s="3">
        <v>23.730633000000001</v>
      </c>
      <c r="AE18" s="3">
        <v>24.753305000000001</v>
      </c>
      <c r="AF18" s="3">
        <v>26.256976999999999</v>
      </c>
      <c r="AG18" s="3">
        <v>27.109949</v>
      </c>
      <c r="AH18" s="3">
        <v>24.643805</v>
      </c>
      <c r="AI18" s="3">
        <v>23.646153999999999</v>
      </c>
      <c r="AJ18" s="3">
        <v>25.205482</v>
      </c>
      <c r="AK18" s="3">
        <v>23.701222999999999</v>
      </c>
      <c r="AL18" s="3">
        <v>25.848299000000001</v>
      </c>
      <c r="AM18" s="3">
        <v>24.791112999999999</v>
      </c>
      <c r="AN18" s="3">
        <v>23.670190999999999</v>
      </c>
      <c r="AO18" s="3">
        <v>27.323613999999999</v>
      </c>
      <c r="AP18" s="3">
        <v>24.542221000000001</v>
      </c>
      <c r="AQ18" s="3">
        <v>23.083838</v>
      </c>
      <c r="AR18" s="3">
        <v>24.735491</v>
      </c>
      <c r="AS18" s="3">
        <v>25.706202000000001</v>
      </c>
      <c r="AT18" s="3">
        <v>25.362425000000002</v>
      </c>
      <c r="AU18" s="3">
        <v>26.446937999999999</v>
      </c>
      <c r="AV18" s="3">
        <v>23.579418</v>
      </c>
      <c r="AW18" s="3">
        <v>23.934691999999998</v>
      </c>
      <c r="AX18" s="3">
        <v>25.837655999999999</v>
      </c>
      <c r="AY18" s="3">
        <v>24.983017</v>
      </c>
      <c r="AZ18" s="3">
        <v>24.082754000000001</v>
      </c>
      <c r="BA18" s="3">
        <v>24.318977</v>
      </c>
      <c r="BB18" s="3">
        <v>27.236844999999999</v>
      </c>
      <c r="BC18" s="3">
        <v>26.801552000000001</v>
      </c>
      <c r="BD18" s="3">
        <v>25.144794000000001</v>
      </c>
      <c r="BE18" s="3">
        <v>26.429303999999998</v>
      </c>
      <c r="BF18" s="3">
        <v>24.860351999999999</v>
      </c>
      <c r="BG18" s="3">
        <v>24.599575000000002</v>
      </c>
      <c r="BH18" s="3">
        <v>24.581105999999998</v>
      </c>
      <c r="BI18" s="3">
        <v>23.810607999999998</v>
      </c>
      <c r="BJ18" s="3">
        <v>24.363126999999999</v>
      </c>
      <c r="BK18" s="3">
        <v>25.910343000000001</v>
      </c>
      <c r="BL18" s="3">
        <v>24.193677999999998</v>
      </c>
      <c r="BM18" s="3">
        <v>27.247579999999999</v>
      </c>
      <c r="BN18" s="3">
        <v>26.473956999999999</v>
      </c>
      <c r="BO18" s="3">
        <v>26.196299</v>
      </c>
      <c r="BP18" s="3">
        <v>24.864708</v>
      </c>
      <c r="BQ18" s="3">
        <v>25.348542999999999</v>
      </c>
      <c r="BR18" s="3">
        <v>24.768923000000001</v>
      </c>
      <c r="BS18" s="3">
        <v>26.736775999999999</v>
      </c>
      <c r="BT18" s="3">
        <v>25.751377000000002</v>
      </c>
      <c r="BU18" s="3">
        <v>26.454122999999999</v>
      </c>
      <c r="BV18" s="3">
        <v>27.497774</v>
      </c>
      <c r="BW18" s="3">
        <v>24.742236999999999</v>
      </c>
      <c r="BX18" s="3">
        <v>24.037299999999998</v>
      </c>
      <c r="BY18" s="3">
        <v>25.491354000000001</v>
      </c>
      <c r="BZ18" s="3">
        <v>25.376511000000001</v>
      </c>
      <c r="CA18" s="3">
        <v>26.127268000000001</v>
      </c>
      <c r="CB18" s="3">
        <v>23.637039000000001</v>
      </c>
      <c r="CC18" s="3">
        <v>24.945792999999998</v>
      </c>
      <c r="CD18" s="3">
        <v>25.349274000000001</v>
      </c>
      <c r="CE18" s="3">
        <v>25.492546000000001</v>
      </c>
      <c r="CF18" s="3">
        <v>25.331104</v>
      </c>
      <c r="CG18" s="3">
        <v>25.982610999999999</v>
      </c>
      <c r="CH18" s="3">
        <v>23.221938999999999</v>
      </c>
      <c r="CI18" s="3">
        <v>25.574144</v>
      </c>
      <c r="CJ18" s="3">
        <v>24.666049999999998</v>
      </c>
      <c r="CK18" s="3">
        <v>25.141022</v>
      </c>
      <c r="CL18" s="3">
        <v>23.287898999999999</v>
      </c>
      <c r="CM18" s="3">
        <v>25.111626000000001</v>
      </c>
      <c r="CN18" s="3">
        <v>24.961684999999999</v>
      </c>
      <c r="CO18" s="3">
        <v>24.129469</v>
      </c>
      <c r="CP18" s="3">
        <v>25.022628999999998</v>
      </c>
      <c r="CQ18" s="3">
        <v>25.646996999999999</v>
      </c>
      <c r="CR18" s="3">
        <v>25.000008000000001</v>
      </c>
      <c r="CS18" s="3">
        <v>26.414515999999999</v>
      </c>
      <c r="CT18" s="3">
        <v>24.778469000000001</v>
      </c>
      <c r="CU18" s="3">
        <v>24.585871000000001</v>
      </c>
      <c r="CV18" s="3">
        <v>25.375786000000002</v>
      </c>
      <c r="CW18" s="3">
        <v>25.762331</v>
      </c>
      <c r="CX18" s="3">
        <v>26.165410999999999</v>
      </c>
      <c r="CY18" s="3">
        <v>26.182766000000001</v>
      </c>
      <c r="CZ18" s="3">
        <v>24.248850000000001</v>
      </c>
      <c r="DA18" s="3">
        <v>24.046151999999999</v>
      </c>
      <c r="DB18" s="3">
        <v>25.924557</v>
      </c>
      <c r="DC18" s="3">
        <v>28.619243999999998</v>
      </c>
      <c r="DD18" s="3">
        <v>24.507565</v>
      </c>
      <c r="DE18" s="3">
        <v>24.901024</v>
      </c>
      <c r="DF18" s="3">
        <v>22.823136999999999</v>
      </c>
      <c r="DG18" s="3">
        <v>25.241904999999999</v>
      </c>
      <c r="DH18" s="3">
        <v>27.226254000000001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16.35383062</v>
      </c>
      <c r="H20" s="3">
        <f>MAX(M20:GJ20)</f>
        <v>23.959416999999998</v>
      </c>
      <c r="I20" s="3">
        <f>MIN(M20:GJ20)</f>
        <v>9.8517700000000001</v>
      </c>
      <c r="J20" s="3">
        <f>_xlfn.STDEV.P(M20:GJ20)</f>
        <v>3.1595824663542373</v>
      </c>
      <c r="K20" s="3">
        <f>_xlfn.VAR.S(M20:GJ20)</f>
        <v>10.08379935524558</v>
      </c>
      <c r="M20" s="3">
        <v>13.822794</v>
      </c>
      <c r="N20" s="3">
        <v>15.488810000000001</v>
      </c>
      <c r="O20" s="3">
        <v>14.336943</v>
      </c>
      <c r="P20" s="3">
        <v>18.236477000000001</v>
      </c>
      <c r="Q20" s="3">
        <v>17.088750999999998</v>
      </c>
      <c r="R20" s="3">
        <v>14.295705999999999</v>
      </c>
      <c r="S20" s="3">
        <v>21.055171999999999</v>
      </c>
      <c r="T20" s="3">
        <v>19.724936</v>
      </c>
      <c r="U20" s="3">
        <v>18.318451</v>
      </c>
      <c r="V20" s="3">
        <v>17.507019</v>
      </c>
      <c r="W20" s="3">
        <v>13.595067999999999</v>
      </c>
      <c r="X20" s="3">
        <v>15.648717</v>
      </c>
      <c r="Y20" s="3">
        <v>10.297966000000001</v>
      </c>
      <c r="Z20" s="3">
        <v>14.664061999999999</v>
      </c>
      <c r="AA20" s="3">
        <v>15.708933</v>
      </c>
      <c r="AB20" s="3">
        <v>18.888370999999999</v>
      </c>
      <c r="AC20" s="3">
        <v>12.783956</v>
      </c>
      <c r="AD20" s="3">
        <v>14.753534999999999</v>
      </c>
      <c r="AE20" s="3">
        <v>19.214293000000001</v>
      </c>
      <c r="AF20" s="3">
        <v>12.341517</v>
      </c>
      <c r="AG20" s="3">
        <v>11.630781000000001</v>
      </c>
      <c r="AH20" s="3">
        <v>23.959416999999998</v>
      </c>
      <c r="AI20" s="3">
        <v>20.579298000000001</v>
      </c>
      <c r="AJ20" s="3">
        <v>19.211348000000001</v>
      </c>
      <c r="AK20" s="3">
        <v>17.743739999999999</v>
      </c>
      <c r="AL20" s="3">
        <v>15.424963</v>
      </c>
      <c r="AM20" s="3">
        <v>17.59956</v>
      </c>
      <c r="AN20" s="3">
        <v>12.166332000000001</v>
      </c>
      <c r="AO20" s="3">
        <v>15.650639999999999</v>
      </c>
      <c r="AP20" s="3">
        <v>18.384830000000001</v>
      </c>
      <c r="AQ20" s="3">
        <v>17.834413999999999</v>
      </c>
      <c r="AR20" s="3">
        <v>23.427866000000002</v>
      </c>
      <c r="AS20" s="3">
        <v>19.769788999999999</v>
      </c>
      <c r="AT20" s="3">
        <v>16.491925999999999</v>
      </c>
      <c r="AU20" s="3">
        <v>15.906615</v>
      </c>
      <c r="AV20" s="3">
        <v>14.634042000000001</v>
      </c>
      <c r="AW20" s="3">
        <v>16.974112999999999</v>
      </c>
      <c r="AX20" s="3">
        <v>9.8517700000000001</v>
      </c>
      <c r="AY20" s="3">
        <v>12.766068000000001</v>
      </c>
      <c r="AZ20" s="3">
        <v>15.479927999999999</v>
      </c>
      <c r="BA20" s="3">
        <v>22.421095000000001</v>
      </c>
      <c r="BB20" s="3">
        <v>12.554975000000001</v>
      </c>
      <c r="BC20" s="3">
        <v>12.866339999999999</v>
      </c>
      <c r="BD20" s="3">
        <v>22.492830000000001</v>
      </c>
      <c r="BE20" s="3">
        <v>12.997127000000001</v>
      </c>
      <c r="BF20" s="3">
        <v>13.115131</v>
      </c>
      <c r="BG20" s="3">
        <v>23.219460999999999</v>
      </c>
      <c r="BH20" s="3">
        <v>19.886389000000001</v>
      </c>
      <c r="BI20" s="3">
        <v>15.995303</v>
      </c>
      <c r="BJ20" s="3">
        <v>18.313129</v>
      </c>
      <c r="BK20" s="3">
        <v>13.470761</v>
      </c>
      <c r="BL20" s="3">
        <v>15.358794</v>
      </c>
      <c r="BM20" s="3">
        <v>13.420859</v>
      </c>
      <c r="BN20" s="3">
        <v>17.556854000000001</v>
      </c>
      <c r="BO20" s="3">
        <v>15.484358</v>
      </c>
      <c r="BP20" s="3">
        <v>15.869704</v>
      </c>
      <c r="BQ20" s="3">
        <v>21.320625</v>
      </c>
      <c r="BR20" s="3">
        <v>17.535723000000001</v>
      </c>
      <c r="BS20" s="3">
        <v>18.066787999999999</v>
      </c>
      <c r="BT20" s="3">
        <v>14.638585000000001</v>
      </c>
      <c r="BU20" s="3">
        <v>16.434584000000001</v>
      </c>
      <c r="BV20" s="3">
        <v>19.385981000000001</v>
      </c>
      <c r="BW20" s="3">
        <v>12.078815000000001</v>
      </c>
      <c r="BX20" s="3">
        <v>14.546112000000001</v>
      </c>
      <c r="BY20" s="3">
        <v>13.941983</v>
      </c>
      <c r="BZ20" s="3">
        <v>18.860077</v>
      </c>
      <c r="CA20" s="3">
        <v>15.124383</v>
      </c>
      <c r="CB20" s="3">
        <v>14.719737</v>
      </c>
      <c r="CC20" s="3">
        <v>17.510072999999998</v>
      </c>
      <c r="CD20" s="3">
        <v>13.894316</v>
      </c>
      <c r="CE20" s="3">
        <v>15.185084</v>
      </c>
      <c r="CF20" s="3">
        <v>22.460356000000001</v>
      </c>
      <c r="CG20" s="3">
        <v>17.005956999999999</v>
      </c>
      <c r="CH20" s="3">
        <v>14.306207000000001</v>
      </c>
      <c r="CI20" s="3">
        <v>15.629579</v>
      </c>
      <c r="CJ20" s="3">
        <v>14.271235000000001</v>
      </c>
      <c r="CK20" s="3">
        <v>14.1645</v>
      </c>
      <c r="CL20" s="3">
        <v>12.493690000000001</v>
      </c>
      <c r="CM20" s="3">
        <v>17.756412999999998</v>
      </c>
      <c r="CN20" s="3">
        <v>15.503416</v>
      </c>
      <c r="CO20" s="3">
        <v>17.991209000000001</v>
      </c>
      <c r="CP20" s="3">
        <v>23.678319999999999</v>
      </c>
      <c r="CQ20" s="3">
        <v>17.989502000000002</v>
      </c>
      <c r="CR20" s="3">
        <v>14.785551999999999</v>
      </c>
      <c r="CS20" s="3">
        <v>15.823316999999999</v>
      </c>
      <c r="CT20" s="3">
        <v>14.255773</v>
      </c>
      <c r="CU20" s="3">
        <v>18.930418</v>
      </c>
      <c r="CV20" s="3">
        <v>10.508584000000001</v>
      </c>
      <c r="CW20" s="3">
        <v>14.105403000000001</v>
      </c>
      <c r="CX20" s="3">
        <v>13.986113</v>
      </c>
      <c r="CY20" s="3">
        <v>15.37872</v>
      </c>
      <c r="CZ20" s="3">
        <v>14.284193</v>
      </c>
      <c r="DA20" s="3">
        <v>14.327014999999999</v>
      </c>
      <c r="DB20" s="3">
        <v>17.750679000000002</v>
      </c>
      <c r="DC20" s="3">
        <v>12.562507</v>
      </c>
      <c r="DD20" s="3">
        <v>19.127645000000001</v>
      </c>
      <c r="DE20" s="3">
        <v>23.699776</v>
      </c>
      <c r="DF20" s="3">
        <v>20.638031000000002</v>
      </c>
      <c r="DG20" s="3">
        <v>14.731102</v>
      </c>
      <c r="DH20" s="3">
        <v>15.712956999999999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13.339200549999997</v>
      </c>
      <c r="H22" s="3">
        <f>MAX(M22:GJ22)</f>
        <v>23.471475999999999</v>
      </c>
      <c r="I22" s="3">
        <f>MIN(M22:GJ22)</f>
        <v>8.6873919999999991</v>
      </c>
      <c r="J22" s="3">
        <f>_xlfn.STDEV.P(M22:GJ22)</f>
        <v>2.4839509832763143</v>
      </c>
      <c r="K22" s="3">
        <f>_xlfn.VAR.S(M22:GJ22)</f>
        <v>6.2323358457771345</v>
      </c>
      <c r="M22" s="3">
        <v>11.829015999999999</v>
      </c>
      <c r="N22" s="3">
        <v>13.421224</v>
      </c>
      <c r="O22" s="3">
        <v>16.343039999999998</v>
      </c>
      <c r="P22" s="3">
        <v>13.650607000000001</v>
      </c>
      <c r="Q22" s="3">
        <v>23.471475999999999</v>
      </c>
      <c r="R22" s="3">
        <v>11.077487</v>
      </c>
      <c r="S22" s="3">
        <v>17.490644</v>
      </c>
      <c r="T22" s="3">
        <v>15.556616</v>
      </c>
      <c r="U22" s="3">
        <v>11.230282000000001</v>
      </c>
      <c r="V22" s="3">
        <v>13.310692</v>
      </c>
      <c r="W22" s="3">
        <v>10.962907</v>
      </c>
      <c r="X22" s="3">
        <v>14.046309000000001</v>
      </c>
      <c r="Y22" s="3">
        <v>13.435143999999999</v>
      </c>
      <c r="Z22" s="3">
        <v>14.795498</v>
      </c>
      <c r="AA22" s="3">
        <v>12.315630000000001</v>
      </c>
      <c r="AB22" s="3">
        <v>10.730339000000001</v>
      </c>
      <c r="AC22" s="3">
        <v>17.110357</v>
      </c>
      <c r="AD22" s="3">
        <v>14.196394</v>
      </c>
      <c r="AE22" s="3">
        <v>17.197044000000002</v>
      </c>
      <c r="AF22" s="3">
        <v>10.789949999999999</v>
      </c>
      <c r="AG22" s="3">
        <v>11.487767</v>
      </c>
      <c r="AH22" s="3">
        <v>13.018962</v>
      </c>
      <c r="AI22" s="3">
        <v>15.701421</v>
      </c>
      <c r="AJ22" s="3">
        <v>13.102214</v>
      </c>
      <c r="AK22" s="3">
        <v>13.088156</v>
      </c>
      <c r="AL22" s="3">
        <v>13.879428000000001</v>
      </c>
      <c r="AM22" s="3">
        <v>14.620903</v>
      </c>
      <c r="AN22" s="3">
        <v>15.490288</v>
      </c>
      <c r="AO22" s="3">
        <v>13.154322000000001</v>
      </c>
      <c r="AP22" s="3">
        <v>10.594516</v>
      </c>
      <c r="AQ22" s="3">
        <v>12.725616</v>
      </c>
      <c r="AR22" s="3">
        <v>14.325707</v>
      </c>
      <c r="AS22" s="3">
        <v>15.066576</v>
      </c>
      <c r="AT22" s="3">
        <v>13.886021</v>
      </c>
      <c r="AU22" s="3">
        <v>11.008451000000001</v>
      </c>
      <c r="AV22" s="3">
        <v>14.956851</v>
      </c>
      <c r="AW22" s="3">
        <v>11.736837</v>
      </c>
      <c r="AX22" s="3">
        <v>12.327671</v>
      </c>
      <c r="AY22" s="3">
        <v>10.106728</v>
      </c>
      <c r="AZ22" s="3">
        <v>11.283903</v>
      </c>
      <c r="BA22" s="3">
        <v>13.693768</v>
      </c>
      <c r="BB22" s="3">
        <v>15.255331</v>
      </c>
      <c r="BC22" s="3">
        <v>12.461677</v>
      </c>
      <c r="BD22" s="3">
        <v>17.402481000000002</v>
      </c>
      <c r="BE22" s="3">
        <v>14.087998000000001</v>
      </c>
      <c r="BF22" s="3">
        <v>14.951390999999999</v>
      </c>
      <c r="BG22" s="3">
        <v>10.656335</v>
      </c>
      <c r="BH22" s="3">
        <v>15.81241</v>
      </c>
      <c r="BI22" s="3">
        <v>10.91699</v>
      </c>
      <c r="BJ22" s="3">
        <v>15.002822</v>
      </c>
      <c r="BK22" s="3">
        <v>9.8651970000000002</v>
      </c>
      <c r="BL22" s="3">
        <v>13.392322999999999</v>
      </c>
      <c r="BM22" s="3">
        <v>21.222013</v>
      </c>
      <c r="BN22" s="3">
        <v>10.848872</v>
      </c>
      <c r="BO22" s="3">
        <v>10.764934999999999</v>
      </c>
      <c r="BP22" s="3">
        <v>16.15428</v>
      </c>
      <c r="BQ22" s="3">
        <v>15.507789000000001</v>
      </c>
      <c r="BR22" s="3">
        <v>12.938751999999999</v>
      </c>
      <c r="BS22" s="3">
        <v>20.168043000000001</v>
      </c>
      <c r="BT22" s="3">
        <v>13.721909</v>
      </c>
      <c r="BU22" s="3">
        <v>12.588611</v>
      </c>
      <c r="BV22" s="3">
        <v>13.977433</v>
      </c>
      <c r="BW22" s="3">
        <v>12.061519000000001</v>
      </c>
      <c r="BX22" s="3">
        <v>11.850864</v>
      </c>
      <c r="BY22" s="3">
        <v>14.003451999999999</v>
      </c>
      <c r="BZ22" s="3">
        <v>10.581181000000001</v>
      </c>
      <c r="CA22" s="3">
        <v>11.312742999999999</v>
      </c>
      <c r="CB22" s="3">
        <v>13.215813000000001</v>
      </c>
      <c r="CC22" s="3">
        <v>15.043468000000001</v>
      </c>
      <c r="CD22" s="3">
        <v>11.166152</v>
      </c>
      <c r="CE22" s="3">
        <v>11.813383</v>
      </c>
      <c r="CF22" s="3">
        <v>10.746978</v>
      </c>
      <c r="CG22" s="3">
        <v>13.456277</v>
      </c>
      <c r="CH22" s="3">
        <v>10.772168000000001</v>
      </c>
      <c r="CI22" s="3">
        <v>13.662388999999999</v>
      </c>
      <c r="CJ22" s="3">
        <v>11.885702999999999</v>
      </c>
      <c r="CK22" s="3">
        <v>11.291632999999999</v>
      </c>
      <c r="CL22" s="3">
        <v>15.087377999999999</v>
      </c>
      <c r="CM22" s="3">
        <v>8.6873919999999991</v>
      </c>
      <c r="CN22" s="3">
        <v>11.113842999999999</v>
      </c>
      <c r="CO22" s="3">
        <v>10.283756</v>
      </c>
      <c r="CP22" s="3">
        <v>17.224112999999999</v>
      </c>
      <c r="CQ22" s="3">
        <v>11.618791</v>
      </c>
      <c r="CR22" s="3">
        <v>15.468127000000001</v>
      </c>
      <c r="CS22" s="3">
        <v>12.545441</v>
      </c>
      <c r="CT22" s="3">
        <v>13.293263</v>
      </c>
      <c r="CU22" s="3">
        <v>14.926696</v>
      </c>
      <c r="CV22" s="3">
        <v>11.43158</v>
      </c>
      <c r="CW22" s="3">
        <v>9.1077560000000002</v>
      </c>
      <c r="CX22" s="3">
        <v>11.586815</v>
      </c>
      <c r="CY22" s="3">
        <v>11.901011</v>
      </c>
      <c r="CZ22" s="3">
        <v>11.275696</v>
      </c>
      <c r="DA22" s="3">
        <v>14.874544</v>
      </c>
      <c r="DB22" s="3">
        <v>16.277664000000001</v>
      </c>
      <c r="DC22" s="3">
        <v>11.168862000000001</v>
      </c>
      <c r="DD22" s="3">
        <v>16.092813</v>
      </c>
      <c r="DE22" s="3">
        <v>10.914474</v>
      </c>
      <c r="DF22" s="3">
        <v>13.488796000000001</v>
      </c>
      <c r="DG22" s="3">
        <v>13.633236</v>
      </c>
      <c r="DH22" s="3">
        <v>13.139931000000001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2:207" x14ac:dyDescent="0.2">
      <c r="D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5" spans="2:207" x14ac:dyDescent="0.2">
      <c r="B25" t="s">
        <v>60</v>
      </c>
      <c r="D25" s="1" t="s">
        <v>24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25.637674350000008</v>
      </c>
      <c r="H26" s="3">
        <f>MAX(M26:GJ26)</f>
        <v>29.469533999999999</v>
      </c>
      <c r="I26" s="3">
        <f>MIN(M26:GJ26)</f>
        <v>23.317153999999999</v>
      </c>
      <c r="J26" s="3">
        <f>_xlfn.STDEV.P(M26:GJ26)</f>
        <v>1.2399434743194737</v>
      </c>
      <c r="K26" s="3">
        <f>_xlfn.VAR.S(M26:GJ26)</f>
        <v>1.5529897166741891</v>
      </c>
      <c r="M26" s="3">
        <v>26.110132</v>
      </c>
      <c r="N26" s="3">
        <v>25.768118000000001</v>
      </c>
      <c r="O26" s="3">
        <v>25.977246999999998</v>
      </c>
      <c r="P26" s="3">
        <v>28.149920999999999</v>
      </c>
      <c r="Q26" s="3">
        <v>24.624811000000001</v>
      </c>
      <c r="R26" s="3">
        <v>24.363457</v>
      </c>
      <c r="S26" s="3">
        <v>24.990314000000001</v>
      </c>
      <c r="T26" s="3">
        <v>25.200001</v>
      </c>
      <c r="U26" s="3">
        <v>26.544761999999999</v>
      </c>
      <c r="V26" s="3">
        <v>25.960127</v>
      </c>
      <c r="W26" s="3">
        <v>27.719480999999998</v>
      </c>
      <c r="X26" s="3">
        <v>25.650026</v>
      </c>
      <c r="Y26" s="3">
        <v>24.203699</v>
      </c>
      <c r="Z26" s="3">
        <v>24.652626000000001</v>
      </c>
      <c r="AA26" s="3">
        <v>25.118265000000001</v>
      </c>
      <c r="AB26" s="3">
        <v>25.616388000000001</v>
      </c>
      <c r="AC26" s="3">
        <v>28.995336999999999</v>
      </c>
      <c r="AD26" s="3">
        <v>25.354348999999999</v>
      </c>
      <c r="AE26" s="3">
        <v>25.040091</v>
      </c>
      <c r="AF26" s="3">
        <v>24.434394999999999</v>
      </c>
      <c r="AG26" s="3">
        <v>24.490621999999998</v>
      </c>
      <c r="AH26" s="3">
        <v>25.486214</v>
      </c>
      <c r="AI26" s="3">
        <v>25.018106</v>
      </c>
      <c r="AJ26" s="3">
        <v>24.194094</v>
      </c>
      <c r="AK26" s="3">
        <v>24.260356999999999</v>
      </c>
      <c r="AL26" s="3">
        <v>25.243917</v>
      </c>
      <c r="AM26" s="3">
        <v>25.150503</v>
      </c>
      <c r="AN26" s="3">
        <v>25.564216999999999</v>
      </c>
      <c r="AO26" s="3">
        <v>24.166633999999998</v>
      </c>
      <c r="AP26" s="3">
        <v>25.003323000000002</v>
      </c>
      <c r="AQ26" s="3">
        <v>24.233601</v>
      </c>
      <c r="AR26" s="3">
        <v>24.377514000000001</v>
      </c>
      <c r="AS26" s="3">
        <v>27.355737999999999</v>
      </c>
      <c r="AT26" s="3">
        <v>27.417964999999999</v>
      </c>
      <c r="AU26" s="3">
        <v>24.894081</v>
      </c>
      <c r="AV26" s="3">
        <v>29.469533999999999</v>
      </c>
      <c r="AW26" s="3">
        <v>25.819115</v>
      </c>
      <c r="AX26" s="3">
        <v>23.317153999999999</v>
      </c>
      <c r="AY26" s="3">
        <v>26.107790000000001</v>
      </c>
      <c r="AZ26" s="3">
        <v>26.232292000000001</v>
      </c>
      <c r="BA26" s="3">
        <v>25.000429</v>
      </c>
      <c r="BB26" s="3">
        <v>25.433541999999999</v>
      </c>
      <c r="BC26" s="3">
        <v>24.842493000000001</v>
      </c>
      <c r="BD26" s="3">
        <v>25.024875999999999</v>
      </c>
      <c r="BE26" s="3">
        <v>27.385216</v>
      </c>
      <c r="BF26" s="3">
        <v>24.410654000000001</v>
      </c>
      <c r="BG26" s="3">
        <v>28.482165999999999</v>
      </c>
      <c r="BH26" s="3">
        <v>26.361715</v>
      </c>
      <c r="BI26" s="3">
        <v>25.567260999999998</v>
      </c>
      <c r="BJ26" s="3">
        <v>24.480388999999999</v>
      </c>
      <c r="BK26" s="3">
        <v>24.155504000000001</v>
      </c>
      <c r="BL26" s="3">
        <v>29.209226999999998</v>
      </c>
      <c r="BM26" s="3">
        <v>25.644485</v>
      </c>
      <c r="BN26" s="3">
        <v>24.495501000000001</v>
      </c>
      <c r="BO26" s="3">
        <v>24.653065000000002</v>
      </c>
      <c r="BP26" s="3">
        <v>25.071566000000001</v>
      </c>
      <c r="BQ26" s="3">
        <v>26.121123999999998</v>
      </c>
      <c r="BR26" s="3">
        <v>24.432949000000001</v>
      </c>
      <c r="BS26" s="3">
        <v>27.018545</v>
      </c>
      <c r="BT26" s="3">
        <v>25.475376000000001</v>
      </c>
      <c r="BU26" s="3">
        <v>25.135722999999999</v>
      </c>
      <c r="BV26" s="3">
        <v>25.663609000000001</v>
      </c>
      <c r="BW26" s="3">
        <v>24.90626</v>
      </c>
      <c r="BX26" s="3">
        <v>25.128225</v>
      </c>
      <c r="BY26" s="3">
        <v>25.47578</v>
      </c>
      <c r="BZ26" s="3">
        <v>25.902716000000002</v>
      </c>
      <c r="CA26" s="3">
        <v>26.893442</v>
      </c>
      <c r="CB26" s="3">
        <v>25.679893</v>
      </c>
      <c r="CC26" s="3">
        <v>26.6373</v>
      </c>
      <c r="CD26" s="3">
        <v>24.569724999999998</v>
      </c>
      <c r="CE26" s="3">
        <v>24.787151000000001</v>
      </c>
      <c r="CF26" s="3">
        <v>26.008982</v>
      </c>
      <c r="CG26" s="3">
        <v>27.618015</v>
      </c>
      <c r="CH26" s="3">
        <v>26.957999999999998</v>
      </c>
      <c r="CI26" s="3">
        <v>25.037085000000001</v>
      </c>
      <c r="CJ26" s="3">
        <v>25.061691</v>
      </c>
      <c r="CK26" s="3">
        <v>27.019798000000002</v>
      </c>
      <c r="CL26" s="3">
        <v>26.686250999999999</v>
      </c>
      <c r="CM26" s="3">
        <v>27.940715999999998</v>
      </c>
      <c r="CN26" s="3">
        <v>25.707039000000002</v>
      </c>
      <c r="CO26" s="3">
        <v>27.884432</v>
      </c>
      <c r="CP26" s="3">
        <v>25.532706999999998</v>
      </c>
      <c r="CQ26" s="3">
        <v>24.866859000000002</v>
      </c>
      <c r="CR26" s="3">
        <v>24.976444000000001</v>
      </c>
      <c r="CS26" s="3">
        <v>24.758526</v>
      </c>
      <c r="CT26" s="3">
        <v>25.992242999999998</v>
      </c>
      <c r="CU26" s="3">
        <v>25.247221</v>
      </c>
      <c r="CV26" s="3">
        <v>25.268744999999999</v>
      </c>
      <c r="CW26" s="3">
        <v>28.284707999999998</v>
      </c>
      <c r="CX26" s="3">
        <v>26.630053</v>
      </c>
      <c r="CY26" s="3">
        <v>25.006674</v>
      </c>
      <c r="CZ26" s="3">
        <v>25.208838</v>
      </c>
      <c r="DA26" s="3">
        <v>24.752157</v>
      </c>
      <c r="DB26" s="3">
        <v>24.669853</v>
      </c>
      <c r="DC26" s="3">
        <v>24.834645999999999</v>
      </c>
      <c r="DD26" s="3">
        <v>24.724751999999999</v>
      </c>
      <c r="DE26" s="3">
        <v>25.027124000000001</v>
      </c>
      <c r="DF26" s="3">
        <v>26.989542</v>
      </c>
      <c r="DG26" s="3">
        <v>24.901308</v>
      </c>
      <c r="DH26" s="3">
        <v>23.850801000000001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29.026953449999997</v>
      </c>
      <c r="H28" s="3">
        <f>MAX(M28:GJ28)</f>
        <v>34.070492000000002</v>
      </c>
      <c r="I28" s="3">
        <f>MIN(M28:GJ28)</f>
        <v>24.955185</v>
      </c>
      <c r="J28" s="3">
        <f>_xlfn.STDEV.P(M28:GJ28)</f>
        <v>2.1243904125478128</v>
      </c>
      <c r="K28" s="3">
        <f>_xlfn.VAR.S(M28:GJ28)</f>
        <v>4.5586208332576419</v>
      </c>
      <c r="M28" s="3">
        <v>32.055453999999997</v>
      </c>
      <c r="N28" s="3">
        <v>30.18956</v>
      </c>
      <c r="O28" s="3">
        <v>28.762297</v>
      </c>
      <c r="P28" s="3">
        <v>29.347155000000001</v>
      </c>
      <c r="Q28" s="3">
        <v>28.082415000000001</v>
      </c>
      <c r="R28" s="3">
        <v>30.883312</v>
      </c>
      <c r="S28" s="3">
        <v>30.503253999999998</v>
      </c>
      <c r="T28" s="3">
        <v>29.654931999999999</v>
      </c>
      <c r="U28" s="3">
        <v>24.955185</v>
      </c>
      <c r="V28" s="3">
        <v>31.108688000000001</v>
      </c>
      <c r="W28" s="3">
        <v>32.638275</v>
      </c>
      <c r="X28" s="3">
        <v>31.171108</v>
      </c>
      <c r="Y28" s="3">
        <v>31.076665999999999</v>
      </c>
      <c r="Z28" s="3">
        <v>31.099630000000001</v>
      </c>
      <c r="AA28" s="3">
        <v>26.724613000000002</v>
      </c>
      <c r="AB28" s="3">
        <v>27.985046000000001</v>
      </c>
      <c r="AC28" s="3">
        <v>31.229889</v>
      </c>
      <c r="AD28" s="3">
        <v>30.587378999999999</v>
      </c>
      <c r="AE28" s="3">
        <v>30.576816999999998</v>
      </c>
      <c r="AF28" s="3">
        <v>29.850059999999999</v>
      </c>
      <c r="AG28" s="3">
        <v>27.893287999999998</v>
      </c>
      <c r="AH28" s="3">
        <v>29.940522999999999</v>
      </c>
      <c r="AI28" s="3">
        <v>33.851909999999997</v>
      </c>
      <c r="AJ28" s="3">
        <v>26.858484000000001</v>
      </c>
      <c r="AK28" s="3">
        <v>30.21489</v>
      </c>
      <c r="AL28" s="3">
        <v>26.280745</v>
      </c>
      <c r="AM28" s="3">
        <v>26.978542000000001</v>
      </c>
      <c r="AN28" s="3">
        <v>25.200537000000001</v>
      </c>
      <c r="AO28" s="3">
        <v>28.631477</v>
      </c>
      <c r="AP28" s="3">
        <v>26.333165999999999</v>
      </c>
      <c r="AQ28" s="3">
        <v>30.282838999999999</v>
      </c>
      <c r="AR28" s="3">
        <v>29.432151999999999</v>
      </c>
      <c r="AS28" s="3">
        <v>26.571280000000002</v>
      </c>
      <c r="AT28" s="3">
        <v>25.808302000000001</v>
      </c>
      <c r="AU28" s="3">
        <v>28.908106</v>
      </c>
      <c r="AV28" s="3">
        <v>30.096063999999998</v>
      </c>
      <c r="AW28" s="3">
        <v>28.796644000000001</v>
      </c>
      <c r="AX28" s="3">
        <v>27.397390000000001</v>
      </c>
      <c r="AY28" s="3">
        <v>27.759568999999999</v>
      </c>
      <c r="AZ28" s="3">
        <v>25.141054</v>
      </c>
      <c r="BA28" s="3">
        <v>31.291986000000001</v>
      </c>
      <c r="BB28" s="3">
        <v>32.421810000000001</v>
      </c>
      <c r="BC28" s="3">
        <v>31.065617</v>
      </c>
      <c r="BD28" s="3">
        <v>28.851953999999999</v>
      </c>
      <c r="BE28" s="3">
        <v>29.239235000000001</v>
      </c>
      <c r="BF28" s="3">
        <v>26.946667000000001</v>
      </c>
      <c r="BG28" s="3">
        <v>33.840629999999997</v>
      </c>
      <c r="BH28" s="3">
        <v>31.086727</v>
      </c>
      <c r="BI28" s="3">
        <v>28.295252000000001</v>
      </c>
      <c r="BJ28" s="3">
        <v>26.609014999999999</v>
      </c>
      <c r="BK28" s="3">
        <v>30.407259</v>
      </c>
      <c r="BL28" s="3">
        <v>31.496714000000001</v>
      </c>
      <c r="BM28" s="3">
        <v>29.668763999999999</v>
      </c>
      <c r="BN28" s="3">
        <v>29.722453999999999</v>
      </c>
      <c r="BO28" s="3">
        <v>32.300517999999997</v>
      </c>
      <c r="BP28" s="3">
        <v>27.756779000000002</v>
      </c>
      <c r="BQ28" s="3">
        <v>28.761364</v>
      </c>
      <c r="BR28" s="3">
        <v>29.986796999999999</v>
      </c>
      <c r="BS28" s="3">
        <v>26.214908999999999</v>
      </c>
      <c r="BT28" s="3">
        <v>33.887180000000001</v>
      </c>
      <c r="BU28" s="3">
        <v>30.482787999999999</v>
      </c>
      <c r="BV28" s="3">
        <v>26.631449</v>
      </c>
      <c r="BW28" s="3">
        <v>31.820999</v>
      </c>
      <c r="BX28" s="3">
        <v>28.659908000000001</v>
      </c>
      <c r="BY28" s="3">
        <v>26.985040999999999</v>
      </c>
      <c r="BZ28" s="3">
        <v>31.607372000000002</v>
      </c>
      <c r="CA28" s="3">
        <v>27.631951999999998</v>
      </c>
      <c r="CB28" s="3">
        <v>32.475158999999998</v>
      </c>
      <c r="CC28" s="3">
        <v>34.070492000000002</v>
      </c>
      <c r="CD28" s="3">
        <v>27.537116999999999</v>
      </c>
      <c r="CE28" s="3">
        <v>27.682713</v>
      </c>
      <c r="CF28" s="3">
        <v>30.769881999999999</v>
      </c>
      <c r="CG28" s="3">
        <v>27.594881000000001</v>
      </c>
      <c r="CH28" s="3">
        <v>28.924790999999999</v>
      </c>
      <c r="CI28" s="3">
        <v>30.676331999999999</v>
      </c>
      <c r="CJ28" s="3">
        <v>27.983267000000001</v>
      </c>
      <c r="CK28" s="3">
        <v>27.771478999999999</v>
      </c>
      <c r="CL28" s="3">
        <v>29.097525000000001</v>
      </c>
      <c r="CM28" s="3">
        <v>28.951643000000001</v>
      </c>
      <c r="CN28" s="3">
        <v>26.707492999999999</v>
      </c>
      <c r="CO28" s="3">
        <v>30.662413000000001</v>
      </c>
      <c r="CP28" s="3">
        <v>27.013501999999999</v>
      </c>
      <c r="CQ28" s="3">
        <v>28.031462000000001</v>
      </c>
      <c r="CR28" s="3">
        <v>27.007565</v>
      </c>
      <c r="CS28" s="3">
        <v>25.310690000000001</v>
      </c>
      <c r="CT28" s="3">
        <v>28.63401</v>
      </c>
      <c r="CU28" s="3">
        <v>29.064014</v>
      </c>
      <c r="CV28" s="3">
        <v>25.965843</v>
      </c>
      <c r="CW28" s="3">
        <v>28.075382000000001</v>
      </c>
      <c r="CX28" s="3">
        <v>27.089124999999999</v>
      </c>
      <c r="CY28" s="3">
        <v>31.573187000000001</v>
      </c>
      <c r="CZ28" s="3">
        <v>26.699134999999998</v>
      </c>
      <c r="DA28" s="3">
        <v>28.315308000000002</v>
      </c>
      <c r="DB28" s="3">
        <v>29.049289999999999</v>
      </c>
      <c r="DC28" s="3">
        <v>27.036401999999999</v>
      </c>
      <c r="DD28" s="3">
        <v>26.795943999999999</v>
      </c>
      <c r="DE28" s="3">
        <v>27.834067999999998</v>
      </c>
      <c r="DF28" s="3">
        <v>28.689981</v>
      </c>
      <c r="DG28" s="3">
        <v>27.219781999999999</v>
      </c>
      <c r="DH28" s="3">
        <v>27.855630999999999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32.788761540000003</v>
      </c>
      <c r="H30" s="3">
        <f>MAX(M30:GJ30)</f>
        <v>37.969231000000001</v>
      </c>
      <c r="I30" s="3">
        <f>MIN(M30:GJ30)</f>
        <v>28.711943000000002</v>
      </c>
      <c r="J30" s="3">
        <f>_xlfn.STDEV.P(M30:GJ30)</f>
        <v>2.1874408318622676</v>
      </c>
      <c r="K30" s="3">
        <f>_xlfn.VAR.S(M30:GJ30)</f>
        <v>4.8332296897962523</v>
      </c>
      <c r="M30" s="3">
        <v>32.286017999999999</v>
      </c>
      <c r="N30" s="3">
        <v>33.466048999999998</v>
      </c>
      <c r="O30" s="3">
        <v>33.450679999999998</v>
      </c>
      <c r="P30" s="3">
        <v>35.977375000000002</v>
      </c>
      <c r="Q30" s="3">
        <v>33.708590999999998</v>
      </c>
      <c r="R30" s="3">
        <v>32.567988999999997</v>
      </c>
      <c r="S30" s="3">
        <v>35.617156999999999</v>
      </c>
      <c r="T30" s="3">
        <v>33.012363000000001</v>
      </c>
      <c r="U30" s="3">
        <v>34.903584000000002</v>
      </c>
      <c r="V30" s="3">
        <v>34.882973</v>
      </c>
      <c r="W30" s="3">
        <v>32.319592</v>
      </c>
      <c r="X30" s="3">
        <v>34.873446999999999</v>
      </c>
      <c r="Y30" s="3">
        <v>32.956313999999999</v>
      </c>
      <c r="Z30" s="3">
        <v>37.969231000000001</v>
      </c>
      <c r="AA30" s="3">
        <v>35.237869000000003</v>
      </c>
      <c r="AB30" s="3">
        <v>33.654578999999998</v>
      </c>
      <c r="AC30" s="3">
        <v>33.346393999999997</v>
      </c>
      <c r="AD30" s="3">
        <v>33.593181999999999</v>
      </c>
      <c r="AE30" s="3">
        <v>33.461727000000003</v>
      </c>
      <c r="AF30" s="3">
        <v>33.138908000000001</v>
      </c>
      <c r="AG30" s="3">
        <v>36.723309</v>
      </c>
      <c r="AH30" s="3">
        <v>35.609741</v>
      </c>
      <c r="AI30" s="3">
        <v>33.424014999999997</v>
      </c>
      <c r="AJ30" s="3">
        <v>35.753459999999997</v>
      </c>
      <c r="AK30" s="3">
        <v>32.364468000000002</v>
      </c>
      <c r="AL30" s="3">
        <v>31.832964</v>
      </c>
      <c r="AM30" s="3">
        <v>31.201329999999999</v>
      </c>
      <c r="AN30" s="3">
        <v>31.070143000000002</v>
      </c>
      <c r="AO30" s="3">
        <v>33.385998000000001</v>
      </c>
      <c r="AP30" s="3">
        <v>31.021436999999999</v>
      </c>
      <c r="AQ30" s="3">
        <v>31.219788000000001</v>
      </c>
      <c r="AR30" s="3">
        <v>35.116402000000001</v>
      </c>
      <c r="AS30" s="3">
        <v>31.069171999999998</v>
      </c>
      <c r="AT30" s="3">
        <v>31.915217999999999</v>
      </c>
      <c r="AU30" s="3">
        <v>31.91037</v>
      </c>
      <c r="AV30" s="3">
        <v>30.051974999999999</v>
      </c>
      <c r="AW30" s="3">
        <v>30.045176000000001</v>
      </c>
      <c r="AX30" s="3">
        <v>33.219315000000002</v>
      </c>
      <c r="AY30" s="3">
        <v>32.644660999999999</v>
      </c>
      <c r="AZ30" s="3">
        <v>30.580282</v>
      </c>
      <c r="BA30" s="3">
        <v>28.711943000000002</v>
      </c>
      <c r="BB30" s="3">
        <v>32.441738000000001</v>
      </c>
      <c r="BC30" s="3">
        <v>33.753532</v>
      </c>
      <c r="BD30" s="3">
        <v>31.066616</v>
      </c>
      <c r="BE30" s="3">
        <v>30.832723999999999</v>
      </c>
      <c r="BF30" s="3">
        <v>32.844814</v>
      </c>
      <c r="BG30" s="3">
        <v>30.784003999999999</v>
      </c>
      <c r="BH30" s="3">
        <v>29.250330000000002</v>
      </c>
      <c r="BI30" s="3">
        <v>30.031089999999999</v>
      </c>
      <c r="BJ30" s="3">
        <v>31.34638</v>
      </c>
      <c r="BK30" s="3">
        <v>31.495291000000002</v>
      </c>
      <c r="BL30" s="3">
        <v>30.479538000000002</v>
      </c>
      <c r="BM30" s="3">
        <v>33.753925000000002</v>
      </c>
      <c r="BN30" s="3">
        <v>30.983179</v>
      </c>
      <c r="BO30" s="3">
        <v>29.695606000000002</v>
      </c>
      <c r="BP30" s="3">
        <v>29.388884000000001</v>
      </c>
      <c r="BQ30" s="3">
        <v>30.767147000000001</v>
      </c>
      <c r="BR30" s="3">
        <v>29.828253</v>
      </c>
      <c r="BS30" s="3">
        <v>30.615158000000001</v>
      </c>
      <c r="BT30" s="3">
        <v>32.467342000000002</v>
      </c>
      <c r="BU30" s="3">
        <v>30.726638999999999</v>
      </c>
      <c r="BV30" s="3">
        <v>32.566474999999997</v>
      </c>
      <c r="BW30" s="3">
        <v>29.029496999999999</v>
      </c>
      <c r="BX30" s="3">
        <v>30.627832000000001</v>
      </c>
      <c r="BY30" s="3">
        <v>29.509024</v>
      </c>
      <c r="BZ30" s="3">
        <v>30.259412999999999</v>
      </c>
      <c r="CA30" s="3">
        <v>30.666741999999999</v>
      </c>
      <c r="CB30" s="3">
        <v>29.49596</v>
      </c>
      <c r="CC30" s="3">
        <v>30.146163999999999</v>
      </c>
      <c r="CD30" s="3">
        <v>30.773865000000001</v>
      </c>
      <c r="CE30" s="3">
        <v>33.859305999999997</v>
      </c>
      <c r="CF30" s="3">
        <v>30.378655999999999</v>
      </c>
      <c r="CG30" s="3">
        <v>31.29496</v>
      </c>
      <c r="CH30" s="3">
        <v>30.308886000000001</v>
      </c>
      <c r="CI30" s="3">
        <v>31.263573000000001</v>
      </c>
      <c r="CJ30" s="3">
        <v>32.269779</v>
      </c>
      <c r="CK30" s="3">
        <v>33.864196999999997</v>
      </c>
      <c r="CL30" s="3">
        <v>32.568199</v>
      </c>
      <c r="CM30" s="3">
        <v>36.169857</v>
      </c>
      <c r="CN30" s="3">
        <v>36.309032000000002</v>
      </c>
      <c r="CO30" s="3">
        <v>31.451150999999999</v>
      </c>
      <c r="CP30" s="3">
        <v>35.83567</v>
      </c>
      <c r="CQ30" s="3">
        <v>34.002338000000002</v>
      </c>
      <c r="CR30" s="3">
        <v>34.833447</v>
      </c>
      <c r="CS30" s="3">
        <v>35.848300999999999</v>
      </c>
      <c r="CT30" s="3">
        <v>31.622136999999999</v>
      </c>
      <c r="CU30" s="3">
        <v>33.481079000000001</v>
      </c>
      <c r="CV30" s="3">
        <v>34.969597</v>
      </c>
      <c r="CW30" s="3">
        <v>36.828049</v>
      </c>
      <c r="CX30" s="3">
        <v>34.620334999999997</v>
      </c>
      <c r="CY30" s="3">
        <v>36.783324999999998</v>
      </c>
      <c r="CZ30" s="3">
        <v>33.346355000000003</v>
      </c>
      <c r="DA30" s="3">
        <v>34.495426000000002</v>
      </c>
      <c r="DB30" s="3">
        <v>34.589474000000003</v>
      </c>
      <c r="DC30" s="3">
        <v>36.408070000000002</v>
      </c>
      <c r="DD30" s="3">
        <v>34.309021000000001</v>
      </c>
      <c r="DE30" s="3">
        <v>35.431750999999998</v>
      </c>
      <c r="DF30" s="3">
        <v>34.203795999999997</v>
      </c>
      <c r="DG30" s="3">
        <v>35.906886999999998</v>
      </c>
      <c r="DH30" s="3">
        <v>36.701149000000001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20.991890890000001</v>
      </c>
      <c r="H32" s="3">
        <f>MAX(M32:GJ32)</f>
        <v>23.117782999999999</v>
      </c>
      <c r="I32" s="3">
        <f>MIN(M32:GJ32)</f>
        <v>19.371324999999999</v>
      </c>
      <c r="J32" s="3">
        <f>_xlfn.STDEV.P(M32:GJ32)</f>
        <v>0.79088548073887277</v>
      </c>
      <c r="K32" s="3">
        <f>_xlfn.VAR.S(M32:GJ32)</f>
        <v>0.63181802388238173</v>
      </c>
      <c r="M32" s="3">
        <v>20.926145999999999</v>
      </c>
      <c r="N32" s="3">
        <v>20.891400999999998</v>
      </c>
      <c r="O32" s="3">
        <v>23.080244</v>
      </c>
      <c r="P32" s="3">
        <v>20.990521999999999</v>
      </c>
      <c r="Q32" s="3">
        <v>21.117491000000001</v>
      </c>
      <c r="R32" s="3">
        <v>21.409034999999999</v>
      </c>
      <c r="S32" s="3">
        <v>21.770329</v>
      </c>
      <c r="T32" s="3">
        <v>20.488371000000001</v>
      </c>
      <c r="U32" s="3">
        <v>21.053370999999999</v>
      </c>
      <c r="V32" s="3">
        <v>21.934307</v>
      </c>
      <c r="W32" s="3">
        <v>20.728653000000001</v>
      </c>
      <c r="X32" s="3">
        <v>21.244948999999998</v>
      </c>
      <c r="Y32" s="3">
        <v>20.602222000000001</v>
      </c>
      <c r="Z32" s="3">
        <v>20.111431</v>
      </c>
      <c r="AA32" s="3">
        <v>22.098545000000001</v>
      </c>
      <c r="AB32" s="3">
        <v>22.786466999999998</v>
      </c>
      <c r="AC32" s="3">
        <v>20.237694000000001</v>
      </c>
      <c r="AD32" s="3">
        <v>21.517847</v>
      </c>
      <c r="AE32" s="3">
        <v>21.195333000000002</v>
      </c>
      <c r="AF32" s="3">
        <v>20.868752000000001</v>
      </c>
      <c r="AG32" s="3">
        <v>20.275700000000001</v>
      </c>
      <c r="AH32" s="3">
        <v>20.667522000000002</v>
      </c>
      <c r="AI32" s="3">
        <v>20.186810999999999</v>
      </c>
      <c r="AJ32" s="3">
        <v>20.934877</v>
      </c>
      <c r="AK32" s="3">
        <v>22.041347999999999</v>
      </c>
      <c r="AL32" s="3">
        <v>19.679617</v>
      </c>
      <c r="AM32" s="3">
        <v>22.432680000000001</v>
      </c>
      <c r="AN32" s="3">
        <v>20.372871</v>
      </c>
      <c r="AO32" s="3">
        <v>21.328406999999999</v>
      </c>
      <c r="AP32" s="3">
        <v>20.933240999999999</v>
      </c>
      <c r="AQ32" s="3">
        <v>21.564346</v>
      </c>
      <c r="AR32" s="3">
        <v>21.237417000000001</v>
      </c>
      <c r="AS32" s="3">
        <v>20.045870000000001</v>
      </c>
      <c r="AT32" s="3">
        <v>20.906058999999999</v>
      </c>
      <c r="AU32" s="3">
        <v>21.437265</v>
      </c>
      <c r="AV32" s="3">
        <v>22.855747000000001</v>
      </c>
      <c r="AW32" s="3">
        <v>20.320285999999999</v>
      </c>
      <c r="AX32" s="3">
        <v>20.087496000000002</v>
      </c>
      <c r="AY32" s="3">
        <v>20.079841999999999</v>
      </c>
      <c r="AZ32" s="3">
        <v>22.683941000000001</v>
      </c>
      <c r="BA32" s="3">
        <v>21.669699000000001</v>
      </c>
      <c r="BB32" s="3">
        <v>21.558143999999999</v>
      </c>
      <c r="BC32" s="3">
        <v>20.411104000000002</v>
      </c>
      <c r="BD32" s="3">
        <v>20.637450999999999</v>
      </c>
      <c r="BE32" s="3">
        <v>20.900701999999999</v>
      </c>
      <c r="BF32" s="3">
        <v>19.710374999999999</v>
      </c>
      <c r="BG32" s="3">
        <v>21.470209000000001</v>
      </c>
      <c r="BH32" s="3">
        <v>20.864304000000001</v>
      </c>
      <c r="BI32" s="3">
        <v>21.874096000000002</v>
      </c>
      <c r="BJ32" s="3">
        <v>21.700247000000001</v>
      </c>
      <c r="BK32" s="3">
        <v>20.490696</v>
      </c>
      <c r="BL32" s="3">
        <v>21.353016</v>
      </c>
      <c r="BM32" s="3">
        <v>21.170506</v>
      </c>
      <c r="BN32" s="3">
        <v>21.893353999999999</v>
      </c>
      <c r="BO32" s="3">
        <v>20.235375999999999</v>
      </c>
      <c r="BP32" s="3">
        <v>21.836382</v>
      </c>
      <c r="BQ32" s="3">
        <v>21.519293000000001</v>
      </c>
      <c r="BR32" s="3">
        <v>20.710144</v>
      </c>
      <c r="BS32" s="3">
        <v>21.000132000000001</v>
      </c>
      <c r="BT32" s="3">
        <v>23.117782999999999</v>
      </c>
      <c r="BU32" s="3">
        <v>21.721689000000001</v>
      </c>
      <c r="BV32" s="3">
        <v>20.551774999999999</v>
      </c>
      <c r="BW32" s="3">
        <v>19.952677000000001</v>
      </c>
      <c r="BX32" s="3">
        <v>19.679922000000001</v>
      </c>
      <c r="BY32" s="3">
        <v>21.034255999999999</v>
      </c>
      <c r="BZ32" s="3">
        <v>22.526226000000001</v>
      </c>
      <c r="CA32" s="3">
        <v>21.473042</v>
      </c>
      <c r="CB32" s="3">
        <v>20.832159000000001</v>
      </c>
      <c r="CC32" s="3">
        <v>20.842396000000001</v>
      </c>
      <c r="CD32" s="3">
        <v>21.099218</v>
      </c>
      <c r="CE32" s="3">
        <v>21.259744999999999</v>
      </c>
      <c r="CF32" s="3">
        <v>20.813386999999999</v>
      </c>
      <c r="CG32" s="3">
        <v>19.777564999999999</v>
      </c>
      <c r="CH32" s="3">
        <v>21.170742000000001</v>
      </c>
      <c r="CI32" s="3">
        <v>20.857531000000002</v>
      </c>
      <c r="CJ32" s="3">
        <v>20.404173</v>
      </c>
      <c r="CK32" s="3">
        <v>21.65794</v>
      </c>
      <c r="CL32" s="3">
        <v>20.133593000000001</v>
      </c>
      <c r="CM32" s="3">
        <v>20.755087</v>
      </c>
      <c r="CN32" s="3">
        <v>21.342593999999998</v>
      </c>
      <c r="CO32" s="3">
        <v>20.681643999999999</v>
      </c>
      <c r="CP32" s="3">
        <v>20.524038000000001</v>
      </c>
      <c r="CQ32" s="3">
        <v>20.047947000000001</v>
      </c>
      <c r="CR32" s="3">
        <v>20.654024</v>
      </c>
      <c r="CS32" s="3">
        <v>21.508859999999999</v>
      </c>
      <c r="CT32" s="3">
        <v>19.640114000000001</v>
      </c>
      <c r="CU32" s="3">
        <v>19.855528</v>
      </c>
      <c r="CV32" s="3">
        <v>19.665044999999999</v>
      </c>
      <c r="CW32" s="3">
        <v>20.562225000000002</v>
      </c>
      <c r="CX32" s="3">
        <v>21.107655999999999</v>
      </c>
      <c r="CY32" s="3">
        <v>21.978634</v>
      </c>
      <c r="CZ32" s="3">
        <v>21.203333000000001</v>
      </c>
      <c r="DA32" s="3">
        <v>20.394265999999998</v>
      </c>
      <c r="DB32" s="3">
        <v>20.435371</v>
      </c>
      <c r="DC32" s="3">
        <v>21.219967</v>
      </c>
      <c r="DD32" s="3">
        <v>20.5243</v>
      </c>
      <c r="DE32" s="3">
        <v>20.692668999999999</v>
      </c>
      <c r="DF32" s="3">
        <v>20.45635</v>
      </c>
      <c r="DG32" s="3">
        <v>19.371324999999999</v>
      </c>
      <c r="DH32" s="3">
        <v>21.532609999999998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23.603351880000002</v>
      </c>
      <c r="H34" s="3">
        <f>MAX(M34:GJ34)</f>
        <v>26.202133</v>
      </c>
      <c r="I34" s="3">
        <f>MIN(M34:GJ34)</f>
        <v>20.030598000000001</v>
      </c>
      <c r="J34" s="3">
        <f>_xlfn.STDEV.P(M34:GJ34)</f>
        <v>1.5189641319083624</v>
      </c>
      <c r="K34" s="3">
        <f>_xlfn.VAR.S(M34:GJ34)</f>
        <v>2.3305576101253789</v>
      </c>
      <c r="M34" s="3">
        <v>22.262160999999999</v>
      </c>
      <c r="N34" s="3">
        <v>25.853294000000002</v>
      </c>
      <c r="O34" s="3">
        <v>24.583561</v>
      </c>
      <c r="P34" s="3">
        <v>23.223568</v>
      </c>
      <c r="Q34" s="3">
        <v>22.101296999999999</v>
      </c>
      <c r="R34" s="3">
        <v>24.43487</v>
      </c>
      <c r="S34" s="3">
        <v>21.259222000000001</v>
      </c>
      <c r="T34" s="3">
        <v>22.994828999999999</v>
      </c>
      <c r="U34" s="3">
        <v>23.398308</v>
      </c>
      <c r="V34" s="3">
        <v>24.592904999999998</v>
      </c>
      <c r="W34" s="3">
        <v>24.372406000000002</v>
      </c>
      <c r="X34" s="3">
        <v>22.925619000000001</v>
      </c>
      <c r="Y34" s="3">
        <v>23.392600999999999</v>
      </c>
      <c r="Z34" s="3">
        <v>26.202133</v>
      </c>
      <c r="AA34" s="3">
        <v>25.609885999999999</v>
      </c>
      <c r="AB34" s="3">
        <v>22.637678000000001</v>
      </c>
      <c r="AC34" s="3">
        <v>23.511071999999999</v>
      </c>
      <c r="AD34" s="3">
        <v>23.667968999999999</v>
      </c>
      <c r="AE34" s="3">
        <v>20.510231000000001</v>
      </c>
      <c r="AF34" s="3">
        <v>24.577594999999999</v>
      </c>
      <c r="AG34" s="3">
        <v>21.543499000000001</v>
      </c>
      <c r="AH34" s="3">
        <v>25.036631</v>
      </c>
      <c r="AI34" s="3">
        <v>25.351123999999999</v>
      </c>
      <c r="AJ34" s="3">
        <v>24.555029000000001</v>
      </c>
      <c r="AK34" s="3">
        <v>25.294892999999998</v>
      </c>
      <c r="AL34" s="3">
        <v>21.942578999999999</v>
      </c>
      <c r="AM34" s="3">
        <v>25.160315000000001</v>
      </c>
      <c r="AN34" s="3">
        <v>23.522003000000002</v>
      </c>
      <c r="AO34" s="3">
        <v>22.696000999999999</v>
      </c>
      <c r="AP34" s="3">
        <v>25.480924999999999</v>
      </c>
      <c r="AQ34" s="3">
        <v>22.502559999999999</v>
      </c>
      <c r="AR34" s="3">
        <v>23.846342</v>
      </c>
      <c r="AS34" s="3">
        <v>24.463562</v>
      </c>
      <c r="AT34" s="3">
        <v>21.224754000000001</v>
      </c>
      <c r="AU34" s="3">
        <v>23.920933000000002</v>
      </c>
      <c r="AV34" s="3">
        <v>23.819347</v>
      </c>
      <c r="AW34" s="3">
        <v>22.341222999999999</v>
      </c>
      <c r="AX34" s="3">
        <v>20.984739000000001</v>
      </c>
      <c r="AY34" s="3">
        <v>23.873349999999999</v>
      </c>
      <c r="AZ34" s="3">
        <v>24.852323999999999</v>
      </c>
      <c r="BA34" s="3">
        <v>20.238634000000001</v>
      </c>
      <c r="BB34" s="3">
        <v>26.018318000000001</v>
      </c>
      <c r="BC34" s="3">
        <v>25.211670000000002</v>
      </c>
      <c r="BD34" s="3">
        <v>25.490394999999999</v>
      </c>
      <c r="BE34" s="3">
        <v>24.530826999999999</v>
      </c>
      <c r="BF34" s="3">
        <v>23.5564</v>
      </c>
      <c r="BG34" s="3">
        <v>25.870221999999998</v>
      </c>
      <c r="BH34" s="3">
        <v>23.691289999999999</v>
      </c>
      <c r="BI34" s="3">
        <v>25.192807999999999</v>
      </c>
      <c r="BJ34" s="3">
        <v>24.770409000000001</v>
      </c>
      <c r="BK34" s="3">
        <v>21.342555999999998</v>
      </c>
      <c r="BL34" s="3">
        <v>23.285026999999999</v>
      </c>
      <c r="BM34" s="3">
        <v>22.755493000000001</v>
      </c>
      <c r="BN34" s="3">
        <v>21.486446000000001</v>
      </c>
      <c r="BO34" s="3">
        <v>23.691407999999999</v>
      </c>
      <c r="BP34" s="3">
        <v>22.317194000000001</v>
      </c>
      <c r="BQ34" s="3">
        <v>24.496120000000001</v>
      </c>
      <c r="BR34" s="3">
        <v>22.615261</v>
      </c>
      <c r="BS34" s="3">
        <v>21.500408</v>
      </c>
      <c r="BT34" s="3">
        <v>23.584361999999999</v>
      </c>
      <c r="BU34" s="3">
        <v>22.997135</v>
      </c>
      <c r="BV34" s="3">
        <v>22.442882999999998</v>
      </c>
      <c r="BW34" s="3">
        <v>21.093958000000001</v>
      </c>
      <c r="BX34" s="3">
        <v>24.235401</v>
      </c>
      <c r="BY34" s="3">
        <v>24.129394999999999</v>
      </c>
      <c r="BZ34" s="3">
        <v>21.811556</v>
      </c>
      <c r="CA34" s="3">
        <v>25.015709000000001</v>
      </c>
      <c r="CB34" s="3">
        <v>25.817882999999998</v>
      </c>
      <c r="CC34" s="3">
        <v>24.584076</v>
      </c>
      <c r="CD34" s="3">
        <v>23.912939000000001</v>
      </c>
      <c r="CE34" s="3">
        <v>26.007612000000002</v>
      </c>
      <c r="CF34" s="3">
        <v>24.567357999999999</v>
      </c>
      <c r="CG34" s="3">
        <v>24.024569</v>
      </c>
      <c r="CH34" s="3">
        <v>25.225016</v>
      </c>
      <c r="CI34" s="3">
        <v>24.081002999999999</v>
      </c>
      <c r="CJ34" s="3">
        <v>21.686972000000001</v>
      </c>
      <c r="CK34" s="3">
        <v>23.987217000000001</v>
      </c>
      <c r="CL34" s="3">
        <v>22.502113000000001</v>
      </c>
      <c r="CM34" s="3">
        <v>22.662106000000001</v>
      </c>
      <c r="CN34" s="3">
        <v>23.831547</v>
      </c>
      <c r="CO34" s="3">
        <v>21.540869000000001</v>
      </c>
      <c r="CP34" s="3">
        <v>23.936295000000001</v>
      </c>
      <c r="CQ34" s="3">
        <v>23.695971</v>
      </c>
      <c r="CR34" s="3">
        <v>21.246888999999999</v>
      </c>
      <c r="CS34" s="3">
        <v>24.368213999999998</v>
      </c>
      <c r="CT34" s="3">
        <v>21.79879</v>
      </c>
      <c r="CU34" s="3">
        <v>20.489851000000002</v>
      </c>
      <c r="CV34" s="3">
        <v>20.030598000000001</v>
      </c>
      <c r="CW34" s="3">
        <v>24.037146</v>
      </c>
      <c r="CX34" s="3">
        <v>24.948256000000001</v>
      </c>
      <c r="CY34" s="3">
        <v>20.491834999999998</v>
      </c>
      <c r="CZ34" s="3">
        <v>24.485842000000002</v>
      </c>
      <c r="DA34" s="3">
        <v>25.528112</v>
      </c>
      <c r="DB34" s="3">
        <v>25.015264999999999</v>
      </c>
      <c r="DC34" s="3">
        <v>24.470409</v>
      </c>
      <c r="DD34" s="3">
        <v>24.401865000000001</v>
      </c>
      <c r="DE34" s="3">
        <v>24.394817</v>
      </c>
      <c r="DF34" s="3">
        <v>24.241171000000001</v>
      </c>
      <c r="DG34" s="3">
        <v>25.237563999999999</v>
      </c>
      <c r="DH34" s="3">
        <v>25.190394999999999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2:207" x14ac:dyDescent="0.2">
      <c r="B37" t="s">
        <v>60</v>
      </c>
      <c r="D37" s="1" t="s">
        <v>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23.19290148</v>
      </c>
      <c r="H38" s="3">
        <f>MAX(M38:GJ38)</f>
        <v>27.793444000000001</v>
      </c>
      <c r="I38" s="3">
        <f>MIN(M38:GJ38)</f>
        <v>19.728922000000001</v>
      </c>
      <c r="J38" s="3">
        <f>_xlfn.STDEV.P(M38:GJ38)</f>
        <v>1.5107734675126545</v>
      </c>
      <c r="K38" s="3">
        <f>_xlfn.VAR.S(M38:GJ38)</f>
        <v>2.30549138398001</v>
      </c>
      <c r="M38" s="3">
        <v>23.172729</v>
      </c>
      <c r="N38" s="3">
        <v>22.815916000000001</v>
      </c>
      <c r="O38" s="3">
        <v>22.904995</v>
      </c>
      <c r="P38" s="3">
        <v>25.611044</v>
      </c>
      <c r="Q38" s="3">
        <v>21.163171999999999</v>
      </c>
      <c r="R38" s="3">
        <v>22.335675999999999</v>
      </c>
      <c r="S38" s="3">
        <v>24.423397000000001</v>
      </c>
      <c r="T38" s="3">
        <v>22.112383000000001</v>
      </c>
      <c r="U38" s="3">
        <v>24.046381</v>
      </c>
      <c r="V38" s="3">
        <v>22.943404999999998</v>
      </c>
      <c r="W38" s="3">
        <v>24.381198999999999</v>
      </c>
      <c r="X38" s="3">
        <v>22.983695999999998</v>
      </c>
      <c r="Y38" s="3">
        <v>20.892645000000002</v>
      </c>
      <c r="Z38" s="3">
        <v>22.469221000000001</v>
      </c>
      <c r="AA38" s="3">
        <v>22.254089</v>
      </c>
      <c r="AB38" s="3">
        <v>22.558292000000002</v>
      </c>
      <c r="AC38" s="3">
        <v>26.790448999999999</v>
      </c>
      <c r="AD38" s="3">
        <v>22.850570999999999</v>
      </c>
      <c r="AE38" s="3">
        <v>22.246797999999998</v>
      </c>
      <c r="AF38" s="3">
        <v>20.586855</v>
      </c>
      <c r="AG38" s="3">
        <v>22.128520999999999</v>
      </c>
      <c r="AH38" s="3">
        <v>22.195806999999999</v>
      </c>
      <c r="AI38" s="3">
        <v>22.894518000000001</v>
      </c>
      <c r="AJ38" s="3">
        <v>20.827964999999999</v>
      </c>
      <c r="AK38" s="3">
        <v>21.229344999999999</v>
      </c>
      <c r="AL38" s="3">
        <v>22.339324999999999</v>
      </c>
      <c r="AM38" s="3">
        <v>22.615825999999998</v>
      </c>
      <c r="AN38" s="3">
        <v>23.148596000000001</v>
      </c>
      <c r="AO38" s="3">
        <v>22.963591000000001</v>
      </c>
      <c r="AP38" s="3">
        <v>22.550166999999998</v>
      </c>
      <c r="AQ38" s="3">
        <v>22.369956999999999</v>
      </c>
      <c r="AR38" s="3">
        <v>21.628682999999999</v>
      </c>
      <c r="AS38" s="3">
        <v>25.356234000000001</v>
      </c>
      <c r="AT38" s="3">
        <v>25.256098000000001</v>
      </c>
      <c r="AU38" s="3">
        <v>21.795925</v>
      </c>
      <c r="AV38" s="3">
        <v>27.793444000000001</v>
      </c>
      <c r="AW38" s="3">
        <v>22.680122000000001</v>
      </c>
      <c r="AX38" s="3">
        <v>19.728922000000001</v>
      </c>
      <c r="AY38" s="3">
        <v>23.397697000000001</v>
      </c>
      <c r="AZ38" s="3">
        <v>23.616339</v>
      </c>
      <c r="BA38" s="3">
        <v>22.331416999999998</v>
      </c>
      <c r="BB38" s="3">
        <v>23.288519000000001</v>
      </c>
      <c r="BC38" s="3">
        <v>22.838308000000001</v>
      </c>
      <c r="BD38" s="3">
        <v>22.405241</v>
      </c>
      <c r="BE38" s="3">
        <v>25.142074999999998</v>
      </c>
      <c r="BF38" s="3">
        <v>21.629089</v>
      </c>
      <c r="BG38" s="3">
        <v>26.902280999999999</v>
      </c>
      <c r="BH38" s="3">
        <v>24.093328</v>
      </c>
      <c r="BI38" s="3">
        <v>22.622765000000001</v>
      </c>
      <c r="BJ38" s="3">
        <v>21.064554000000001</v>
      </c>
      <c r="BK38" s="3">
        <v>22.366623000000001</v>
      </c>
      <c r="BL38" s="3">
        <v>26.498560000000001</v>
      </c>
      <c r="BM38" s="3">
        <v>23.344244</v>
      </c>
      <c r="BN38" s="3">
        <v>22.997592999999998</v>
      </c>
      <c r="BO38" s="3">
        <v>22.706309999999998</v>
      </c>
      <c r="BP38" s="3">
        <v>23.239048</v>
      </c>
      <c r="BQ38" s="3">
        <v>23.073239999999998</v>
      </c>
      <c r="BR38" s="3">
        <v>22.149526999999999</v>
      </c>
      <c r="BS38" s="3">
        <v>24.838085</v>
      </c>
      <c r="BT38" s="3">
        <v>22.743067</v>
      </c>
      <c r="BU38" s="3">
        <v>23.065626000000002</v>
      </c>
      <c r="BV38" s="3">
        <v>22.959765999999998</v>
      </c>
      <c r="BW38" s="3">
        <v>22.862010999999999</v>
      </c>
      <c r="BX38" s="3">
        <v>22.231822999999999</v>
      </c>
      <c r="BY38" s="3">
        <v>22.341522000000001</v>
      </c>
      <c r="BZ38" s="3">
        <v>20.746659999999999</v>
      </c>
      <c r="CA38" s="3">
        <v>24.886049</v>
      </c>
      <c r="CB38" s="3">
        <v>24.137556</v>
      </c>
      <c r="CC38" s="3">
        <v>23.882853000000001</v>
      </c>
      <c r="CD38" s="3">
        <v>22.416422000000001</v>
      </c>
      <c r="CE38" s="3">
        <v>22.426200999999999</v>
      </c>
      <c r="CF38" s="3">
        <v>25.128102999999999</v>
      </c>
      <c r="CG38" s="3">
        <v>25.641869</v>
      </c>
      <c r="CH38" s="3">
        <v>25.614947999999998</v>
      </c>
      <c r="CI38" s="3">
        <v>22.293144000000002</v>
      </c>
      <c r="CJ38" s="3">
        <v>22.90399</v>
      </c>
      <c r="CK38" s="3">
        <v>24.877081</v>
      </c>
      <c r="CL38" s="3">
        <v>24.905394000000001</v>
      </c>
      <c r="CM38" s="3">
        <v>26.353567000000002</v>
      </c>
      <c r="CN38" s="3">
        <v>21.472356999999999</v>
      </c>
      <c r="CO38" s="3">
        <v>26.404112000000001</v>
      </c>
      <c r="CP38" s="3">
        <v>22.591476</v>
      </c>
      <c r="CQ38" s="3">
        <v>22.618174</v>
      </c>
      <c r="CR38" s="3">
        <v>22.902190999999998</v>
      </c>
      <c r="CS38" s="3">
        <v>23.079556</v>
      </c>
      <c r="CT38" s="3">
        <v>23.922350000000002</v>
      </c>
      <c r="CU38" s="3">
        <v>22.943345999999998</v>
      </c>
      <c r="CV38" s="3">
        <v>23.140097000000001</v>
      </c>
      <c r="CW38" s="3">
        <v>26.682396000000001</v>
      </c>
      <c r="CX38" s="3">
        <v>23.593668000000001</v>
      </c>
      <c r="CY38" s="3">
        <v>22.006333999999999</v>
      </c>
      <c r="CZ38" s="3">
        <v>23.145344000000001</v>
      </c>
      <c r="DA38" s="3">
        <v>22.591529999999999</v>
      </c>
      <c r="DB38" s="3">
        <v>22.513089999999998</v>
      </c>
      <c r="DC38" s="3">
        <v>22.458168000000001</v>
      </c>
      <c r="DD38" s="3">
        <v>23.070948000000001</v>
      </c>
      <c r="DE38" s="3">
        <v>23.067547000000001</v>
      </c>
      <c r="DF38" s="3">
        <v>24.700512</v>
      </c>
      <c r="DG38" s="3">
        <v>22.900551</v>
      </c>
      <c r="DH38" s="3">
        <v>21.477947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24.223591750000001</v>
      </c>
      <c r="H40" s="3">
        <f>MAX(M40:GJ40)</f>
        <v>32.222518999999998</v>
      </c>
      <c r="I40" s="3">
        <f>MIN(M40:GJ40)</f>
        <v>17.681614</v>
      </c>
      <c r="J40" s="3">
        <f>_xlfn.STDEV.P(M40:GJ40)</f>
        <v>3.1587366134602277</v>
      </c>
      <c r="K40" s="3">
        <f>_xlfn.VAR.S(M40:GJ40)</f>
        <v>10.078401003246645</v>
      </c>
      <c r="M40" s="3">
        <v>27.622736</v>
      </c>
      <c r="N40" s="3">
        <v>20.79129</v>
      </c>
      <c r="O40" s="3">
        <v>23.675530999999999</v>
      </c>
      <c r="P40" s="3">
        <v>23.285882999999998</v>
      </c>
      <c r="Q40" s="3">
        <v>23.491116999999999</v>
      </c>
      <c r="R40" s="3">
        <v>24.858875000000001</v>
      </c>
      <c r="S40" s="3">
        <v>27.898094</v>
      </c>
      <c r="T40" s="3">
        <v>27.711528999999999</v>
      </c>
      <c r="U40" s="3">
        <v>21.555682999999998</v>
      </c>
      <c r="V40" s="3">
        <v>27.214538999999998</v>
      </c>
      <c r="W40" s="3">
        <v>31.346384</v>
      </c>
      <c r="X40" s="3">
        <v>24.049558999999999</v>
      </c>
      <c r="Y40" s="3">
        <v>22.961203000000001</v>
      </c>
      <c r="Z40" s="3">
        <v>25.830594999999999</v>
      </c>
      <c r="AA40" s="3">
        <v>23.938133000000001</v>
      </c>
      <c r="AB40" s="3">
        <v>19.323639</v>
      </c>
      <c r="AC40" s="3">
        <v>28.144483999999999</v>
      </c>
      <c r="AD40" s="3">
        <v>24.640581000000001</v>
      </c>
      <c r="AE40" s="3">
        <v>27.112949</v>
      </c>
      <c r="AF40" s="3">
        <v>23.263484999999999</v>
      </c>
      <c r="AG40" s="3">
        <v>24.989811</v>
      </c>
      <c r="AH40" s="3">
        <v>28.600536000000002</v>
      </c>
      <c r="AI40" s="3">
        <v>32.222518999999998</v>
      </c>
      <c r="AJ40" s="3">
        <v>21.382183000000001</v>
      </c>
      <c r="AK40" s="3">
        <v>26.54871</v>
      </c>
      <c r="AL40" s="3">
        <v>21.092884000000002</v>
      </c>
      <c r="AM40" s="3">
        <v>19.805876000000001</v>
      </c>
      <c r="AN40" s="3">
        <v>23.431477000000001</v>
      </c>
      <c r="AO40" s="3">
        <v>21.717421000000002</v>
      </c>
      <c r="AP40" s="3">
        <v>22.153576000000001</v>
      </c>
      <c r="AQ40" s="3">
        <v>23.864827999999999</v>
      </c>
      <c r="AR40" s="3">
        <v>26.20365</v>
      </c>
      <c r="AS40" s="3">
        <v>28.127102000000001</v>
      </c>
      <c r="AT40" s="3">
        <v>21.917120000000001</v>
      </c>
      <c r="AU40" s="3">
        <v>25.368099000000001</v>
      </c>
      <c r="AV40" s="3">
        <v>25.906105</v>
      </c>
      <c r="AW40" s="3">
        <v>23.966505000000002</v>
      </c>
      <c r="AX40" s="3">
        <v>18.145800000000001</v>
      </c>
      <c r="AY40" s="3">
        <v>24.677748000000001</v>
      </c>
      <c r="AZ40" s="3">
        <v>21.234311999999999</v>
      </c>
      <c r="BA40" s="3">
        <v>21.560389000000001</v>
      </c>
      <c r="BB40" s="3">
        <v>30.356327</v>
      </c>
      <c r="BC40" s="3">
        <v>22.724266</v>
      </c>
      <c r="BD40" s="3">
        <v>22.416201000000001</v>
      </c>
      <c r="BE40" s="3">
        <v>20.340043999999999</v>
      </c>
      <c r="BF40" s="3">
        <v>20.692875000000001</v>
      </c>
      <c r="BG40" s="3">
        <v>31.184768999999999</v>
      </c>
      <c r="BH40" s="3">
        <v>28.134782999999999</v>
      </c>
      <c r="BI40" s="3">
        <v>23.621065000000002</v>
      </c>
      <c r="BJ40" s="3">
        <v>24.470251000000001</v>
      </c>
      <c r="BK40" s="3">
        <v>22.033390000000001</v>
      </c>
      <c r="BL40" s="3">
        <v>25.688091</v>
      </c>
      <c r="BM40" s="3">
        <v>27.382436999999999</v>
      </c>
      <c r="BN40" s="3">
        <v>25.343516999999999</v>
      </c>
      <c r="BO40" s="3">
        <v>26.505392000000001</v>
      </c>
      <c r="BP40" s="3">
        <v>22.480318</v>
      </c>
      <c r="BQ40" s="3">
        <v>24.802395000000001</v>
      </c>
      <c r="BR40" s="3">
        <v>26.08971</v>
      </c>
      <c r="BS40" s="3">
        <v>19.175325000000001</v>
      </c>
      <c r="BT40" s="3">
        <v>30.983702000000001</v>
      </c>
      <c r="BU40" s="3">
        <v>29.163485000000001</v>
      </c>
      <c r="BV40" s="3">
        <v>21.662239</v>
      </c>
      <c r="BW40" s="3">
        <v>26.401505</v>
      </c>
      <c r="BX40" s="3">
        <v>22.864156999999999</v>
      </c>
      <c r="BY40" s="3">
        <v>23.070298999999999</v>
      </c>
      <c r="BZ40" s="3">
        <v>26.622906</v>
      </c>
      <c r="CA40" s="3">
        <v>22.284980999999998</v>
      </c>
      <c r="CB40" s="3">
        <v>27.481089000000001</v>
      </c>
      <c r="CC40" s="3">
        <v>31.172180000000001</v>
      </c>
      <c r="CD40" s="3">
        <v>24.127689</v>
      </c>
      <c r="CE40" s="3">
        <v>24.693798000000001</v>
      </c>
      <c r="CF40" s="3">
        <v>28.492495999999999</v>
      </c>
      <c r="CG40" s="3">
        <v>25.524083999999998</v>
      </c>
      <c r="CH40" s="3">
        <v>20.057604000000001</v>
      </c>
      <c r="CI40" s="3">
        <v>22.130389999999998</v>
      </c>
      <c r="CJ40" s="3">
        <v>24.084748999999999</v>
      </c>
      <c r="CK40" s="3">
        <v>21.079492999999999</v>
      </c>
      <c r="CL40" s="3">
        <v>26.670774000000002</v>
      </c>
      <c r="CM40" s="3">
        <v>24.603152999999999</v>
      </c>
      <c r="CN40" s="3">
        <v>22.350052000000002</v>
      </c>
      <c r="CO40" s="3">
        <v>23.225021000000002</v>
      </c>
      <c r="CP40" s="3">
        <v>20.678910999999999</v>
      </c>
      <c r="CQ40" s="3">
        <v>25.035305000000001</v>
      </c>
      <c r="CR40" s="3">
        <v>17.681614</v>
      </c>
      <c r="CS40" s="3">
        <v>21.830904</v>
      </c>
      <c r="CT40" s="3">
        <v>23.505341000000001</v>
      </c>
      <c r="CU40" s="3">
        <v>24.164187999999999</v>
      </c>
      <c r="CV40" s="3">
        <v>24.559816000000001</v>
      </c>
      <c r="CW40" s="3">
        <v>22.168507000000002</v>
      </c>
      <c r="CX40" s="3">
        <v>23.360437000000001</v>
      </c>
      <c r="CY40" s="3">
        <v>21.217880000000001</v>
      </c>
      <c r="CZ40" s="3">
        <v>20.241714000000002</v>
      </c>
      <c r="DA40" s="3">
        <v>27.713567999999999</v>
      </c>
      <c r="DB40" s="3">
        <v>26.162226</v>
      </c>
      <c r="DC40" s="3">
        <v>23.775686</v>
      </c>
      <c r="DD40" s="3">
        <v>21.060316</v>
      </c>
      <c r="DE40" s="3">
        <v>20.742512000000001</v>
      </c>
      <c r="DF40" s="3">
        <v>27.215485000000001</v>
      </c>
      <c r="DG40" s="3">
        <v>19.356483000000001</v>
      </c>
      <c r="DH40" s="3">
        <v>18.068339999999999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26.713324550000017</v>
      </c>
      <c r="H42" s="3">
        <f>MAX(M42:GJ42)</f>
        <v>29.815263999999999</v>
      </c>
      <c r="I42" s="3">
        <f>MIN(M42:GJ42)</f>
        <v>23.848576999999999</v>
      </c>
      <c r="J42" s="3">
        <f>_xlfn.STDEV.P(M42:GJ42)</f>
        <v>1.2518648077789263</v>
      </c>
      <c r="K42" s="3">
        <f>_xlfn.VAR.S(M42:GJ42)</f>
        <v>1.5829954514700686</v>
      </c>
      <c r="M42" s="3">
        <v>27.127842000000001</v>
      </c>
      <c r="N42" s="3">
        <v>27.159237000000001</v>
      </c>
      <c r="O42" s="3">
        <v>25.821650999999999</v>
      </c>
      <c r="P42" s="3">
        <v>28.714876</v>
      </c>
      <c r="Q42" s="3">
        <v>25.897431999999998</v>
      </c>
      <c r="R42" s="3">
        <v>26.091211000000001</v>
      </c>
      <c r="S42" s="3">
        <v>26.982036999999998</v>
      </c>
      <c r="T42" s="3">
        <v>27.876995000000001</v>
      </c>
      <c r="U42" s="3">
        <v>27.879556999999998</v>
      </c>
      <c r="V42" s="3">
        <v>27.692377</v>
      </c>
      <c r="W42" s="3">
        <v>25.567129000000001</v>
      </c>
      <c r="X42" s="3">
        <v>27.577908000000001</v>
      </c>
      <c r="Y42" s="3">
        <v>25.755147999999998</v>
      </c>
      <c r="Z42" s="3">
        <v>27.998557999999999</v>
      </c>
      <c r="AA42" s="3">
        <v>27.461510000000001</v>
      </c>
      <c r="AB42" s="3">
        <v>29.609027999999999</v>
      </c>
      <c r="AC42" s="3">
        <v>25.755678</v>
      </c>
      <c r="AD42" s="3">
        <v>25.779678000000001</v>
      </c>
      <c r="AE42" s="3">
        <v>26.183729</v>
      </c>
      <c r="AF42" s="3">
        <v>28.240601000000002</v>
      </c>
      <c r="AG42" s="3">
        <v>29.339645000000001</v>
      </c>
      <c r="AH42" s="3">
        <v>26.804763999999999</v>
      </c>
      <c r="AI42" s="3">
        <v>25.447498</v>
      </c>
      <c r="AJ42" s="3">
        <v>26.887637999999999</v>
      </c>
      <c r="AK42" s="3">
        <v>25.756605</v>
      </c>
      <c r="AL42" s="3">
        <v>26.415507999999999</v>
      </c>
      <c r="AM42" s="3">
        <v>26.444948</v>
      </c>
      <c r="AN42" s="3">
        <v>25.237625000000001</v>
      </c>
      <c r="AO42" s="3">
        <v>28.783363000000001</v>
      </c>
      <c r="AP42" s="3">
        <v>27.095780999999999</v>
      </c>
      <c r="AQ42" s="3">
        <v>24.008683999999999</v>
      </c>
      <c r="AR42" s="3">
        <v>27.331672999999999</v>
      </c>
      <c r="AS42" s="3">
        <v>26.124365000000001</v>
      </c>
      <c r="AT42" s="3">
        <v>26.302446</v>
      </c>
      <c r="AU42" s="3">
        <v>28.931473</v>
      </c>
      <c r="AV42" s="3">
        <v>25.842302</v>
      </c>
      <c r="AW42" s="3">
        <v>23.848576999999999</v>
      </c>
      <c r="AX42" s="3">
        <v>26.929711999999999</v>
      </c>
      <c r="AY42" s="3">
        <v>27.042134999999998</v>
      </c>
      <c r="AZ42" s="3">
        <v>25.935006999999999</v>
      </c>
      <c r="BA42" s="3">
        <v>25.151669999999999</v>
      </c>
      <c r="BB42" s="3">
        <v>27.325379999999999</v>
      </c>
      <c r="BC42" s="3">
        <v>29.369157999999999</v>
      </c>
      <c r="BD42" s="3">
        <v>26.460429999999999</v>
      </c>
      <c r="BE42" s="3">
        <v>26.406230999999998</v>
      </c>
      <c r="BF42" s="3">
        <v>27.793827</v>
      </c>
      <c r="BG42" s="3">
        <v>25.502140000000001</v>
      </c>
      <c r="BH42" s="3">
        <v>25.110393999999999</v>
      </c>
      <c r="BI42" s="3">
        <v>24.765808</v>
      </c>
      <c r="BJ42" s="3">
        <v>25.127447</v>
      </c>
      <c r="BK42" s="3">
        <v>26.493207999999999</v>
      </c>
      <c r="BL42" s="3">
        <v>25.941755000000001</v>
      </c>
      <c r="BM42" s="3">
        <v>29.418838999999998</v>
      </c>
      <c r="BN42" s="3">
        <v>28.357970999999999</v>
      </c>
      <c r="BO42" s="3">
        <v>27.209415</v>
      </c>
      <c r="BP42" s="3">
        <v>25.777477000000001</v>
      </c>
      <c r="BQ42" s="3">
        <v>25.514655999999999</v>
      </c>
      <c r="BR42" s="3">
        <v>25.075377</v>
      </c>
      <c r="BS42" s="3">
        <v>26.241985</v>
      </c>
      <c r="BT42" s="3">
        <v>26.921486000000002</v>
      </c>
      <c r="BU42" s="3">
        <v>28.188589</v>
      </c>
      <c r="BV42" s="3">
        <v>28.434221000000001</v>
      </c>
      <c r="BW42" s="3">
        <v>24.784635999999999</v>
      </c>
      <c r="BX42" s="3">
        <v>25.252265999999999</v>
      </c>
      <c r="BY42" s="3">
        <v>25.955950000000001</v>
      </c>
      <c r="BZ42" s="3">
        <v>25.756558999999999</v>
      </c>
      <c r="CA42" s="3">
        <v>26.153873000000001</v>
      </c>
      <c r="CB42" s="3">
        <v>25.313904000000001</v>
      </c>
      <c r="CC42" s="3">
        <v>25.261493999999999</v>
      </c>
      <c r="CD42" s="3">
        <v>26.444877999999999</v>
      </c>
      <c r="CE42" s="3">
        <v>27.368040000000001</v>
      </c>
      <c r="CF42" s="3">
        <v>26.240331999999999</v>
      </c>
      <c r="CG42" s="3">
        <v>27.026295000000001</v>
      </c>
      <c r="CH42" s="3">
        <v>25.216736000000001</v>
      </c>
      <c r="CI42" s="3">
        <v>26.580943999999999</v>
      </c>
      <c r="CJ42" s="3">
        <v>26.791737000000001</v>
      </c>
      <c r="CK42" s="3">
        <v>26.42193</v>
      </c>
      <c r="CL42" s="3">
        <v>24.812866</v>
      </c>
      <c r="CM42" s="3">
        <v>27.64114</v>
      </c>
      <c r="CN42" s="3">
        <v>27.149687</v>
      </c>
      <c r="CO42" s="3">
        <v>26.252072999999999</v>
      </c>
      <c r="CP42" s="3">
        <v>27.277487000000001</v>
      </c>
      <c r="CQ42" s="3">
        <v>27.146849</v>
      </c>
      <c r="CR42" s="3">
        <v>26.863558000000001</v>
      </c>
      <c r="CS42" s="3">
        <v>28.138693</v>
      </c>
      <c r="CT42" s="3">
        <v>26.978731</v>
      </c>
      <c r="CU42" s="3">
        <v>26.257418000000001</v>
      </c>
      <c r="CV42" s="3">
        <v>28.093513000000002</v>
      </c>
      <c r="CW42" s="3">
        <v>27.431826000000001</v>
      </c>
      <c r="CX42" s="3">
        <v>27.998348</v>
      </c>
      <c r="CY42" s="3">
        <v>28.068396</v>
      </c>
      <c r="CZ42" s="3">
        <v>25.205832000000001</v>
      </c>
      <c r="DA42" s="3">
        <v>26.046320000000001</v>
      </c>
      <c r="DB42" s="3">
        <v>26.776994999999999</v>
      </c>
      <c r="DC42" s="3">
        <v>29.815263999999999</v>
      </c>
      <c r="DD42" s="3">
        <v>26.831205000000001</v>
      </c>
      <c r="DE42" s="3">
        <v>27.105295000000002</v>
      </c>
      <c r="DF42" s="3">
        <v>25.024452</v>
      </c>
      <c r="DG42" s="3">
        <v>27.221972000000001</v>
      </c>
      <c r="DH42" s="3">
        <v>28.355566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17.390705419999996</v>
      </c>
      <c r="H44" s="3">
        <f>MAX(M44:GJ44)</f>
        <v>21.614633999999999</v>
      </c>
      <c r="I44" s="3">
        <f>MIN(M44:GJ44)</f>
        <v>13.752304000000001</v>
      </c>
      <c r="J44" s="3">
        <f>_xlfn.STDEV.P(M44:GJ44)</f>
        <v>1.5141250983297665</v>
      </c>
      <c r="K44" s="3">
        <f>_xlfn.VAR.S(M44:GJ44)</f>
        <v>2.3157321347395201</v>
      </c>
      <c r="M44" s="3">
        <v>16.794965999999999</v>
      </c>
      <c r="N44" s="3">
        <v>15.147726</v>
      </c>
      <c r="O44" s="3">
        <v>21.614633999999999</v>
      </c>
      <c r="P44" s="3">
        <v>19.072823</v>
      </c>
      <c r="Q44" s="3">
        <v>18.754435000000001</v>
      </c>
      <c r="R44" s="3">
        <v>17.704205000000002</v>
      </c>
      <c r="S44" s="3">
        <v>21.396940000000001</v>
      </c>
      <c r="T44" s="3">
        <v>17.440161</v>
      </c>
      <c r="U44" s="3">
        <v>18.538567</v>
      </c>
      <c r="V44" s="3">
        <v>15.642794</v>
      </c>
      <c r="W44" s="3">
        <v>18.407101000000001</v>
      </c>
      <c r="X44" s="3">
        <v>19.612337</v>
      </c>
      <c r="Y44" s="3">
        <v>17.083296000000001</v>
      </c>
      <c r="Z44" s="3">
        <v>17.570806999999999</v>
      </c>
      <c r="AA44" s="3">
        <v>18.506347999999999</v>
      </c>
      <c r="AB44" s="3">
        <v>16.724246999999998</v>
      </c>
      <c r="AC44" s="3">
        <v>14.043082999999999</v>
      </c>
      <c r="AD44" s="3">
        <v>16.221679999999999</v>
      </c>
      <c r="AE44" s="3">
        <v>17.464183999999999</v>
      </c>
      <c r="AF44" s="3">
        <v>17.693808000000001</v>
      </c>
      <c r="AG44" s="3">
        <v>15.433142999999999</v>
      </c>
      <c r="AH44" s="3">
        <v>17.677700000000002</v>
      </c>
      <c r="AI44" s="3">
        <v>18.712339</v>
      </c>
      <c r="AJ44" s="3">
        <v>13.764434</v>
      </c>
      <c r="AK44" s="3">
        <v>17.715589999999999</v>
      </c>
      <c r="AL44" s="3">
        <v>15.460667000000001</v>
      </c>
      <c r="AM44" s="3">
        <v>17.227025999999999</v>
      </c>
      <c r="AN44" s="3">
        <v>18.044788</v>
      </c>
      <c r="AO44" s="3">
        <v>17.789856</v>
      </c>
      <c r="AP44" s="3">
        <v>15.445285999999999</v>
      </c>
      <c r="AQ44" s="3">
        <v>18.455656000000001</v>
      </c>
      <c r="AR44" s="3">
        <v>18.773596000000001</v>
      </c>
      <c r="AS44" s="3">
        <v>15.951682999999999</v>
      </c>
      <c r="AT44" s="3">
        <v>17.161724</v>
      </c>
      <c r="AU44" s="3">
        <v>14.588122</v>
      </c>
      <c r="AV44" s="3">
        <v>19.738346</v>
      </c>
      <c r="AW44" s="3">
        <v>17.814152</v>
      </c>
      <c r="AX44" s="3">
        <v>17.474895</v>
      </c>
      <c r="AY44" s="3">
        <v>18.554399</v>
      </c>
      <c r="AZ44" s="3">
        <v>17.882304999999999</v>
      </c>
      <c r="BA44" s="3">
        <v>15.960207</v>
      </c>
      <c r="BB44" s="3">
        <v>15.265336</v>
      </c>
      <c r="BC44" s="3">
        <v>16.011841</v>
      </c>
      <c r="BD44" s="3">
        <v>18.931042000000001</v>
      </c>
      <c r="BE44" s="3">
        <v>18.761365999999999</v>
      </c>
      <c r="BF44" s="3">
        <v>16.343502000000001</v>
      </c>
      <c r="BG44" s="3">
        <v>18.533494999999998</v>
      </c>
      <c r="BH44" s="3">
        <v>19.298196999999998</v>
      </c>
      <c r="BI44" s="3">
        <v>17.043728000000002</v>
      </c>
      <c r="BJ44" s="3">
        <v>18.496970999999998</v>
      </c>
      <c r="BK44" s="3">
        <v>15.894523</v>
      </c>
      <c r="BL44" s="3">
        <v>15.556762000000001</v>
      </c>
      <c r="BM44" s="3">
        <v>18.584510999999999</v>
      </c>
      <c r="BN44" s="3">
        <v>18.575972</v>
      </c>
      <c r="BO44" s="3">
        <v>17.910982000000001</v>
      </c>
      <c r="BP44" s="3">
        <v>18.297298000000001</v>
      </c>
      <c r="BQ44" s="3">
        <v>17.703085000000002</v>
      </c>
      <c r="BR44" s="3">
        <v>16.113581</v>
      </c>
      <c r="BS44" s="3">
        <v>17.750813000000001</v>
      </c>
      <c r="BT44" s="3">
        <v>14.944585</v>
      </c>
      <c r="BU44" s="3">
        <v>18.766188</v>
      </c>
      <c r="BV44" s="3">
        <v>17.650971999999999</v>
      </c>
      <c r="BW44" s="3">
        <v>16.777428</v>
      </c>
      <c r="BX44" s="3">
        <v>17.950424000000002</v>
      </c>
      <c r="BY44" s="3">
        <v>16.870010000000001</v>
      </c>
      <c r="BZ44" s="3">
        <v>18.264406000000001</v>
      </c>
      <c r="CA44" s="3">
        <v>16.226804999999999</v>
      </c>
      <c r="CB44" s="3">
        <v>17.216318000000001</v>
      </c>
      <c r="CC44" s="3">
        <v>18.987674999999999</v>
      </c>
      <c r="CD44" s="3">
        <v>17.643564000000001</v>
      </c>
      <c r="CE44" s="3">
        <v>17.645395000000001</v>
      </c>
      <c r="CF44" s="3">
        <v>19.572310999999999</v>
      </c>
      <c r="CG44" s="3">
        <v>17.383400000000002</v>
      </c>
      <c r="CH44" s="3">
        <v>14.273749</v>
      </c>
      <c r="CI44" s="3">
        <v>16.935499</v>
      </c>
      <c r="CJ44" s="3">
        <v>16.170339999999999</v>
      </c>
      <c r="CK44" s="3">
        <v>15.189830000000001</v>
      </c>
      <c r="CL44" s="3">
        <v>18.505291</v>
      </c>
      <c r="CM44" s="3">
        <v>17.622921000000002</v>
      </c>
      <c r="CN44" s="3">
        <v>18.873857000000001</v>
      </c>
      <c r="CO44" s="3">
        <v>17.863727999999998</v>
      </c>
      <c r="CP44" s="3">
        <v>18.557528000000001</v>
      </c>
      <c r="CQ44" s="3">
        <v>16.162389999999998</v>
      </c>
      <c r="CR44" s="3">
        <v>17.350259999999999</v>
      </c>
      <c r="CS44" s="3">
        <v>14.466516</v>
      </c>
      <c r="CT44" s="3">
        <v>18.215655999999999</v>
      </c>
      <c r="CU44" s="3">
        <v>17.990628999999998</v>
      </c>
      <c r="CV44" s="3">
        <v>16.793472000000001</v>
      </c>
      <c r="CW44" s="3">
        <v>19.707301999999999</v>
      </c>
      <c r="CX44" s="3">
        <v>16.265682000000002</v>
      </c>
      <c r="CY44" s="3">
        <v>17.104621999999999</v>
      </c>
      <c r="CZ44" s="3">
        <v>15.630665</v>
      </c>
      <c r="DA44" s="3">
        <v>16.137270000000001</v>
      </c>
      <c r="DB44" s="3">
        <v>18.671728000000002</v>
      </c>
      <c r="DC44" s="3">
        <v>18.018758999999999</v>
      </c>
      <c r="DD44" s="3">
        <v>18.558738999999999</v>
      </c>
      <c r="DE44" s="3">
        <v>18.160409999999999</v>
      </c>
      <c r="DF44" s="3">
        <v>18.663803000000001</v>
      </c>
      <c r="DG44" s="3">
        <v>13.752304000000001</v>
      </c>
      <c r="DH44" s="3">
        <v>17.395050000000001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19.701002160000002</v>
      </c>
      <c r="H46" s="3">
        <f>MAX(M46:GJ46)</f>
        <v>24.879154</v>
      </c>
      <c r="I46" s="3">
        <f>MIN(M46:GJ46)</f>
        <v>14.557639</v>
      </c>
      <c r="J46" s="3">
        <f>_xlfn.STDEV.P(M46:GJ46)</f>
        <v>2.6180233225036842</v>
      </c>
      <c r="K46" s="3">
        <f>_xlfn.VAR.S(M46:GJ46)</f>
        <v>6.9232789062355575</v>
      </c>
      <c r="M46" s="3">
        <v>19.837847</v>
      </c>
      <c r="N46" s="3">
        <v>22.239723000000001</v>
      </c>
      <c r="O46" s="3">
        <v>20.184180999999999</v>
      </c>
      <c r="P46" s="3">
        <v>19.221436000000001</v>
      </c>
      <c r="Q46" s="3">
        <v>16.095078999999998</v>
      </c>
      <c r="R46" s="3">
        <v>23.322966000000001</v>
      </c>
      <c r="S46" s="3">
        <v>14.557639</v>
      </c>
      <c r="T46" s="3">
        <v>16.832754000000001</v>
      </c>
      <c r="U46" s="3">
        <v>19.810801000000001</v>
      </c>
      <c r="V46" s="3">
        <v>21.208462000000001</v>
      </c>
      <c r="W46" s="3">
        <v>18.616661000000001</v>
      </c>
      <c r="X46" s="3">
        <v>17.115552999999998</v>
      </c>
      <c r="Y46" s="3">
        <v>18.280390000000001</v>
      </c>
      <c r="Z46" s="3">
        <v>23.547492999999999</v>
      </c>
      <c r="AA46" s="3">
        <v>23.202411999999999</v>
      </c>
      <c r="AB46" s="3">
        <v>19.069607000000001</v>
      </c>
      <c r="AC46" s="3">
        <v>21.280994</v>
      </c>
      <c r="AD46" s="3">
        <v>17.409203999999999</v>
      </c>
      <c r="AE46" s="3">
        <v>16.574784999999999</v>
      </c>
      <c r="AF46" s="3">
        <v>22.130486000000001</v>
      </c>
      <c r="AG46" s="3">
        <v>18.086473000000002</v>
      </c>
      <c r="AH46" s="3">
        <v>21.004446000000002</v>
      </c>
      <c r="AI46" s="3">
        <v>24.159115</v>
      </c>
      <c r="AJ46" s="3">
        <v>21.278161999999998</v>
      </c>
      <c r="AK46" s="3">
        <v>22.256004000000001</v>
      </c>
      <c r="AL46" s="3">
        <v>19.684179</v>
      </c>
      <c r="AM46" s="3">
        <v>23.429940999999999</v>
      </c>
      <c r="AN46" s="3">
        <v>16.012318</v>
      </c>
      <c r="AO46" s="3">
        <v>20.888798000000001</v>
      </c>
      <c r="AP46" s="3">
        <v>21.727301000000001</v>
      </c>
      <c r="AQ46" s="3">
        <v>20.400200000000002</v>
      </c>
      <c r="AR46" s="3">
        <v>22.213045000000001</v>
      </c>
      <c r="AS46" s="3">
        <v>16.687304000000001</v>
      </c>
      <c r="AT46" s="3">
        <v>15.997569</v>
      </c>
      <c r="AU46" s="3">
        <v>22.333845</v>
      </c>
      <c r="AV46" s="3">
        <v>18.176559000000001</v>
      </c>
      <c r="AW46" s="3">
        <v>15.694518</v>
      </c>
      <c r="AX46" s="3">
        <v>15.953761999999999</v>
      </c>
      <c r="AY46" s="3">
        <v>20.179110999999999</v>
      </c>
      <c r="AZ46" s="3">
        <v>22.228670000000001</v>
      </c>
      <c r="BA46" s="3">
        <v>16.152329999999999</v>
      </c>
      <c r="BB46" s="3">
        <v>22.844746000000001</v>
      </c>
      <c r="BC46" s="3">
        <v>24.088253000000002</v>
      </c>
      <c r="BD46" s="3">
        <v>23.781012</v>
      </c>
      <c r="BE46" s="3">
        <v>18.105284000000001</v>
      </c>
      <c r="BF46" s="3">
        <v>19.798203999999998</v>
      </c>
      <c r="BG46" s="3">
        <v>18.443784999999998</v>
      </c>
      <c r="BH46" s="3">
        <v>20.152937000000001</v>
      </c>
      <c r="BI46" s="3">
        <v>24.091100999999998</v>
      </c>
      <c r="BJ46" s="3">
        <v>22.16028</v>
      </c>
      <c r="BK46" s="3">
        <v>19.617581999999999</v>
      </c>
      <c r="BL46" s="3">
        <v>22.573371999999999</v>
      </c>
      <c r="BM46" s="3">
        <v>15.489654</v>
      </c>
      <c r="BN46" s="3">
        <v>18.364246000000001</v>
      </c>
      <c r="BO46" s="3">
        <v>17.332236999999999</v>
      </c>
      <c r="BP46" s="3">
        <v>17.297696999999999</v>
      </c>
      <c r="BQ46" s="3">
        <v>23.091754999999999</v>
      </c>
      <c r="BR46" s="3">
        <v>16.714365000000001</v>
      </c>
      <c r="BS46" s="3">
        <v>16.915151999999999</v>
      </c>
      <c r="BT46" s="3">
        <v>23.448163999999998</v>
      </c>
      <c r="BU46" s="3">
        <v>19.216723999999999</v>
      </c>
      <c r="BV46" s="3">
        <v>19.053131</v>
      </c>
      <c r="BW46" s="3">
        <v>16.312139999999999</v>
      </c>
      <c r="BX46" s="3">
        <v>21.059954000000001</v>
      </c>
      <c r="BY46" s="3">
        <v>20.938745000000001</v>
      </c>
      <c r="BZ46" s="3">
        <v>18.101738000000001</v>
      </c>
      <c r="CA46" s="3">
        <v>18.006005999999999</v>
      </c>
      <c r="CB46" s="3">
        <v>24.879154</v>
      </c>
      <c r="CC46" s="3">
        <v>20.6343</v>
      </c>
      <c r="CD46" s="3">
        <v>16.689999</v>
      </c>
      <c r="CE46" s="3">
        <v>18.540147999999999</v>
      </c>
      <c r="CF46" s="3">
        <v>15.960608000000001</v>
      </c>
      <c r="CG46" s="3">
        <v>20.926535000000001</v>
      </c>
      <c r="CH46" s="3">
        <v>23.513161</v>
      </c>
      <c r="CI46" s="3">
        <v>20.786028000000002</v>
      </c>
      <c r="CJ46" s="3">
        <v>17.796590999999999</v>
      </c>
      <c r="CK46" s="3">
        <v>21.438880999999999</v>
      </c>
      <c r="CL46" s="3">
        <v>16.243812999999999</v>
      </c>
      <c r="CM46" s="3">
        <v>21.319621999999999</v>
      </c>
      <c r="CN46" s="3">
        <v>21.467209</v>
      </c>
      <c r="CO46" s="3">
        <v>18.801811000000001</v>
      </c>
      <c r="CP46" s="3">
        <v>17.867083000000001</v>
      </c>
      <c r="CQ46" s="3">
        <v>18.859583000000001</v>
      </c>
      <c r="CR46" s="3">
        <v>16.435317999999999</v>
      </c>
      <c r="CS46" s="3">
        <v>21.479043999999998</v>
      </c>
      <c r="CT46" s="3">
        <v>17.807290999999999</v>
      </c>
      <c r="CU46" s="3">
        <v>16.401577</v>
      </c>
      <c r="CV46" s="3">
        <v>16.739386</v>
      </c>
      <c r="CW46" s="3">
        <v>20.956339</v>
      </c>
      <c r="CX46" s="3">
        <v>19.046372999999999</v>
      </c>
      <c r="CY46" s="3">
        <v>18.591975999999999</v>
      </c>
      <c r="CZ46" s="3">
        <v>18.318106</v>
      </c>
      <c r="DA46" s="3">
        <v>24.604233000000001</v>
      </c>
      <c r="DB46" s="3">
        <v>22.907598</v>
      </c>
      <c r="DC46" s="3">
        <v>16.882052999999999</v>
      </c>
      <c r="DD46" s="3">
        <v>17.452347</v>
      </c>
      <c r="DE46" s="3">
        <v>16.943625999999998</v>
      </c>
      <c r="DF46" s="3">
        <v>21.441922999999999</v>
      </c>
      <c r="DG46" s="3">
        <v>23.335760000000001</v>
      </c>
      <c r="DH46" s="3">
        <v>22.952352999999999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</row>
    <row r="48" spans="2:207" x14ac:dyDescent="0.2">
      <c r="D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</row>
    <row r="49" spans="2:207" x14ac:dyDescent="0.2">
      <c r="B49" t="s">
        <v>60</v>
      </c>
      <c r="D49" s="1" t="s">
        <v>32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23.479153510000007</v>
      </c>
      <c r="H50" s="3">
        <f>MAX(M50:GJ50)</f>
        <v>27.299724999999999</v>
      </c>
      <c r="I50" s="3">
        <f>MIN(M50:GJ50)</f>
        <v>22.040534999999998</v>
      </c>
      <c r="J50" s="3">
        <f>_xlfn.STDEV.P(M50:GJ50)</f>
        <v>1.2924945494491764</v>
      </c>
      <c r="K50" s="3">
        <f>_xlfn.VAR.S(M50:GJ50)</f>
        <v>1.687416323591747</v>
      </c>
      <c r="M50" s="3">
        <v>24.401253000000001</v>
      </c>
      <c r="N50" s="3">
        <v>23.146521</v>
      </c>
      <c r="O50" s="3">
        <v>22.569469000000002</v>
      </c>
      <c r="P50" s="3">
        <v>26.246024999999999</v>
      </c>
      <c r="Q50" s="3">
        <v>23.245381999999999</v>
      </c>
      <c r="R50" s="3">
        <v>22.677036000000001</v>
      </c>
      <c r="S50" s="3">
        <v>23.705338999999999</v>
      </c>
      <c r="T50" s="3">
        <v>23.865891999999999</v>
      </c>
      <c r="U50" s="3">
        <v>24.560991000000001</v>
      </c>
      <c r="V50" s="3">
        <v>22.624472000000001</v>
      </c>
      <c r="W50" s="3">
        <v>25.219619999999999</v>
      </c>
      <c r="X50" s="3">
        <v>22.939829</v>
      </c>
      <c r="Y50" s="3">
        <v>23.876833000000001</v>
      </c>
      <c r="Z50" s="3">
        <v>22.415610999999998</v>
      </c>
      <c r="AA50" s="3">
        <v>23.303698000000001</v>
      </c>
      <c r="AB50" s="3">
        <v>23.860603000000001</v>
      </c>
      <c r="AC50" s="3">
        <v>26.706747</v>
      </c>
      <c r="AD50" s="3">
        <v>22.422743000000001</v>
      </c>
      <c r="AE50" s="3">
        <v>22.398529</v>
      </c>
      <c r="AF50" s="3">
        <v>23.469781999999999</v>
      </c>
      <c r="AG50" s="3">
        <v>22.527269</v>
      </c>
      <c r="AH50" s="3">
        <v>22.844498000000002</v>
      </c>
      <c r="AI50" s="3">
        <v>22.434878999999999</v>
      </c>
      <c r="AJ50" s="3">
        <v>22.531873999999998</v>
      </c>
      <c r="AK50" s="3">
        <v>23.524010000000001</v>
      </c>
      <c r="AL50" s="3">
        <v>22.690142000000002</v>
      </c>
      <c r="AM50" s="3">
        <v>22.16338</v>
      </c>
      <c r="AN50" s="3">
        <v>22.663295999999999</v>
      </c>
      <c r="AO50" s="3">
        <v>22.053108000000002</v>
      </c>
      <c r="AP50" s="3">
        <v>22.222942</v>
      </c>
      <c r="AQ50" s="3">
        <v>22.109784999999999</v>
      </c>
      <c r="AR50" s="3">
        <v>22.884014000000001</v>
      </c>
      <c r="AS50" s="3">
        <v>26.603549999999998</v>
      </c>
      <c r="AT50" s="3">
        <v>25.183872000000001</v>
      </c>
      <c r="AU50" s="3">
        <v>22.876213</v>
      </c>
      <c r="AV50" s="3">
        <v>27.299724999999999</v>
      </c>
      <c r="AW50" s="3">
        <v>23.096623999999998</v>
      </c>
      <c r="AX50" s="3">
        <v>23.946777000000001</v>
      </c>
      <c r="AY50" s="3">
        <v>25.396017000000001</v>
      </c>
      <c r="AZ50" s="3">
        <v>24.508856000000002</v>
      </c>
      <c r="BA50" s="3">
        <v>23.124549999999999</v>
      </c>
      <c r="BB50" s="3">
        <v>22.751080000000002</v>
      </c>
      <c r="BC50" s="3">
        <v>22.270862999999999</v>
      </c>
      <c r="BD50" s="3">
        <v>22.879992999999999</v>
      </c>
      <c r="BE50" s="3">
        <v>25.525452000000001</v>
      </c>
      <c r="BF50" s="3">
        <v>22.970583000000001</v>
      </c>
      <c r="BG50" s="3">
        <v>26.775521999999999</v>
      </c>
      <c r="BH50" s="3">
        <v>23.887710999999999</v>
      </c>
      <c r="BI50" s="3">
        <v>23.799557</v>
      </c>
      <c r="BJ50" s="3">
        <v>22.533636000000001</v>
      </c>
      <c r="BK50" s="3">
        <v>23.165997000000001</v>
      </c>
      <c r="BL50" s="3">
        <v>26.543682</v>
      </c>
      <c r="BM50" s="3">
        <v>22.470935999999998</v>
      </c>
      <c r="BN50" s="3">
        <v>22.219473000000001</v>
      </c>
      <c r="BO50" s="3">
        <v>22.379438</v>
      </c>
      <c r="BP50" s="3">
        <v>22.927032000000001</v>
      </c>
      <c r="BQ50" s="3">
        <v>23.687360999999999</v>
      </c>
      <c r="BR50" s="3">
        <v>22.879704</v>
      </c>
      <c r="BS50" s="3">
        <v>24.366879000000001</v>
      </c>
      <c r="BT50" s="3">
        <v>22.254185</v>
      </c>
      <c r="BU50" s="3">
        <v>22.303868999999999</v>
      </c>
      <c r="BV50" s="3">
        <v>22.426570999999999</v>
      </c>
      <c r="BW50" s="3">
        <v>22.825136000000001</v>
      </c>
      <c r="BX50" s="3">
        <v>23.665164999999998</v>
      </c>
      <c r="BY50" s="3">
        <v>22.861635</v>
      </c>
      <c r="BZ50" s="3">
        <v>22.822586000000001</v>
      </c>
      <c r="CA50" s="3">
        <v>24.444400999999999</v>
      </c>
      <c r="CB50" s="3">
        <v>23.886240000000001</v>
      </c>
      <c r="CC50" s="3">
        <v>23.670952</v>
      </c>
      <c r="CD50" s="3">
        <v>22.040534999999998</v>
      </c>
      <c r="CE50" s="3">
        <v>22.664048999999999</v>
      </c>
      <c r="CF50" s="3">
        <v>24.440771000000002</v>
      </c>
      <c r="CG50" s="3">
        <v>25.320971</v>
      </c>
      <c r="CH50" s="3">
        <v>25.062096</v>
      </c>
      <c r="CI50" s="3">
        <v>24.182175000000001</v>
      </c>
      <c r="CJ50" s="3">
        <v>22.283978999999999</v>
      </c>
      <c r="CK50" s="3">
        <v>24.260546000000001</v>
      </c>
      <c r="CL50" s="3">
        <v>23.901508</v>
      </c>
      <c r="CM50" s="3">
        <v>26.017277</v>
      </c>
      <c r="CN50" s="3">
        <v>22.295252000000001</v>
      </c>
      <c r="CO50" s="3">
        <v>26.123609999999999</v>
      </c>
      <c r="CP50" s="3">
        <v>24.243956000000001</v>
      </c>
      <c r="CQ50" s="3">
        <v>22.566624000000001</v>
      </c>
      <c r="CR50" s="3">
        <v>22.523861</v>
      </c>
      <c r="CS50" s="3">
        <v>22.256491</v>
      </c>
      <c r="CT50" s="3">
        <v>23.263828</v>
      </c>
      <c r="CU50" s="3">
        <v>22.477319999999999</v>
      </c>
      <c r="CV50" s="3">
        <v>22.552954</v>
      </c>
      <c r="CW50" s="3">
        <v>26.506535</v>
      </c>
      <c r="CX50" s="3">
        <v>24.391622999999999</v>
      </c>
      <c r="CY50" s="3">
        <v>22.624137999999999</v>
      </c>
      <c r="CZ50" s="3">
        <v>22.304853000000001</v>
      </c>
      <c r="DA50" s="3">
        <v>22.654057000000002</v>
      </c>
      <c r="DB50" s="3">
        <v>22.224001000000001</v>
      </c>
      <c r="DC50" s="3">
        <v>22.511759000000001</v>
      </c>
      <c r="DD50" s="3">
        <v>23.053405999999999</v>
      </c>
      <c r="DE50" s="3">
        <v>22.339404999999999</v>
      </c>
      <c r="DF50" s="3">
        <v>24.245339999999999</v>
      </c>
      <c r="DG50" s="3">
        <v>22.165928000000001</v>
      </c>
      <c r="DH50" s="3">
        <v>22.879107999999999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25.444492139999998</v>
      </c>
      <c r="H52" s="3">
        <f>MAX(M52:GJ52)</f>
        <v>29.418230000000001</v>
      </c>
      <c r="I52" s="3">
        <f>MIN(M52:GJ52)</f>
        <v>21.408536999999999</v>
      </c>
      <c r="J52" s="3">
        <f>_xlfn.STDEV.P(M52:GJ52)</f>
        <v>1.6418398997365</v>
      </c>
      <c r="K52" s="3">
        <f>_xlfn.VAR.S(M52:GJ52)</f>
        <v>2.72286692562299</v>
      </c>
      <c r="M52" s="3">
        <v>26.709257000000001</v>
      </c>
      <c r="N52" s="3">
        <v>26.325457</v>
      </c>
      <c r="O52" s="3">
        <v>28.093315</v>
      </c>
      <c r="P52" s="3">
        <v>25.080190999999999</v>
      </c>
      <c r="Q52" s="3">
        <v>23.986027</v>
      </c>
      <c r="R52" s="3">
        <v>25.677757</v>
      </c>
      <c r="S52" s="3">
        <v>23.520600999999999</v>
      </c>
      <c r="T52" s="3">
        <v>23.649649</v>
      </c>
      <c r="U52" s="3">
        <v>25.535789000000001</v>
      </c>
      <c r="V52" s="3">
        <v>27.255216999999998</v>
      </c>
      <c r="W52" s="3">
        <v>26.322409</v>
      </c>
      <c r="X52" s="3">
        <v>24.214237000000001</v>
      </c>
      <c r="Y52" s="3">
        <v>26.174166</v>
      </c>
      <c r="Z52" s="3">
        <v>25.465647000000001</v>
      </c>
      <c r="AA52" s="3">
        <v>24.756886999999999</v>
      </c>
      <c r="AB52" s="3">
        <v>25.701595000000001</v>
      </c>
      <c r="AC52" s="3">
        <v>26.474304</v>
      </c>
      <c r="AD52" s="3">
        <v>24.488582999999998</v>
      </c>
      <c r="AE52" s="3">
        <v>25.219111999999999</v>
      </c>
      <c r="AF52" s="3">
        <v>24.493845</v>
      </c>
      <c r="AG52" s="3">
        <v>23.439851999999998</v>
      </c>
      <c r="AH52" s="3">
        <v>25.122799000000001</v>
      </c>
      <c r="AI52" s="3">
        <v>27.692543000000001</v>
      </c>
      <c r="AJ52" s="3">
        <v>22.138411000000001</v>
      </c>
      <c r="AK52" s="3">
        <v>23.979800999999998</v>
      </c>
      <c r="AL52" s="3">
        <v>24.357336</v>
      </c>
      <c r="AM52" s="3">
        <v>26.866512</v>
      </c>
      <c r="AN52" s="3">
        <v>25.126643999999999</v>
      </c>
      <c r="AO52" s="3">
        <v>25.543548999999999</v>
      </c>
      <c r="AP52" s="3">
        <v>24.076754000000001</v>
      </c>
      <c r="AQ52" s="3">
        <v>28.106781000000002</v>
      </c>
      <c r="AR52" s="3">
        <v>22.451371999999999</v>
      </c>
      <c r="AS52" s="3">
        <v>23.394255000000001</v>
      </c>
      <c r="AT52" s="3">
        <v>27.870882000000002</v>
      </c>
      <c r="AU52" s="3">
        <v>25.28631</v>
      </c>
      <c r="AV52" s="3">
        <v>26.277795999999999</v>
      </c>
      <c r="AW52" s="3">
        <v>25.741161000000002</v>
      </c>
      <c r="AX52" s="3">
        <v>25.307302</v>
      </c>
      <c r="AY52" s="3">
        <v>25.219393</v>
      </c>
      <c r="AZ52" s="3">
        <v>24.587139000000001</v>
      </c>
      <c r="BA52" s="3">
        <v>28.995498999999999</v>
      </c>
      <c r="BB52" s="3">
        <v>27.870317</v>
      </c>
      <c r="BC52" s="3">
        <v>25.700415</v>
      </c>
      <c r="BD52" s="3">
        <v>22.498161</v>
      </c>
      <c r="BE52" s="3">
        <v>25.333105</v>
      </c>
      <c r="BF52" s="3">
        <v>24.723406000000001</v>
      </c>
      <c r="BG52" s="3">
        <v>27.482925000000002</v>
      </c>
      <c r="BH52" s="3">
        <v>26.606966</v>
      </c>
      <c r="BI52" s="3">
        <v>25.943042999999999</v>
      </c>
      <c r="BJ52" s="3">
        <v>25.425619000000001</v>
      </c>
      <c r="BK52" s="3">
        <v>23.719812000000001</v>
      </c>
      <c r="BL52" s="3">
        <v>28.101133000000001</v>
      </c>
      <c r="BM52" s="3">
        <v>25.055187</v>
      </c>
      <c r="BN52" s="3">
        <v>23.350304000000001</v>
      </c>
      <c r="BO52" s="3">
        <v>27.940048000000001</v>
      </c>
      <c r="BP52" s="3">
        <v>23.303301000000001</v>
      </c>
      <c r="BQ52" s="3">
        <v>25.771341</v>
      </c>
      <c r="BR52" s="3">
        <v>24.490839000000001</v>
      </c>
      <c r="BS52" s="3">
        <v>23.946093000000001</v>
      </c>
      <c r="BT52" s="3">
        <v>28.020927</v>
      </c>
      <c r="BU52" s="3">
        <v>25.141748</v>
      </c>
      <c r="BV52" s="3">
        <v>21.408536999999999</v>
      </c>
      <c r="BW52" s="3">
        <v>27.989325000000001</v>
      </c>
      <c r="BX52" s="3">
        <v>22.877773000000001</v>
      </c>
      <c r="BY52" s="3">
        <v>24.767351000000001</v>
      </c>
      <c r="BZ52" s="3">
        <v>27.405063999999999</v>
      </c>
      <c r="CA52" s="3">
        <v>26.209135</v>
      </c>
      <c r="CB52" s="3">
        <v>25.467134000000001</v>
      </c>
      <c r="CC52" s="3">
        <v>25.210417</v>
      </c>
      <c r="CD52" s="3">
        <v>26.446895999999999</v>
      </c>
      <c r="CE52" s="3">
        <v>26.93046</v>
      </c>
      <c r="CF52" s="3">
        <v>25.370761999999999</v>
      </c>
      <c r="CG52" s="3">
        <v>24.755890000000001</v>
      </c>
      <c r="CH52" s="3">
        <v>29.418230000000001</v>
      </c>
      <c r="CI52" s="3">
        <v>27.614162</v>
      </c>
      <c r="CJ52" s="3">
        <v>25.104773000000002</v>
      </c>
      <c r="CK52" s="3">
        <v>26.715488000000001</v>
      </c>
      <c r="CL52" s="3">
        <v>26.002334999999999</v>
      </c>
      <c r="CM52" s="3">
        <v>25.534414000000002</v>
      </c>
      <c r="CN52" s="3">
        <v>24.889668</v>
      </c>
      <c r="CO52" s="3">
        <v>24.053698000000001</v>
      </c>
      <c r="CP52" s="3">
        <v>24.546959000000001</v>
      </c>
      <c r="CQ52" s="3">
        <v>24.092772</v>
      </c>
      <c r="CR52" s="3">
        <v>27.671437999999998</v>
      </c>
      <c r="CS52" s="3">
        <v>23.723306999999998</v>
      </c>
      <c r="CT52" s="3">
        <v>22.494942000000002</v>
      </c>
      <c r="CU52" s="3">
        <v>26.52375</v>
      </c>
      <c r="CV52" s="3">
        <v>27.179279000000001</v>
      </c>
      <c r="CW52" s="3">
        <v>25.019196000000001</v>
      </c>
      <c r="CX52" s="3">
        <v>24.144676</v>
      </c>
      <c r="CY52" s="3">
        <v>28.217054000000001</v>
      </c>
      <c r="CZ52" s="3">
        <v>23.919422000000001</v>
      </c>
      <c r="DA52" s="3">
        <v>26.454509999999999</v>
      </c>
      <c r="DB52" s="3">
        <v>23.198671000000001</v>
      </c>
      <c r="DC52" s="3">
        <v>27.332865000000002</v>
      </c>
      <c r="DD52" s="3">
        <v>23.454477000000001</v>
      </c>
      <c r="DE52" s="3">
        <v>23.273879999999998</v>
      </c>
      <c r="DF52" s="3">
        <v>25.79365</v>
      </c>
      <c r="DG52" s="3">
        <v>25.893229000000002</v>
      </c>
      <c r="DH52" s="3">
        <v>26.192799000000001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25.054155349999991</v>
      </c>
      <c r="H54" s="3">
        <f>MAX(M54:GJ54)</f>
        <v>28.622543</v>
      </c>
      <c r="I54" s="3">
        <f>MIN(M54:GJ54)</f>
        <v>22.741682000000001</v>
      </c>
      <c r="J54" s="3">
        <f>_xlfn.STDEV.P(M54:GJ54)</f>
        <v>1.1219910100071422</v>
      </c>
      <c r="K54" s="3">
        <f>_xlfn.VAR.S(M54:GJ54)</f>
        <v>1.2715796227644922</v>
      </c>
      <c r="M54" s="3">
        <v>25.678166999999998</v>
      </c>
      <c r="N54" s="3">
        <v>23.972442999999998</v>
      </c>
      <c r="O54" s="3">
        <v>23.508773999999999</v>
      </c>
      <c r="P54" s="3">
        <v>25.978785999999999</v>
      </c>
      <c r="Q54" s="3">
        <v>24.326588000000001</v>
      </c>
      <c r="R54" s="3">
        <v>24.167341</v>
      </c>
      <c r="S54" s="3">
        <v>25.047787</v>
      </c>
      <c r="T54" s="3">
        <v>24.866033999999999</v>
      </c>
      <c r="U54" s="3">
        <v>25.942292999999999</v>
      </c>
      <c r="V54" s="3">
        <v>25.560171</v>
      </c>
      <c r="W54" s="3">
        <v>23.583449999999999</v>
      </c>
      <c r="X54" s="3">
        <v>26.481919999999999</v>
      </c>
      <c r="Y54" s="3">
        <v>24.465288000000001</v>
      </c>
      <c r="Z54" s="3">
        <v>26.596692999999998</v>
      </c>
      <c r="AA54" s="3">
        <v>26.189143999999999</v>
      </c>
      <c r="AB54" s="3">
        <v>25.923387999999999</v>
      </c>
      <c r="AC54" s="3">
        <v>23.999979</v>
      </c>
      <c r="AD54" s="3">
        <v>24.097474999999999</v>
      </c>
      <c r="AE54" s="3">
        <v>24.203785</v>
      </c>
      <c r="AF54" s="3">
        <v>26.013544</v>
      </c>
      <c r="AG54" s="3">
        <v>27.746594999999999</v>
      </c>
      <c r="AH54" s="3">
        <v>25.444922999999999</v>
      </c>
      <c r="AI54" s="3">
        <v>24.326391000000001</v>
      </c>
      <c r="AJ54" s="3">
        <v>23.919315000000001</v>
      </c>
      <c r="AK54" s="3">
        <v>23.685278</v>
      </c>
      <c r="AL54" s="3">
        <v>26.293763999999999</v>
      </c>
      <c r="AM54" s="3">
        <v>24.305129999999998</v>
      </c>
      <c r="AN54" s="3">
        <v>24.438725999999999</v>
      </c>
      <c r="AO54" s="3">
        <v>26.923819999999999</v>
      </c>
      <c r="AP54" s="3">
        <v>24.264880999999999</v>
      </c>
      <c r="AQ54" s="3">
        <v>23.702715000000001</v>
      </c>
      <c r="AR54" s="3">
        <v>27.098433</v>
      </c>
      <c r="AS54" s="3">
        <v>24.588280000000001</v>
      </c>
      <c r="AT54" s="3">
        <v>24.971228</v>
      </c>
      <c r="AU54" s="3">
        <v>24.913209999999999</v>
      </c>
      <c r="AV54" s="3">
        <v>23.525753000000002</v>
      </c>
      <c r="AW54" s="3">
        <v>23.567319999999999</v>
      </c>
      <c r="AX54" s="3">
        <v>25.974594</v>
      </c>
      <c r="AY54" s="3">
        <v>25.133338999999999</v>
      </c>
      <c r="AZ54" s="3">
        <v>24.479617999999999</v>
      </c>
      <c r="BA54" s="3">
        <v>23.970199999999998</v>
      </c>
      <c r="BB54" s="3">
        <v>25.922667000000001</v>
      </c>
      <c r="BC54" s="3">
        <v>27.649391000000001</v>
      </c>
      <c r="BD54" s="3">
        <v>24.570419000000001</v>
      </c>
      <c r="BE54" s="3">
        <v>25.491976000000001</v>
      </c>
      <c r="BF54" s="3">
        <v>24.051247</v>
      </c>
      <c r="BG54" s="3">
        <v>25.039804</v>
      </c>
      <c r="BH54" s="3">
        <v>24.594839</v>
      </c>
      <c r="BI54" s="3">
        <v>24.059754999999999</v>
      </c>
      <c r="BJ54" s="3">
        <v>25.000568000000001</v>
      </c>
      <c r="BK54" s="3">
        <v>25.831016999999999</v>
      </c>
      <c r="BL54" s="3">
        <v>24.073098999999999</v>
      </c>
      <c r="BM54" s="3">
        <v>27.864985999999998</v>
      </c>
      <c r="BN54" s="3">
        <v>25.670362000000001</v>
      </c>
      <c r="BO54" s="3">
        <v>24.750536</v>
      </c>
      <c r="BP54" s="3">
        <v>24.477063999999999</v>
      </c>
      <c r="BQ54" s="3">
        <v>24.645738999999999</v>
      </c>
      <c r="BR54" s="3">
        <v>24.198215000000001</v>
      </c>
      <c r="BS54" s="3">
        <v>26.319139</v>
      </c>
      <c r="BT54" s="3">
        <v>25.076785999999998</v>
      </c>
      <c r="BU54" s="3">
        <v>26.229493999999999</v>
      </c>
      <c r="BV54" s="3">
        <v>27.957819000000001</v>
      </c>
      <c r="BW54" s="3">
        <v>24.064420999999999</v>
      </c>
      <c r="BX54" s="3">
        <v>23.868162000000002</v>
      </c>
      <c r="BY54" s="3">
        <v>24.972147</v>
      </c>
      <c r="BZ54" s="3">
        <v>25.298254</v>
      </c>
      <c r="CA54" s="3">
        <v>25.563079999999999</v>
      </c>
      <c r="CB54" s="3">
        <v>24.081247000000001</v>
      </c>
      <c r="CC54" s="3">
        <v>24.450247000000001</v>
      </c>
      <c r="CD54" s="3">
        <v>25.559737999999999</v>
      </c>
      <c r="CE54" s="3">
        <v>24.836096000000001</v>
      </c>
      <c r="CF54" s="3">
        <v>25.022676000000001</v>
      </c>
      <c r="CG54" s="3">
        <v>25.759924000000002</v>
      </c>
      <c r="CH54" s="3">
        <v>23.551258000000001</v>
      </c>
      <c r="CI54" s="3">
        <v>25.89875</v>
      </c>
      <c r="CJ54" s="3">
        <v>25.86816</v>
      </c>
      <c r="CK54" s="3">
        <v>24.516826999999999</v>
      </c>
      <c r="CL54" s="3">
        <v>22.741682000000001</v>
      </c>
      <c r="CM54" s="3">
        <v>25.406137000000001</v>
      </c>
      <c r="CN54" s="3">
        <v>25.204905</v>
      </c>
      <c r="CO54" s="3">
        <v>24.511208</v>
      </c>
      <c r="CP54" s="3">
        <v>24.537956000000001</v>
      </c>
      <c r="CQ54" s="3">
        <v>25.164978000000001</v>
      </c>
      <c r="CR54" s="3">
        <v>25.782131</v>
      </c>
      <c r="CS54" s="3">
        <v>26.090487</v>
      </c>
      <c r="CT54" s="3">
        <v>23.747630999999998</v>
      </c>
      <c r="CU54" s="3">
        <v>24.255772</v>
      </c>
      <c r="CV54" s="3">
        <v>23.705137000000001</v>
      </c>
      <c r="CW54" s="3">
        <v>26.075747</v>
      </c>
      <c r="CX54" s="3">
        <v>24.935134999999999</v>
      </c>
      <c r="CY54" s="3">
        <v>25.773230000000002</v>
      </c>
      <c r="CZ54" s="3">
        <v>23.236982000000001</v>
      </c>
      <c r="DA54" s="3">
        <v>24.215181000000001</v>
      </c>
      <c r="DB54" s="3">
        <v>25.275538999999998</v>
      </c>
      <c r="DC54" s="3">
        <v>28.622543</v>
      </c>
      <c r="DD54" s="3">
        <v>25.067039000000001</v>
      </c>
      <c r="DE54" s="3">
        <v>25.151453</v>
      </c>
      <c r="DF54" s="3">
        <v>24.457165</v>
      </c>
      <c r="DG54" s="3">
        <v>24.183920000000001</v>
      </c>
      <c r="DH54" s="3">
        <v>26.611104999999998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29.913342710000009</v>
      </c>
      <c r="H56" s="3">
        <f>MAX(M56:GJ56)</f>
        <v>33.473391999999997</v>
      </c>
      <c r="I56" s="3">
        <f>MIN(M56:GJ56)</f>
        <v>26.441044000000002</v>
      </c>
      <c r="J56" s="3">
        <f>_xlfn.STDEV.P(M56:GJ56)</f>
        <v>1.3650339796645743</v>
      </c>
      <c r="K56" s="3">
        <f>_xlfn.VAR.S(M56:GJ56)</f>
        <v>1.8821391572110155</v>
      </c>
      <c r="M56" s="3">
        <v>31.983851999999999</v>
      </c>
      <c r="N56" s="3">
        <v>30.555627999999999</v>
      </c>
      <c r="O56" s="3">
        <v>27.770845000000001</v>
      </c>
      <c r="P56" s="3">
        <v>28.598009000000001</v>
      </c>
      <c r="Q56" s="3">
        <v>28.941223000000001</v>
      </c>
      <c r="R56" s="3">
        <v>31.023071000000002</v>
      </c>
      <c r="S56" s="3">
        <v>28.343563</v>
      </c>
      <c r="T56" s="3">
        <v>30.110706</v>
      </c>
      <c r="U56" s="3">
        <v>31.288032999999999</v>
      </c>
      <c r="V56" s="3">
        <v>29.949928</v>
      </c>
      <c r="W56" s="3">
        <v>30.231186000000001</v>
      </c>
      <c r="X56" s="3">
        <v>29.700997999999998</v>
      </c>
      <c r="Y56" s="3">
        <v>30.139828000000001</v>
      </c>
      <c r="Z56" s="3">
        <v>29.026592000000001</v>
      </c>
      <c r="AA56" s="3">
        <v>31.238087</v>
      </c>
      <c r="AB56" s="3">
        <v>33.473391999999997</v>
      </c>
      <c r="AC56" s="3">
        <v>29.398105999999999</v>
      </c>
      <c r="AD56" s="3">
        <v>31.911798000000001</v>
      </c>
      <c r="AE56" s="3">
        <v>31.795705999999999</v>
      </c>
      <c r="AF56" s="3">
        <v>29.814330999999999</v>
      </c>
      <c r="AG56" s="3">
        <v>29.263242999999999</v>
      </c>
      <c r="AH56" s="3">
        <v>30.104749999999999</v>
      </c>
      <c r="AI56" s="3">
        <v>28.341656</v>
      </c>
      <c r="AJ56" s="3">
        <v>30.067741000000002</v>
      </c>
      <c r="AK56" s="3">
        <v>31.375107</v>
      </c>
      <c r="AL56" s="3">
        <v>30.212672999999999</v>
      </c>
      <c r="AM56" s="3">
        <v>28.731245000000001</v>
      </c>
      <c r="AN56" s="3">
        <v>27.010739999999998</v>
      </c>
      <c r="AO56" s="3">
        <v>30.228960000000001</v>
      </c>
      <c r="AP56" s="3">
        <v>30.426089999999999</v>
      </c>
      <c r="AQ56" s="3">
        <v>30.981238999999999</v>
      </c>
      <c r="AR56" s="3">
        <v>28.678775999999999</v>
      </c>
      <c r="AS56" s="3">
        <v>30.502013999999999</v>
      </c>
      <c r="AT56" s="3">
        <v>29.616802</v>
      </c>
      <c r="AU56" s="3">
        <v>29.588570000000001</v>
      </c>
      <c r="AV56" s="3">
        <v>32.386462999999999</v>
      </c>
      <c r="AW56" s="3">
        <v>27.178190000000001</v>
      </c>
      <c r="AX56" s="3">
        <v>29.095711000000001</v>
      </c>
      <c r="AY56" s="3">
        <v>27.214561</v>
      </c>
      <c r="AZ56" s="3">
        <v>32.789883000000003</v>
      </c>
      <c r="BA56" s="3">
        <v>31.869965000000001</v>
      </c>
      <c r="BB56" s="3">
        <v>31.634938999999999</v>
      </c>
      <c r="BC56" s="3">
        <v>30.987203999999998</v>
      </c>
      <c r="BD56" s="3">
        <v>30.279409000000001</v>
      </c>
      <c r="BE56" s="3">
        <v>29.664269999999998</v>
      </c>
      <c r="BF56" s="3">
        <v>28.338469</v>
      </c>
      <c r="BG56" s="3">
        <v>31.600752</v>
      </c>
      <c r="BH56" s="3">
        <v>28.207193</v>
      </c>
      <c r="BI56" s="3">
        <v>31.738785</v>
      </c>
      <c r="BJ56" s="3">
        <v>30.791333999999999</v>
      </c>
      <c r="BK56" s="3">
        <v>31.777054</v>
      </c>
      <c r="BL56" s="3">
        <v>29.748743000000001</v>
      </c>
      <c r="BM56" s="3">
        <v>28.645752000000002</v>
      </c>
      <c r="BN56" s="3">
        <v>29.688927</v>
      </c>
      <c r="BO56" s="3">
        <v>28.957272</v>
      </c>
      <c r="BP56" s="3">
        <v>31.374039</v>
      </c>
      <c r="BQ56" s="3">
        <v>29.087471000000001</v>
      </c>
      <c r="BR56" s="3">
        <v>31.046492000000001</v>
      </c>
      <c r="BS56" s="3">
        <v>30.394423</v>
      </c>
      <c r="BT56" s="3">
        <v>29.612862</v>
      </c>
      <c r="BU56" s="3">
        <v>30.309044</v>
      </c>
      <c r="BV56" s="3">
        <v>28.107904000000001</v>
      </c>
      <c r="BW56" s="3">
        <v>29.612627</v>
      </c>
      <c r="BX56" s="3">
        <v>28.606546000000002</v>
      </c>
      <c r="BY56" s="3">
        <v>29.581727999999998</v>
      </c>
      <c r="BZ56" s="3">
        <v>32.521008000000002</v>
      </c>
      <c r="CA56" s="3">
        <v>31.487846000000001</v>
      </c>
      <c r="CB56" s="3">
        <v>30.561577</v>
      </c>
      <c r="CC56" s="3">
        <v>29.370820999999999</v>
      </c>
      <c r="CD56" s="3">
        <v>31.484446999999999</v>
      </c>
      <c r="CE56" s="3">
        <v>29.867989999999999</v>
      </c>
      <c r="CF56" s="3">
        <v>30.046382999999999</v>
      </c>
      <c r="CG56" s="3">
        <v>27.835553999999998</v>
      </c>
      <c r="CH56" s="3">
        <v>30.924574</v>
      </c>
      <c r="CI56" s="3">
        <v>29.293026000000001</v>
      </c>
      <c r="CJ56" s="3">
        <v>30.369185999999999</v>
      </c>
      <c r="CK56" s="3">
        <v>29.62546</v>
      </c>
      <c r="CL56" s="3">
        <v>26.557542999999999</v>
      </c>
      <c r="CM56" s="3">
        <v>28.832574999999999</v>
      </c>
      <c r="CN56" s="3">
        <v>29.547968000000001</v>
      </c>
      <c r="CO56" s="3">
        <v>29.975978999999999</v>
      </c>
      <c r="CP56" s="3">
        <v>29.953855999999998</v>
      </c>
      <c r="CQ56" s="3">
        <v>29.910927000000001</v>
      </c>
      <c r="CR56" s="3">
        <v>29.909454</v>
      </c>
      <c r="CS56" s="3">
        <v>28.962515</v>
      </c>
      <c r="CT56" s="3">
        <v>29.336393000000001</v>
      </c>
      <c r="CU56" s="3">
        <v>27.537243</v>
      </c>
      <c r="CV56" s="3">
        <v>29.362379000000001</v>
      </c>
      <c r="CW56" s="3">
        <v>26.441044000000002</v>
      </c>
      <c r="CX56" s="3">
        <v>30.906025</v>
      </c>
      <c r="CY56" s="3">
        <v>31.777674000000001</v>
      </c>
      <c r="CZ56" s="3">
        <v>30.979244000000001</v>
      </c>
      <c r="DA56" s="3">
        <v>30.306297000000001</v>
      </c>
      <c r="DB56" s="3">
        <v>29.814941000000001</v>
      </c>
      <c r="DC56" s="3">
        <v>30.840426999999998</v>
      </c>
      <c r="DD56" s="3">
        <v>28.470452999999999</v>
      </c>
      <c r="DE56" s="3">
        <v>29.916810999999999</v>
      </c>
      <c r="DF56" s="3">
        <v>28.698694</v>
      </c>
      <c r="DG56" s="3">
        <v>29.342828999999998</v>
      </c>
      <c r="DH56" s="3">
        <v>29.812628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27.132151929999999</v>
      </c>
      <c r="H58" s="3">
        <f>MAX(M58:GJ58)</f>
        <v>31.539570000000001</v>
      </c>
      <c r="I58" s="3">
        <f>MIN(M58:GJ58)</f>
        <v>23.148047999999999</v>
      </c>
      <c r="J58" s="3">
        <f>_xlfn.STDEV.P(M58:GJ58)</f>
        <v>1.813866304802717</v>
      </c>
      <c r="K58" s="3">
        <f>_xlfn.VAR.S(M58:GJ58)</f>
        <v>3.3233444158572358</v>
      </c>
      <c r="M58" s="3">
        <v>26.358383</v>
      </c>
      <c r="N58" s="3">
        <v>24.497475000000001</v>
      </c>
      <c r="O58" s="3">
        <v>27.378495999999998</v>
      </c>
      <c r="P58" s="3">
        <v>25.220324000000002</v>
      </c>
      <c r="Q58" s="3">
        <v>29.322939000000002</v>
      </c>
      <c r="R58" s="3">
        <v>24.107899</v>
      </c>
      <c r="S58" s="3">
        <v>31.539570000000001</v>
      </c>
      <c r="T58" s="3">
        <v>28.046883000000001</v>
      </c>
      <c r="U58" s="3">
        <v>25.804165000000001</v>
      </c>
      <c r="V58" s="3">
        <v>27.799188999999998</v>
      </c>
      <c r="W58" s="3">
        <v>25.84967</v>
      </c>
      <c r="X58" s="3">
        <v>27.025507000000001</v>
      </c>
      <c r="Y58" s="3">
        <v>25.841702999999999</v>
      </c>
      <c r="Z58" s="3">
        <v>25.228769</v>
      </c>
      <c r="AA58" s="3">
        <v>27.794568999999999</v>
      </c>
      <c r="AB58" s="3">
        <v>28.669312000000001</v>
      </c>
      <c r="AC58" s="3">
        <v>26.475729000000001</v>
      </c>
      <c r="AD58" s="3">
        <v>27.606327</v>
      </c>
      <c r="AE58" s="3">
        <v>28.945371999999999</v>
      </c>
      <c r="AF58" s="3">
        <v>24.391141999999999</v>
      </c>
      <c r="AG58" s="3">
        <v>24.863074999999998</v>
      </c>
      <c r="AH58" s="3">
        <v>25.295279000000001</v>
      </c>
      <c r="AI58" s="3">
        <v>24.037094</v>
      </c>
      <c r="AJ58" s="3">
        <v>26.631422000000001</v>
      </c>
      <c r="AK58" s="3">
        <v>25.520565000000001</v>
      </c>
      <c r="AL58" s="3">
        <v>27.950818999999999</v>
      </c>
      <c r="AM58" s="3">
        <v>24.007107000000001</v>
      </c>
      <c r="AN58" s="3">
        <v>28.807950999999999</v>
      </c>
      <c r="AO58" s="3">
        <v>25.778621999999999</v>
      </c>
      <c r="AP58" s="3">
        <v>26.088324</v>
      </c>
      <c r="AQ58" s="3">
        <v>27.532024</v>
      </c>
      <c r="AR58" s="3">
        <v>25.572963999999999</v>
      </c>
      <c r="AS58" s="3">
        <v>29.911224000000001</v>
      </c>
      <c r="AT58" s="3">
        <v>29.713114000000001</v>
      </c>
      <c r="AU58" s="3">
        <v>27.335957000000001</v>
      </c>
      <c r="AV58" s="3">
        <v>28.906101</v>
      </c>
      <c r="AW58" s="3">
        <v>30.352471999999999</v>
      </c>
      <c r="AX58" s="3">
        <v>28.920565</v>
      </c>
      <c r="AY58" s="3">
        <v>25.223772</v>
      </c>
      <c r="AZ58" s="3">
        <v>24.004570000000001</v>
      </c>
      <c r="BA58" s="3">
        <v>27.831265999999999</v>
      </c>
      <c r="BB58" s="3">
        <v>27.604548000000001</v>
      </c>
      <c r="BC58" s="3">
        <v>24.128038</v>
      </c>
      <c r="BD58" s="3">
        <v>24.382967000000001</v>
      </c>
      <c r="BE58" s="3">
        <v>27.632508999999999</v>
      </c>
      <c r="BF58" s="3">
        <v>28.028169999999999</v>
      </c>
      <c r="BG58" s="3">
        <v>27.068321000000001</v>
      </c>
      <c r="BH58" s="3">
        <v>26.693092</v>
      </c>
      <c r="BI58" s="3">
        <v>26.127535000000002</v>
      </c>
      <c r="BJ58" s="3">
        <v>28.763199</v>
      </c>
      <c r="BK58" s="3">
        <v>27.235619</v>
      </c>
      <c r="BL58" s="3">
        <v>27.425412999999999</v>
      </c>
      <c r="BM58" s="3">
        <v>30.882394999999999</v>
      </c>
      <c r="BN58" s="3">
        <v>26.865665</v>
      </c>
      <c r="BO58" s="3">
        <v>27.326837999999999</v>
      </c>
      <c r="BP58" s="3">
        <v>28.464483000000001</v>
      </c>
      <c r="BQ58" s="3">
        <v>25.191604999999999</v>
      </c>
      <c r="BR58" s="3">
        <v>27.783664999999999</v>
      </c>
      <c r="BS58" s="3">
        <v>30.577946000000001</v>
      </c>
      <c r="BT58" s="3">
        <v>26.389365999999999</v>
      </c>
      <c r="BU58" s="3">
        <v>28.637243000000002</v>
      </c>
      <c r="BV58" s="3">
        <v>30.605713000000002</v>
      </c>
      <c r="BW58" s="3">
        <v>27.332829</v>
      </c>
      <c r="BX58" s="3">
        <v>24.911246999999999</v>
      </c>
      <c r="BY58" s="3">
        <v>24.900556999999999</v>
      </c>
      <c r="BZ58" s="3">
        <v>26.883482000000001</v>
      </c>
      <c r="CA58" s="3">
        <v>27.337021</v>
      </c>
      <c r="CB58" s="3">
        <v>24.694897000000001</v>
      </c>
      <c r="CC58" s="3">
        <v>27.418430000000001</v>
      </c>
      <c r="CD58" s="3">
        <v>28.568382</v>
      </c>
      <c r="CE58" s="3">
        <v>28.965192999999999</v>
      </c>
      <c r="CF58" s="3">
        <v>27.582581999999999</v>
      </c>
      <c r="CG58" s="3">
        <v>27.147327000000001</v>
      </c>
      <c r="CH58" s="3">
        <v>27.265063999999999</v>
      </c>
      <c r="CI58" s="3">
        <v>29.302275000000002</v>
      </c>
      <c r="CJ58" s="3">
        <v>28.645890999999999</v>
      </c>
      <c r="CK58" s="3">
        <v>27.329402999999999</v>
      </c>
      <c r="CL58" s="3">
        <v>28.739374000000002</v>
      </c>
      <c r="CM58" s="3">
        <v>23.148047999999999</v>
      </c>
      <c r="CN58" s="3">
        <v>26.406347</v>
      </c>
      <c r="CO58" s="3">
        <v>27.738786999999999</v>
      </c>
      <c r="CP58" s="3">
        <v>29.282319999999999</v>
      </c>
      <c r="CQ58" s="3">
        <v>28.662333</v>
      </c>
      <c r="CR58" s="3">
        <v>30.477246999999998</v>
      </c>
      <c r="CS58" s="3">
        <v>26.415742999999999</v>
      </c>
      <c r="CT58" s="3">
        <v>28.263933000000002</v>
      </c>
      <c r="CU58" s="3">
        <v>29.885031000000001</v>
      </c>
      <c r="CV58" s="3">
        <v>28.612407999999999</v>
      </c>
      <c r="CW58" s="3">
        <v>25.175298999999999</v>
      </c>
      <c r="CX58" s="3">
        <v>26.471819</v>
      </c>
      <c r="CY58" s="3">
        <v>26.12171</v>
      </c>
      <c r="CZ58" s="3">
        <v>27.286413</v>
      </c>
      <c r="DA58" s="3">
        <v>23.816866000000001</v>
      </c>
      <c r="DB58" s="3">
        <v>25.877613</v>
      </c>
      <c r="DC58" s="3">
        <v>29.199078</v>
      </c>
      <c r="DD58" s="3">
        <v>27.690973</v>
      </c>
      <c r="DE58" s="3">
        <v>25.385960000000001</v>
      </c>
      <c r="DF58" s="3">
        <v>25.688987999999998</v>
      </c>
      <c r="DG58" s="3">
        <v>26.521456000000001</v>
      </c>
      <c r="DH58" s="3">
        <v>28.060827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</row>
    <row r="60" spans="2:207" x14ac:dyDescent="0.2"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</row>
    <row r="61" spans="2:207" x14ac:dyDescent="0.2">
      <c r="B61" t="s">
        <v>60</v>
      </c>
      <c r="D61" s="1" t="s">
        <v>37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33.253414359999994</v>
      </c>
      <c r="H62" s="3">
        <f>MAX(M62:GJ62)</f>
        <v>37.607697000000002</v>
      </c>
      <c r="I62" s="3">
        <f>MIN(M62:GJ62)</f>
        <v>29.284481</v>
      </c>
      <c r="J62" s="3">
        <f>_xlfn.STDEV.P(M62:GJ62)</f>
        <v>1.4639316240439686</v>
      </c>
      <c r="K62" s="3">
        <f>_xlfn.VAR.S(M62:GJ62)</f>
        <v>2.1647432321979916</v>
      </c>
      <c r="M62" s="3">
        <v>33.791167999999999</v>
      </c>
      <c r="N62" s="3">
        <v>33.456969999999998</v>
      </c>
      <c r="O62" s="3">
        <v>33.154522</v>
      </c>
      <c r="P62" s="3">
        <v>35.833838999999998</v>
      </c>
      <c r="Q62" s="3">
        <v>32.689587000000003</v>
      </c>
      <c r="R62" s="3">
        <v>32.654156</v>
      </c>
      <c r="S62" s="3">
        <v>32.783298000000002</v>
      </c>
      <c r="T62" s="3">
        <v>33.88335</v>
      </c>
      <c r="U62" s="3">
        <v>34.857010000000002</v>
      </c>
      <c r="V62" s="3">
        <v>33.433964000000003</v>
      </c>
      <c r="W62" s="3">
        <v>34.741717999999999</v>
      </c>
      <c r="X62" s="3">
        <v>31.160667</v>
      </c>
      <c r="Y62" s="3">
        <v>32.665458999999998</v>
      </c>
      <c r="Z62" s="3">
        <v>31.642298</v>
      </c>
      <c r="AA62" s="3">
        <v>32.432198</v>
      </c>
      <c r="AB62" s="3">
        <v>33.157677</v>
      </c>
      <c r="AC62" s="3">
        <v>36.443362999999998</v>
      </c>
      <c r="AD62" s="3">
        <v>32.622577999999997</v>
      </c>
      <c r="AE62" s="3">
        <v>32.699916999999999</v>
      </c>
      <c r="AF62" s="3">
        <v>32.585239000000001</v>
      </c>
      <c r="AG62" s="3">
        <v>31.935471</v>
      </c>
      <c r="AH62" s="3">
        <v>31.995888000000001</v>
      </c>
      <c r="AI62" s="3">
        <v>32.803322000000001</v>
      </c>
      <c r="AJ62" s="3">
        <v>32.243831999999998</v>
      </c>
      <c r="AK62" s="3">
        <v>32.588332999999999</v>
      </c>
      <c r="AL62" s="3">
        <v>32.058815000000003</v>
      </c>
      <c r="AM62" s="3">
        <v>33.118771000000002</v>
      </c>
      <c r="AN62" s="3">
        <v>32.943942999999997</v>
      </c>
      <c r="AO62" s="3">
        <v>33.146090999999998</v>
      </c>
      <c r="AP62" s="3">
        <v>32.720730000000003</v>
      </c>
      <c r="AQ62" s="3">
        <v>32.471333000000001</v>
      </c>
      <c r="AR62" s="3">
        <v>31.292235999999999</v>
      </c>
      <c r="AS62" s="3">
        <v>36.757686999999997</v>
      </c>
      <c r="AT62" s="3">
        <v>34.659668000000003</v>
      </c>
      <c r="AU62" s="3">
        <v>31.195730000000001</v>
      </c>
      <c r="AV62" s="3">
        <v>37.280071</v>
      </c>
      <c r="AW62" s="3">
        <v>32.192656999999997</v>
      </c>
      <c r="AX62" s="3">
        <v>32.361697999999997</v>
      </c>
      <c r="AY62" s="3">
        <v>34.132153000000002</v>
      </c>
      <c r="AZ62" s="3">
        <v>32.790160999999998</v>
      </c>
      <c r="BA62" s="3">
        <v>32.165942999999999</v>
      </c>
      <c r="BB62" s="3">
        <v>32.970542999999999</v>
      </c>
      <c r="BC62" s="3">
        <v>32.070453999999998</v>
      </c>
      <c r="BD62" s="3">
        <v>32.385761000000002</v>
      </c>
      <c r="BE62" s="3">
        <v>35.674809000000003</v>
      </c>
      <c r="BF62" s="3">
        <v>32.689014</v>
      </c>
      <c r="BG62" s="3">
        <v>36.371352999999999</v>
      </c>
      <c r="BH62" s="3">
        <v>33.720184000000003</v>
      </c>
      <c r="BI62" s="3">
        <v>33.783123000000003</v>
      </c>
      <c r="BJ62" s="3">
        <v>32.718471999999998</v>
      </c>
      <c r="BK62" s="3">
        <v>32.620379999999997</v>
      </c>
      <c r="BL62" s="3">
        <v>37.607697000000002</v>
      </c>
      <c r="BM62" s="3">
        <v>32.835605999999999</v>
      </c>
      <c r="BN62" s="3">
        <v>32.417960999999998</v>
      </c>
      <c r="BO62" s="3">
        <v>32.911288999999996</v>
      </c>
      <c r="BP62" s="3">
        <v>33.182510000000001</v>
      </c>
      <c r="BQ62" s="3">
        <v>32.522930000000002</v>
      </c>
      <c r="BR62" s="3">
        <v>32.669373</v>
      </c>
      <c r="BS62" s="3">
        <v>33.165066000000003</v>
      </c>
      <c r="BT62" s="3">
        <v>32.409858999999997</v>
      </c>
      <c r="BU62" s="3">
        <v>32.087111999999998</v>
      </c>
      <c r="BV62" s="3">
        <v>32.716918999999997</v>
      </c>
      <c r="BW62" s="3">
        <v>33.214725000000001</v>
      </c>
      <c r="BX62" s="3">
        <v>32.002121000000002</v>
      </c>
      <c r="BY62" s="3">
        <v>31.75638</v>
      </c>
      <c r="BZ62" s="3">
        <v>29.284481</v>
      </c>
      <c r="CA62" s="3">
        <v>34.237994999999998</v>
      </c>
      <c r="CB62" s="3">
        <v>34.808098000000001</v>
      </c>
      <c r="CC62" s="3">
        <v>33.628605</v>
      </c>
      <c r="CD62" s="3">
        <v>32.803707000000003</v>
      </c>
      <c r="CE62" s="3">
        <v>30.956168999999999</v>
      </c>
      <c r="CF62" s="3">
        <v>34.410339</v>
      </c>
      <c r="CG62" s="3">
        <v>35.786040999999997</v>
      </c>
      <c r="CH62" s="3">
        <v>35.558867999999997</v>
      </c>
      <c r="CI62" s="3">
        <v>33.326827999999999</v>
      </c>
      <c r="CJ62" s="3">
        <v>31.909369999999999</v>
      </c>
      <c r="CK62" s="3">
        <v>33.774250000000002</v>
      </c>
      <c r="CL62" s="3">
        <v>34.602291000000001</v>
      </c>
      <c r="CM62" s="3">
        <v>35.886913</v>
      </c>
      <c r="CN62" s="3">
        <v>32.508643999999997</v>
      </c>
      <c r="CO62" s="3">
        <v>36.973388999999997</v>
      </c>
      <c r="CP62" s="3">
        <v>33.537979</v>
      </c>
      <c r="CQ62" s="3">
        <v>31.606434</v>
      </c>
      <c r="CR62" s="3">
        <v>32.666195000000002</v>
      </c>
      <c r="CS62" s="3">
        <v>33.601562000000001</v>
      </c>
      <c r="CT62" s="3">
        <v>32.559116000000003</v>
      </c>
      <c r="CU62" s="3">
        <v>32.907063000000001</v>
      </c>
      <c r="CV62" s="3">
        <v>33.587318000000003</v>
      </c>
      <c r="CW62" s="3">
        <v>36.363830999999998</v>
      </c>
      <c r="CX62" s="3">
        <v>34.885325999999999</v>
      </c>
      <c r="CY62" s="3">
        <v>32.369647999999998</v>
      </c>
      <c r="CZ62" s="3">
        <v>32.970160999999997</v>
      </c>
      <c r="DA62" s="3">
        <v>32.366622999999997</v>
      </c>
      <c r="DB62" s="3">
        <v>32.905197000000001</v>
      </c>
      <c r="DC62" s="3">
        <v>31.880410999999999</v>
      </c>
      <c r="DD62" s="3">
        <v>32.105404</v>
      </c>
      <c r="DE62" s="3">
        <v>33.278584000000002</v>
      </c>
      <c r="DF62" s="3">
        <v>33.905571000000002</v>
      </c>
      <c r="DG62" s="3">
        <v>32.564453</v>
      </c>
      <c r="DH62" s="3">
        <v>32.777419999999999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36.936946099999986</v>
      </c>
      <c r="H64" s="3">
        <f>MAX(M64:GJ64)</f>
        <v>43.652653000000001</v>
      </c>
      <c r="I64" s="3">
        <f>MIN(M64:GJ64)</f>
        <v>32.069598999999997</v>
      </c>
      <c r="J64" s="3">
        <f>_xlfn.STDEV.P(M64:GJ64)</f>
        <v>2.4846551725725265</v>
      </c>
      <c r="K64" s="3">
        <f>_xlfn.VAR.S(M64:GJ64)</f>
        <v>6.2358700268600122</v>
      </c>
      <c r="M64" s="3">
        <v>40.131301999999998</v>
      </c>
      <c r="N64" s="3">
        <v>32.635719000000002</v>
      </c>
      <c r="O64" s="3">
        <v>37.942207000000003</v>
      </c>
      <c r="P64" s="3">
        <v>36.732765000000001</v>
      </c>
      <c r="Q64" s="3">
        <v>35.490955</v>
      </c>
      <c r="R64" s="3">
        <v>41.505263999999997</v>
      </c>
      <c r="S64" s="3">
        <v>39.02599</v>
      </c>
      <c r="T64" s="3">
        <v>38.859363999999999</v>
      </c>
      <c r="U64" s="3">
        <v>33.824013000000001</v>
      </c>
      <c r="V64" s="3">
        <v>40.558891000000003</v>
      </c>
      <c r="W64" s="3">
        <v>40.459212999999998</v>
      </c>
      <c r="X64" s="3">
        <v>37.693741000000003</v>
      </c>
      <c r="Y64" s="3">
        <v>35.921467</v>
      </c>
      <c r="Z64" s="3">
        <v>37.275100999999999</v>
      </c>
      <c r="AA64" s="3">
        <v>36.666480999999997</v>
      </c>
      <c r="AB64" s="3">
        <v>34.654353999999998</v>
      </c>
      <c r="AC64" s="3">
        <v>40.584834999999998</v>
      </c>
      <c r="AD64" s="3">
        <v>38.841887999999997</v>
      </c>
      <c r="AE64" s="3">
        <v>37.772872999999997</v>
      </c>
      <c r="AF64" s="3">
        <v>37.381824000000002</v>
      </c>
      <c r="AG64" s="3">
        <v>33.980781999999998</v>
      </c>
      <c r="AH64" s="3">
        <v>40.524276999999998</v>
      </c>
      <c r="AI64" s="3">
        <v>43.652653000000001</v>
      </c>
      <c r="AJ64" s="3">
        <v>32.455340999999997</v>
      </c>
      <c r="AK64" s="3">
        <v>34.411186000000001</v>
      </c>
      <c r="AL64" s="3">
        <v>34.631348000000003</v>
      </c>
      <c r="AM64" s="3">
        <v>34.299281999999998</v>
      </c>
      <c r="AN64" s="3">
        <v>38.124713999999997</v>
      </c>
      <c r="AO64" s="3">
        <v>36.537810999999998</v>
      </c>
      <c r="AP64" s="3">
        <v>36.126857999999999</v>
      </c>
      <c r="AQ64" s="3">
        <v>38.046894000000002</v>
      </c>
      <c r="AR64" s="3">
        <v>34.473953000000002</v>
      </c>
      <c r="AS64" s="3">
        <v>37.724266</v>
      </c>
      <c r="AT64" s="3">
        <v>36.867801999999998</v>
      </c>
      <c r="AU64" s="3">
        <v>37.296306999999999</v>
      </c>
      <c r="AV64" s="3">
        <v>38.227542999999997</v>
      </c>
      <c r="AW64" s="3">
        <v>36.419544000000002</v>
      </c>
      <c r="AX64" s="3">
        <v>33.219287999999999</v>
      </c>
      <c r="AY64" s="3">
        <v>36.516289</v>
      </c>
      <c r="AZ64" s="3">
        <v>32.069598999999997</v>
      </c>
      <c r="BA64" s="3">
        <v>33.538944000000001</v>
      </c>
      <c r="BB64" s="3">
        <v>41.550491000000001</v>
      </c>
      <c r="BC64" s="3">
        <v>36.629249999999999</v>
      </c>
      <c r="BD64" s="3">
        <v>34.162277000000003</v>
      </c>
      <c r="BE64" s="3">
        <v>33.459609999999998</v>
      </c>
      <c r="BF64" s="3">
        <v>34.535350999999999</v>
      </c>
      <c r="BG64" s="3">
        <v>42.636707000000001</v>
      </c>
      <c r="BH64" s="3">
        <v>40.626652</v>
      </c>
      <c r="BI64" s="3">
        <v>36.338028000000001</v>
      </c>
      <c r="BJ64" s="3">
        <v>35.915154000000001</v>
      </c>
      <c r="BK64" s="3">
        <v>37.142403000000002</v>
      </c>
      <c r="BL64" s="3">
        <v>38.860976999999998</v>
      </c>
      <c r="BM64" s="3">
        <v>38.306491999999999</v>
      </c>
      <c r="BN64" s="3">
        <v>36.229354999999998</v>
      </c>
      <c r="BO64" s="3">
        <v>40.075310000000002</v>
      </c>
      <c r="BP64" s="3">
        <v>38.196567999999999</v>
      </c>
      <c r="BQ64" s="3">
        <v>38.754894</v>
      </c>
      <c r="BR64" s="3">
        <v>36.593924999999999</v>
      </c>
      <c r="BS64" s="3">
        <v>33.236404</v>
      </c>
      <c r="BT64" s="3">
        <v>41.579037</v>
      </c>
      <c r="BU64" s="3">
        <v>38.573566</v>
      </c>
      <c r="BV64" s="3">
        <v>34.108021000000001</v>
      </c>
      <c r="BW64" s="3">
        <v>39.927044000000002</v>
      </c>
      <c r="BX64" s="3">
        <v>36.646796999999999</v>
      </c>
      <c r="BY64" s="3">
        <v>38.095393999999999</v>
      </c>
      <c r="BZ64" s="3">
        <v>39.290821000000001</v>
      </c>
      <c r="CA64" s="3">
        <v>39.179336999999997</v>
      </c>
      <c r="CB64" s="3">
        <v>38.143497000000004</v>
      </c>
      <c r="CC64" s="3">
        <v>41.112129000000003</v>
      </c>
      <c r="CD64" s="3">
        <v>36.291995999999997</v>
      </c>
      <c r="CE64" s="3">
        <v>39.637687999999997</v>
      </c>
      <c r="CF64" s="3">
        <v>40.127082999999999</v>
      </c>
      <c r="CG64" s="3">
        <v>37.125511000000003</v>
      </c>
      <c r="CH64" s="3">
        <v>34.424835000000002</v>
      </c>
      <c r="CI64" s="3">
        <v>37.27684</v>
      </c>
      <c r="CJ64" s="3">
        <v>37.172446999999998</v>
      </c>
      <c r="CK64" s="3">
        <v>34.518374999999999</v>
      </c>
      <c r="CL64" s="3">
        <v>37.471663999999997</v>
      </c>
      <c r="CM64" s="3">
        <v>37.384360999999998</v>
      </c>
      <c r="CN64" s="3">
        <v>34.614699999999999</v>
      </c>
      <c r="CO64" s="3">
        <v>37.689106000000002</v>
      </c>
      <c r="CP64" s="3">
        <v>34.110550000000003</v>
      </c>
      <c r="CQ64" s="3">
        <v>36.496143000000004</v>
      </c>
      <c r="CR64" s="3">
        <v>37.684361000000003</v>
      </c>
      <c r="CS64" s="3">
        <v>36.044243000000002</v>
      </c>
      <c r="CT64" s="3">
        <v>33.320830999999998</v>
      </c>
      <c r="CU64" s="3">
        <v>37.375087999999998</v>
      </c>
      <c r="CV64" s="3">
        <v>37.400607999999998</v>
      </c>
      <c r="CW64" s="3">
        <v>36.165664999999997</v>
      </c>
      <c r="CX64" s="3">
        <v>37.388638</v>
      </c>
      <c r="CY64" s="3">
        <v>34.099711999999997</v>
      </c>
      <c r="CZ64" s="3">
        <v>35.545681000000002</v>
      </c>
      <c r="DA64" s="3">
        <v>38.468795999999998</v>
      </c>
      <c r="DB64" s="3">
        <v>36.773457000000001</v>
      </c>
      <c r="DC64" s="3">
        <v>34.202728</v>
      </c>
      <c r="DD64" s="3">
        <v>34.539653999999999</v>
      </c>
      <c r="DE64" s="3">
        <v>32.349037000000003</v>
      </c>
      <c r="DF64" s="3">
        <v>36.380985000000003</v>
      </c>
      <c r="DG64" s="3">
        <v>36.190243000000002</v>
      </c>
      <c r="DH64" s="3">
        <v>32.415165000000002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41.240436990000006</v>
      </c>
      <c r="H66" s="3">
        <f>MAX(M66:GJ66)</f>
        <v>44.237628999999998</v>
      </c>
      <c r="I66" s="3">
        <f>MIN(M66:GJ66)</f>
        <v>38.691692000000003</v>
      </c>
      <c r="J66" s="3">
        <f>_xlfn.STDEV.P(M66:GJ66)</f>
        <v>1.2095121010305063</v>
      </c>
      <c r="K66" s="3">
        <f>_xlfn.VAR.S(M66:GJ66)</f>
        <v>1.4776964874133631</v>
      </c>
      <c r="M66" s="3">
        <v>40.400291000000003</v>
      </c>
      <c r="N66" s="3">
        <v>41.742939</v>
      </c>
      <c r="O66" s="3">
        <v>40.167808999999998</v>
      </c>
      <c r="P66" s="3">
        <v>43.172587999999998</v>
      </c>
      <c r="Q66" s="3">
        <v>41.404736</v>
      </c>
      <c r="R66" s="3">
        <v>41.342593999999998</v>
      </c>
      <c r="S66" s="3">
        <v>42.327128999999999</v>
      </c>
      <c r="T66" s="3">
        <v>41.578918000000002</v>
      </c>
      <c r="U66" s="3">
        <v>42.614787999999997</v>
      </c>
      <c r="V66" s="3">
        <v>42.875267000000001</v>
      </c>
      <c r="W66" s="3">
        <v>40.320732</v>
      </c>
      <c r="X66" s="3">
        <v>42.723953000000002</v>
      </c>
      <c r="Y66" s="3">
        <v>39.653187000000003</v>
      </c>
      <c r="Z66" s="3">
        <v>43.67915</v>
      </c>
      <c r="AA66" s="3">
        <v>43.177753000000003</v>
      </c>
      <c r="AB66" s="3">
        <v>40.958691000000002</v>
      </c>
      <c r="AC66" s="3">
        <v>39.538620000000002</v>
      </c>
      <c r="AD66" s="3">
        <v>41.283374999999999</v>
      </c>
      <c r="AE66" s="3">
        <v>41.151440000000001</v>
      </c>
      <c r="AF66" s="3">
        <v>41.393008999999999</v>
      </c>
      <c r="AG66" s="3">
        <v>43.533240999999997</v>
      </c>
      <c r="AH66" s="3">
        <v>42.393084999999999</v>
      </c>
      <c r="AI66" s="3">
        <v>40.087471000000001</v>
      </c>
      <c r="AJ66" s="3">
        <v>40.851002000000001</v>
      </c>
      <c r="AK66" s="3">
        <v>40.397156000000003</v>
      </c>
      <c r="AL66" s="3">
        <v>41.723694000000002</v>
      </c>
      <c r="AM66" s="3">
        <v>40.811698999999997</v>
      </c>
      <c r="AN66" s="3">
        <v>39.022751</v>
      </c>
      <c r="AO66" s="3">
        <v>43.157017000000003</v>
      </c>
      <c r="AP66" s="3">
        <v>42.012794</v>
      </c>
      <c r="AQ66" s="3">
        <v>40.018214999999998</v>
      </c>
      <c r="AR66" s="3">
        <v>42.425083000000001</v>
      </c>
      <c r="AS66" s="3">
        <v>39.301501999999999</v>
      </c>
      <c r="AT66" s="3">
        <v>41.634799999999998</v>
      </c>
      <c r="AU66" s="3">
        <v>41.060527999999998</v>
      </c>
      <c r="AV66" s="3">
        <v>39.342486999999998</v>
      </c>
      <c r="AW66" s="3">
        <v>39.783768000000002</v>
      </c>
      <c r="AX66" s="3">
        <v>42.447735000000002</v>
      </c>
      <c r="AY66" s="3">
        <v>41.295292000000003</v>
      </c>
      <c r="AZ66" s="3">
        <v>40.464260000000003</v>
      </c>
      <c r="BA66" s="3">
        <v>39.440441</v>
      </c>
      <c r="BB66" s="3">
        <v>42.672305999999999</v>
      </c>
      <c r="BC66" s="3">
        <v>43.348002999999999</v>
      </c>
      <c r="BD66" s="3">
        <v>41.189605999999998</v>
      </c>
      <c r="BE66" s="3">
        <v>41.286124999999998</v>
      </c>
      <c r="BF66" s="3">
        <v>42.025703</v>
      </c>
      <c r="BG66" s="3">
        <v>40.568451000000003</v>
      </c>
      <c r="BH66" s="3">
        <v>40.515059999999998</v>
      </c>
      <c r="BI66" s="3">
        <v>40.084156</v>
      </c>
      <c r="BJ66" s="3">
        <v>40.537818999999999</v>
      </c>
      <c r="BK66" s="3">
        <v>42.042965000000002</v>
      </c>
      <c r="BL66" s="3">
        <v>40.047764000000001</v>
      </c>
      <c r="BM66" s="3">
        <v>42.429245000000002</v>
      </c>
      <c r="BN66" s="3">
        <v>42.139603000000001</v>
      </c>
      <c r="BO66" s="3">
        <v>41.152233000000003</v>
      </c>
      <c r="BP66" s="3">
        <v>40.702908000000001</v>
      </c>
      <c r="BQ66" s="3">
        <v>39.060940000000002</v>
      </c>
      <c r="BR66" s="3">
        <v>39.793033999999999</v>
      </c>
      <c r="BS66" s="3">
        <v>40.978152999999999</v>
      </c>
      <c r="BT66" s="3">
        <v>41.861094999999999</v>
      </c>
      <c r="BU66" s="3">
        <v>41.898907000000001</v>
      </c>
      <c r="BV66" s="3">
        <v>42.985477000000003</v>
      </c>
      <c r="BW66" s="3">
        <v>38.758602000000003</v>
      </c>
      <c r="BX66" s="3">
        <v>40.331985000000003</v>
      </c>
      <c r="BY66" s="3">
        <v>40.503231</v>
      </c>
      <c r="BZ66" s="3">
        <v>40.911861000000002</v>
      </c>
      <c r="CA66" s="3">
        <v>41.363822999999996</v>
      </c>
      <c r="CB66" s="3">
        <v>40.415492999999998</v>
      </c>
      <c r="CC66" s="3">
        <v>40.847403999999997</v>
      </c>
      <c r="CD66" s="3">
        <v>40.761043999999998</v>
      </c>
      <c r="CE66" s="3">
        <v>39.987011000000003</v>
      </c>
      <c r="CF66" s="3">
        <v>40.423766999999998</v>
      </c>
      <c r="CG66" s="3">
        <v>41.169331</v>
      </c>
      <c r="CH66" s="3">
        <v>39.826411999999998</v>
      </c>
      <c r="CI66" s="3">
        <v>42.096310000000003</v>
      </c>
      <c r="CJ66" s="3">
        <v>40.549309000000001</v>
      </c>
      <c r="CK66" s="3">
        <v>41.242167999999999</v>
      </c>
      <c r="CL66" s="3">
        <v>40.757998999999998</v>
      </c>
      <c r="CM66" s="3">
        <v>42.040343999999997</v>
      </c>
      <c r="CN66" s="3">
        <v>41.626190000000001</v>
      </c>
      <c r="CO66" s="3">
        <v>39.261574000000003</v>
      </c>
      <c r="CP66" s="3">
        <v>41.698044000000003</v>
      </c>
      <c r="CQ66" s="3">
        <v>41.122813999999998</v>
      </c>
      <c r="CR66" s="3">
        <v>42.085529000000001</v>
      </c>
      <c r="CS66" s="3">
        <v>43.574738000000004</v>
      </c>
      <c r="CT66" s="3">
        <v>41.145508</v>
      </c>
      <c r="CU66" s="3">
        <v>39.958576000000001</v>
      </c>
      <c r="CV66" s="3">
        <v>40.981696999999997</v>
      </c>
      <c r="CW66" s="3">
        <v>44.237628999999998</v>
      </c>
      <c r="CX66" s="3">
        <v>41.230536999999998</v>
      </c>
      <c r="CY66" s="3">
        <v>41.857650999999997</v>
      </c>
      <c r="CZ66" s="3">
        <v>38.691692000000003</v>
      </c>
      <c r="DA66" s="3">
        <v>41.638992000000002</v>
      </c>
      <c r="DB66" s="3">
        <v>42.210728000000003</v>
      </c>
      <c r="DC66" s="3">
        <v>43.704121000000001</v>
      </c>
      <c r="DD66" s="3">
        <v>41.105629</v>
      </c>
      <c r="DE66" s="3">
        <v>41.909458000000001</v>
      </c>
      <c r="DF66" s="3">
        <v>40.105862000000002</v>
      </c>
      <c r="DG66" s="3">
        <v>41.000149</v>
      </c>
      <c r="DH66" s="3">
        <v>42.879944000000002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34.689162040000006</v>
      </c>
      <c r="H68" s="3">
        <f>MAX(M68:GJ68)</f>
        <v>36.833576000000001</v>
      </c>
      <c r="I68" s="3">
        <f>MIN(M68:GJ68)</f>
        <v>31.923587999999999</v>
      </c>
      <c r="J68" s="3">
        <f>_xlfn.STDEV.P(M68:GJ68)</f>
        <v>0.97046772752737054</v>
      </c>
      <c r="K68" s="3">
        <f>_xlfn.VAR.S(M68:GJ68)</f>
        <v>0.9513208183556956</v>
      </c>
      <c r="M68" s="3">
        <v>31.923587999999999</v>
      </c>
      <c r="N68" s="3">
        <v>34.922863</v>
      </c>
      <c r="O68" s="3">
        <v>34.376953</v>
      </c>
      <c r="P68" s="3">
        <v>35.211131999999999</v>
      </c>
      <c r="Q68" s="3">
        <v>32.023513999999999</v>
      </c>
      <c r="R68" s="3">
        <v>36.093868000000001</v>
      </c>
      <c r="S68" s="3">
        <v>34.770587999999996</v>
      </c>
      <c r="T68" s="3">
        <v>34.499180000000003</v>
      </c>
      <c r="U68" s="3">
        <v>35.590252</v>
      </c>
      <c r="V68" s="3">
        <v>34.796309999999998</v>
      </c>
      <c r="W68" s="3">
        <v>34.592041000000002</v>
      </c>
      <c r="X68" s="3">
        <v>35.852218999999998</v>
      </c>
      <c r="Y68" s="3">
        <v>34.932887999999998</v>
      </c>
      <c r="Z68" s="3">
        <v>35.171557999999997</v>
      </c>
      <c r="AA68" s="3">
        <v>36.323436999999998</v>
      </c>
      <c r="AB68" s="3">
        <v>34.362003000000001</v>
      </c>
      <c r="AC68" s="3">
        <v>33.406567000000003</v>
      </c>
      <c r="AD68" s="3">
        <v>35.509093999999997</v>
      </c>
      <c r="AE68" s="3">
        <v>33.381701999999997</v>
      </c>
      <c r="AF68" s="3">
        <v>34.372096999999997</v>
      </c>
      <c r="AG68" s="3">
        <v>33.283504000000001</v>
      </c>
      <c r="AH68" s="3">
        <v>35.579810999999999</v>
      </c>
      <c r="AI68" s="3">
        <v>34.981819000000002</v>
      </c>
      <c r="AJ68" s="3">
        <v>34.071902999999999</v>
      </c>
      <c r="AK68" s="3">
        <v>35.569569000000001</v>
      </c>
      <c r="AL68" s="3">
        <v>34.483665000000002</v>
      </c>
      <c r="AM68" s="3">
        <v>35.322563000000002</v>
      </c>
      <c r="AN68" s="3">
        <v>31.952805000000001</v>
      </c>
      <c r="AO68" s="3">
        <v>34.910831000000002</v>
      </c>
      <c r="AP68" s="3">
        <v>34.368819999999999</v>
      </c>
      <c r="AQ68" s="3">
        <v>35.444195000000001</v>
      </c>
      <c r="AR68" s="3">
        <v>34.075836000000002</v>
      </c>
      <c r="AS68" s="3">
        <v>34.119793000000001</v>
      </c>
      <c r="AT68" s="3">
        <v>33.340538000000002</v>
      </c>
      <c r="AU68" s="3">
        <v>33.334857999999997</v>
      </c>
      <c r="AV68" s="3">
        <v>36.668129</v>
      </c>
      <c r="AW68" s="3">
        <v>34.253475000000002</v>
      </c>
      <c r="AX68" s="3">
        <v>34.678111999999999</v>
      </c>
      <c r="AY68" s="3">
        <v>34.397171</v>
      </c>
      <c r="AZ68" s="3">
        <v>34.769793999999997</v>
      </c>
      <c r="BA68" s="3">
        <v>35.037125000000003</v>
      </c>
      <c r="BB68" s="3">
        <v>35.327052999999999</v>
      </c>
      <c r="BC68" s="3">
        <v>35.242927999999999</v>
      </c>
      <c r="BD68" s="3">
        <v>35.851463000000003</v>
      </c>
      <c r="BE68" s="3">
        <v>34.880524000000001</v>
      </c>
      <c r="BF68" s="3">
        <v>33.459620999999999</v>
      </c>
      <c r="BG68" s="3">
        <v>36.833576000000001</v>
      </c>
      <c r="BH68" s="3">
        <v>33.861389000000003</v>
      </c>
      <c r="BI68" s="3">
        <v>35.737026</v>
      </c>
      <c r="BJ68" s="3">
        <v>35.888027000000001</v>
      </c>
      <c r="BK68" s="3">
        <v>35.074024000000001</v>
      </c>
      <c r="BL68" s="3">
        <v>33.833508000000002</v>
      </c>
      <c r="BM68" s="3">
        <v>34.308720000000001</v>
      </c>
      <c r="BN68" s="3">
        <v>35.812519000000002</v>
      </c>
      <c r="BO68" s="3">
        <v>33.598529999999997</v>
      </c>
      <c r="BP68" s="3">
        <v>35.788898000000003</v>
      </c>
      <c r="BQ68" s="3">
        <v>33.671790999999999</v>
      </c>
      <c r="BR68" s="3">
        <v>34.642913999999998</v>
      </c>
      <c r="BS68" s="3">
        <v>34.849533000000001</v>
      </c>
      <c r="BT68" s="3">
        <v>33.524180999999999</v>
      </c>
      <c r="BU68" s="3">
        <v>35.679729000000002</v>
      </c>
      <c r="BV68" s="3">
        <v>34.901577000000003</v>
      </c>
      <c r="BW68" s="3">
        <v>32.724933999999998</v>
      </c>
      <c r="BX68" s="3">
        <v>34.586818999999998</v>
      </c>
      <c r="BY68" s="3">
        <v>34.559047999999997</v>
      </c>
      <c r="BZ68" s="3">
        <v>36.466095000000003</v>
      </c>
      <c r="CA68" s="3">
        <v>35.874305999999997</v>
      </c>
      <c r="CB68" s="3">
        <v>35.728484999999999</v>
      </c>
      <c r="CC68" s="3">
        <v>35.117911999999997</v>
      </c>
      <c r="CD68" s="3">
        <v>35.428497</v>
      </c>
      <c r="CE68" s="3">
        <v>34.498077000000002</v>
      </c>
      <c r="CF68" s="3">
        <v>35.049599000000001</v>
      </c>
      <c r="CG68" s="3">
        <v>32.732300000000002</v>
      </c>
      <c r="CH68" s="3">
        <v>34.561844000000001</v>
      </c>
      <c r="CI68" s="3">
        <v>34.498238000000001</v>
      </c>
      <c r="CJ68" s="3">
        <v>35.082282999999997</v>
      </c>
      <c r="CK68" s="3">
        <v>33.676186000000001</v>
      </c>
      <c r="CL68" s="3">
        <v>32.711643000000002</v>
      </c>
      <c r="CM68" s="3">
        <v>34.808219999999999</v>
      </c>
      <c r="CN68" s="3">
        <v>35.641201000000002</v>
      </c>
      <c r="CO68" s="3">
        <v>35.547932000000003</v>
      </c>
      <c r="CP68" s="3">
        <v>34.731358</v>
      </c>
      <c r="CQ68" s="3">
        <v>34.985069000000003</v>
      </c>
      <c r="CR68" s="3">
        <v>34.380287000000003</v>
      </c>
      <c r="CS68" s="3">
        <v>34.363354000000001</v>
      </c>
      <c r="CT68" s="3">
        <v>34.157966999999999</v>
      </c>
      <c r="CU68" s="3">
        <v>33.903720999999997</v>
      </c>
      <c r="CV68" s="3">
        <v>34.148960000000002</v>
      </c>
      <c r="CW68" s="3">
        <v>34.886313999999999</v>
      </c>
      <c r="CX68" s="3">
        <v>35.065071000000003</v>
      </c>
      <c r="CY68" s="3">
        <v>34.315989999999999</v>
      </c>
      <c r="CZ68" s="3">
        <v>35.475067000000003</v>
      </c>
      <c r="DA68" s="3">
        <v>35.237270000000002</v>
      </c>
      <c r="DB68" s="3">
        <v>34.921143000000001</v>
      </c>
      <c r="DC68" s="3">
        <v>35.242770999999998</v>
      </c>
      <c r="DD68" s="3">
        <v>34.680625999999997</v>
      </c>
      <c r="DE68" s="3">
        <v>36.084225000000004</v>
      </c>
      <c r="DF68" s="3">
        <v>35.043002999999999</v>
      </c>
      <c r="DG68" s="3">
        <v>34.026854999999998</v>
      </c>
      <c r="DH68" s="3">
        <v>34.449832999999998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33.69441891999999</v>
      </c>
      <c r="H70" s="3">
        <f>MAX(M70:GJ70)</f>
        <v>36.317512999999998</v>
      </c>
      <c r="I70" s="3">
        <f>MIN(M70:GJ70)</f>
        <v>28.541014000000001</v>
      </c>
      <c r="J70" s="3">
        <f>_xlfn.STDEV.P(M70:GJ70)</f>
        <v>1.6653650569011924</v>
      </c>
      <c r="K70" s="3">
        <f>_xlfn.VAR.S(M70:GJ70)</f>
        <v>2.8014553260075878</v>
      </c>
      <c r="M70" s="3">
        <v>34.140014999999998</v>
      </c>
      <c r="N70" s="3">
        <v>32.401592000000001</v>
      </c>
      <c r="O70" s="3">
        <v>33.322448999999999</v>
      </c>
      <c r="P70" s="3">
        <v>29.516556000000001</v>
      </c>
      <c r="Q70" s="3">
        <v>34.367023000000003</v>
      </c>
      <c r="R70" s="3">
        <v>32.760502000000002</v>
      </c>
      <c r="S70" s="3">
        <v>35.657832999999997</v>
      </c>
      <c r="T70" s="3">
        <v>32.025261</v>
      </c>
      <c r="U70" s="3">
        <v>34.066544</v>
      </c>
      <c r="V70" s="3">
        <v>32.712204</v>
      </c>
      <c r="W70" s="3">
        <v>35.729382000000001</v>
      </c>
      <c r="X70" s="3">
        <v>31.477416999999999</v>
      </c>
      <c r="Y70" s="3">
        <v>33.265574999999998</v>
      </c>
      <c r="Z70" s="3">
        <v>35.678435999999998</v>
      </c>
      <c r="AA70" s="3">
        <v>31.688355999999999</v>
      </c>
      <c r="AB70" s="3">
        <v>32.483863999999997</v>
      </c>
      <c r="AC70" s="3">
        <v>32.033951000000002</v>
      </c>
      <c r="AD70" s="3">
        <v>34.533535000000001</v>
      </c>
      <c r="AE70" s="3">
        <v>30.282382999999999</v>
      </c>
      <c r="AF70" s="3">
        <v>34.618378</v>
      </c>
      <c r="AG70" s="3">
        <v>31.787669999999999</v>
      </c>
      <c r="AH70" s="3">
        <v>36.317512999999998</v>
      </c>
      <c r="AI70" s="3">
        <v>34.596801999999997</v>
      </c>
      <c r="AJ70" s="3">
        <v>32.060519999999997</v>
      </c>
      <c r="AK70" s="3">
        <v>31.208981999999999</v>
      </c>
      <c r="AL70" s="3">
        <v>33.858733999999998</v>
      </c>
      <c r="AM70" s="3">
        <v>34.849735000000003</v>
      </c>
      <c r="AN70" s="3">
        <v>33.787033000000001</v>
      </c>
      <c r="AO70" s="3">
        <v>34.597774999999999</v>
      </c>
      <c r="AP70" s="3">
        <v>32.925125000000001</v>
      </c>
      <c r="AQ70" s="3">
        <v>35.405422000000002</v>
      </c>
      <c r="AR70" s="3">
        <v>33.241301999999997</v>
      </c>
      <c r="AS70" s="3">
        <v>31.741882</v>
      </c>
      <c r="AT70" s="3">
        <v>35.472991999999998</v>
      </c>
      <c r="AU70" s="3">
        <v>31.177897999999999</v>
      </c>
      <c r="AV70" s="3">
        <v>35.128368000000002</v>
      </c>
      <c r="AW70" s="3">
        <v>33.284519000000003</v>
      </c>
      <c r="AX70" s="3">
        <v>35.875824000000001</v>
      </c>
      <c r="AY70" s="3">
        <v>34.442436000000001</v>
      </c>
      <c r="AZ70" s="3">
        <v>28.541014000000001</v>
      </c>
      <c r="BA70" s="3">
        <v>31.240404000000002</v>
      </c>
      <c r="BB70" s="3">
        <v>32.631725000000003</v>
      </c>
      <c r="BC70" s="3">
        <v>35.375678999999998</v>
      </c>
      <c r="BD70" s="3">
        <v>34.969372</v>
      </c>
      <c r="BE70" s="3">
        <v>34.285297</v>
      </c>
      <c r="BF70" s="3">
        <v>34.440520999999997</v>
      </c>
      <c r="BG70" s="3">
        <v>33.992804999999997</v>
      </c>
      <c r="BH70" s="3">
        <v>33.394264</v>
      </c>
      <c r="BI70" s="3">
        <v>34.462226999999999</v>
      </c>
      <c r="BJ70" s="3">
        <v>34.281784000000002</v>
      </c>
      <c r="BK70" s="3">
        <v>34.239758000000002</v>
      </c>
      <c r="BL70" s="3">
        <v>34.679771000000002</v>
      </c>
      <c r="BM70" s="3">
        <v>34.505180000000003</v>
      </c>
      <c r="BN70" s="3">
        <v>34.739432999999998</v>
      </c>
      <c r="BO70" s="3">
        <v>31.935265999999999</v>
      </c>
      <c r="BP70" s="3">
        <v>35.850315000000002</v>
      </c>
      <c r="BQ70" s="3">
        <v>32.294730999999999</v>
      </c>
      <c r="BR70" s="3">
        <v>33.023845999999999</v>
      </c>
      <c r="BS70" s="3">
        <v>35.827979999999997</v>
      </c>
      <c r="BT70" s="3">
        <v>34.971362999999997</v>
      </c>
      <c r="BU70" s="3">
        <v>34.816856000000001</v>
      </c>
      <c r="BV70" s="3">
        <v>31.267520999999999</v>
      </c>
      <c r="BW70" s="3">
        <v>35.402934999999999</v>
      </c>
      <c r="BX70" s="3">
        <v>35.708561000000003</v>
      </c>
      <c r="BY70" s="3">
        <v>29.799925000000002</v>
      </c>
      <c r="BZ70" s="3">
        <v>31.39423</v>
      </c>
      <c r="CA70" s="3">
        <v>32.937645000000003</v>
      </c>
      <c r="CB70" s="3">
        <v>36.090076000000003</v>
      </c>
      <c r="CC70" s="3">
        <v>31.993850999999999</v>
      </c>
      <c r="CD70" s="3">
        <v>35.230606000000002</v>
      </c>
      <c r="CE70" s="3">
        <v>36.147297000000002</v>
      </c>
      <c r="CF70" s="3">
        <v>33.827033999999998</v>
      </c>
      <c r="CG70" s="3">
        <v>35.025398000000003</v>
      </c>
      <c r="CH70" s="3">
        <v>35.228943000000001</v>
      </c>
      <c r="CI70" s="3">
        <v>33.439224000000003</v>
      </c>
      <c r="CJ70" s="3">
        <v>35.044967999999997</v>
      </c>
      <c r="CK70" s="3">
        <v>32.067791</v>
      </c>
      <c r="CL70" s="3">
        <v>34.625050000000002</v>
      </c>
      <c r="CM70" s="3">
        <v>32.468693000000002</v>
      </c>
      <c r="CN70" s="3">
        <v>33.390129000000002</v>
      </c>
      <c r="CO70" s="3">
        <v>35.372611999999997</v>
      </c>
      <c r="CP70" s="3">
        <v>32.900944000000003</v>
      </c>
      <c r="CQ70" s="3">
        <v>34.171214999999997</v>
      </c>
      <c r="CR70" s="3">
        <v>35.410876999999999</v>
      </c>
      <c r="CS70" s="3">
        <v>34.441822000000002</v>
      </c>
      <c r="CT70" s="3">
        <v>34.203850000000003</v>
      </c>
      <c r="CU70" s="3">
        <v>31.856016</v>
      </c>
      <c r="CV70" s="3">
        <v>34.404034000000003</v>
      </c>
      <c r="CW70" s="3">
        <v>35.162433999999998</v>
      </c>
      <c r="CX70" s="3">
        <v>29.003831999999999</v>
      </c>
      <c r="CY70" s="3">
        <v>33.347031000000001</v>
      </c>
      <c r="CZ70" s="3">
        <v>33.558318999999997</v>
      </c>
      <c r="DA70" s="3">
        <v>35.31673</v>
      </c>
      <c r="DB70" s="3">
        <v>33.295451999999997</v>
      </c>
      <c r="DC70" s="3">
        <v>34.215637000000001</v>
      </c>
      <c r="DD70" s="3">
        <v>34.331032</v>
      </c>
      <c r="DE70" s="3">
        <v>34.375393000000003</v>
      </c>
      <c r="DF70" s="3">
        <v>33.623058</v>
      </c>
      <c r="DG70" s="3">
        <v>35.672314</v>
      </c>
      <c r="DH70" s="3">
        <v>34.668033999999999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</row>
    <row r="72" spans="2:207" x14ac:dyDescent="0.2"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</row>
    <row r="73" spans="2:207" x14ac:dyDescent="0.2">
      <c r="B73" t="s">
        <v>60</v>
      </c>
      <c r="D73" s="1" t="s">
        <v>41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33.97396083999999</v>
      </c>
      <c r="H74" s="3">
        <f>MAX(M74:GJ74)</f>
        <v>37.199500999999998</v>
      </c>
      <c r="I74" s="3">
        <f>MIN(M74:GJ74)</f>
        <v>31.314057999999999</v>
      </c>
      <c r="J74" s="3">
        <f>_xlfn.STDEV.P(M74:GJ74)</f>
        <v>1.2322919578174862</v>
      </c>
      <c r="K74" s="3">
        <f>_xlfn.VAR.S(M74:GJ74)</f>
        <v>1.5338822922238924</v>
      </c>
      <c r="M74" s="3">
        <v>34.925246999999999</v>
      </c>
      <c r="N74" s="3">
        <v>34.901423999999999</v>
      </c>
      <c r="O74" s="3">
        <v>34.629337</v>
      </c>
      <c r="P74" s="3">
        <v>34.212100999999997</v>
      </c>
      <c r="Q74" s="3">
        <v>31.571370999999999</v>
      </c>
      <c r="R74" s="3">
        <v>31.718053999999999</v>
      </c>
      <c r="S74" s="3">
        <v>32.574382999999997</v>
      </c>
      <c r="T74" s="3">
        <v>31.887867</v>
      </c>
      <c r="U74" s="3">
        <v>34.657722</v>
      </c>
      <c r="V74" s="3">
        <v>34.414146000000002</v>
      </c>
      <c r="W74" s="3">
        <v>35.082259999999998</v>
      </c>
      <c r="X74" s="3">
        <v>34.578861000000003</v>
      </c>
      <c r="Y74" s="3">
        <v>34.438147999999998</v>
      </c>
      <c r="Z74" s="3">
        <v>33.38702</v>
      </c>
      <c r="AA74" s="3">
        <v>34.186107999999997</v>
      </c>
      <c r="AB74" s="3">
        <v>32.726044000000002</v>
      </c>
      <c r="AC74" s="3">
        <v>36.060580999999999</v>
      </c>
      <c r="AD74" s="3">
        <v>32.257519000000002</v>
      </c>
      <c r="AE74" s="3">
        <v>32.214236999999997</v>
      </c>
      <c r="AF74" s="3">
        <v>33.402172</v>
      </c>
      <c r="AG74" s="3">
        <v>31.314057999999999</v>
      </c>
      <c r="AH74" s="3">
        <v>33.838054999999997</v>
      </c>
      <c r="AI74" s="3">
        <v>32.278854000000003</v>
      </c>
      <c r="AJ74" s="3">
        <v>32.653720999999997</v>
      </c>
      <c r="AK74" s="3">
        <v>33.35416</v>
      </c>
      <c r="AL74" s="3">
        <v>33.406345000000002</v>
      </c>
      <c r="AM74" s="3">
        <v>33.590347000000001</v>
      </c>
      <c r="AN74" s="3">
        <v>33.891742999999998</v>
      </c>
      <c r="AO74" s="3">
        <v>33.118957999999999</v>
      </c>
      <c r="AP74" s="3">
        <v>32.219119999999997</v>
      </c>
      <c r="AQ74" s="3">
        <v>34.848014999999997</v>
      </c>
      <c r="AR74" s="3">
        <v>33.729773999999999</v>
      </c>
      <c r="AS74" s="3">
        <v>35.366196000000002</v>
      </c>
      <c r="AT74" s="3">
        <v>35.349125000000001</v>
      </c>
      <c r="AU74" s="3">
        <v>34.133766000000001</v>
      </c>
      <c r="AV74" s="3">
        <v>36.253383999999997</v>
      </c>
      <c r="AW74" s="3">
        <v>33.679619000000002</v>
      </c>
      <c r="AX74" s="3">
        <v>34.342125000000003</v>
      </c>
      <c r="AY74" s="3">
        <v>35.299286000000002</v>
      </c>
      <c r="AZ74" s="3">
        <v>33.196941000000002</v>
      </c>
      <c r="BA74" s="3">
        <v>33.092533000000003</v>
      </c>
      <c r="BB74" s="3">
        <v>32.655003000000001</v>
      </c>
      <c r="BC74" s="3">
        <v>35.366050999999999</v>
      </c>
      <c r="BD74" s="3">
        <v>34.739918000000003</v>
      </c>
      <c r="BE74" s="3">
        <v>34.680957999999997</v>
      </c>
      <c r="BF74" s="3">
        <v>33.233471000000002</v>
      </c>
      <c r="BG74" s="3">
        <v>35.782111999999998</v>
      </c>
      <c r="BH74" s="3">
        <v>35.638644999999997</v>
      </c>
      <c r="BI74" s="3">
        <v>34.574120000000001</v>
      </c>
      <c r="BJ74" s="3">
        <v>32.684826000000001</v>
      </c>
      <c r="BK74" s="3">
        <v>34.572482999999998</v>
      </c>
      <c r="BL74" s="3">
        <v>36.727654000000001</v>
      </c>
      <c r="BM74" s="3">
        <v>33.395397000000003</v>
      </c>
      <c r="BN74" s="3">
        <v>34.019817000000003</v>
      </c>
      <c r="BO74" s="3">
        <v>32.963138999999998</v>
      </c>
      <c r="BP74" s="3">
        <v>35.192486000000002</v>
      </c>
      <c r="BQ74" s="3">
        <v>33.168987000000001</v>
      </c>
      <c r="BR74" s="3">
        <v>32.705688000000002</v>
      </c>
      <c r="BS74" s="3">
        <v>35.394058000000001</v>
      </c>
      <c r="BT74" s="3">
        <v>33.724510000000002</v>
      </c>
      <c r="BU74" s="3">
        <v>32.658627000000003</v>
      </c>
      <c r="BV74" s="3">
        <v>33.406044000000001</v>
      </c>
      <c r="BW74" s="3">
        <v>32.923225000000002</v>
      </c>
      <c r="BX74" s="3">
        <v>34.968730999999998</v>
      </c>
      <c r="BY74" s="3">
        <v>34.691738000000001</v>
      </c>
      <c r="BZ74" s="3">
        <v>33.209251000000002</v>
      </c>
      <c r="CA74" s="3">
        <v>34.734482</v>
      </c>
      <c r="CB74" s="3">
        <v>35.039710999999997</v>
      </c>
      <c r="CC74" s="3">
        <v>36.200572999999999</v>
      </c>
      <c r="CD74" s="3">
        <v>32.240189000000001</v>
      </c>
      <c r="CE74" s="3">
        <v>32.813698000000002</v>
      </c>
      <c r="CF74" s="3">
        <v>34.847309000000003</v>
      </c>
      <c r="CG74" s="3">
        <v>35.218876000000002</v>
      </c>
      <c r="CH74" s="3">
        <v>36.097614</v>
      </c>
      <c r="CI74" s="3">
        <v>33.314362000000003</v>
      </c>
      <c r="CJ74" s="3">
        <v>34.830395000000003</v>
      </c>
      <c r="CK74" s="3">
        <v>34.778312999999997</v>
      </c>
      <c r="CL74" s="3">
        <v>34.661549000000001</v>
      </c>
      <c r="CM74" s="3">
        <v>35.239333999999999</v>
      </c>
      <c r="CN74" s="3">
        <v>34.052115999999998</v>
      </c>
      <c r="CO74" s="3">
        <v>37.199500999999998</v>
      </c>
      <c r="CP74" s="3">
        <v>33.421267999999998</v>
      </c>
      <c r="CQ74" s="3">
        <v>34.066509000000003</v>
      </c>
      <c r="CR74" s="3">
        <v>33.716124999999998</v>
      </c>
      <c r="CS74" s="3">
        <v>33.146628999999997</v>
      </c>
      <c r="CT74" s="3">
        <v>34.076205999999999</v>
      </c>
      <c r="CU74" s="3">
        <v>33.899524999999997</v>
      </c>
      <c r="CV74" s="3">
        <v>33.439278000000002</v>
      </c>
      <c r="CW74" s="3">
        <v>35.932129000000003</v>
      </c>
      <c r="CX74" s="3">
        <v>33.670113000000001</v>
      </c>
      <c r="CY74" s="3">
        <v>32.241107999999997</v>
      </c>
      <c r="CZ74" s="3">
        <v>33.605114</v>
      </c>
      <c r="DA74" s="3">
        <v>36.119990999999999</v>
      </c>
      <c r="DB74" s="3">
        <v>33.259861000000001</v>
      </c>
      <c r="DC74" s="3">
        <v>32.870789000000002</v>
      </c>
      <c r="DD74" s="3">
        <v>34.239998</v>
      </c>
      <c r="DE74" s="3">
        <v>33.395313000000002</v>
      </c>
      <c r="DF74" s="3">
        <v>34.702151999999998</v>
      </c>
      <c r="DG74" s="3">
        <v>32.106056000000002</v>
      </c>
      <c r="DH74" s="3">
        <v>32.362231999999999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31.842917940000017</v>
      </c>
      <c r="H76" s="3">
        <f>MAX(M76:GJ76)</f>
        <v>40.624572999999998</v>
      </c>
      <c r="I76" s="3">
        <f>MIN(M76:GJ76)</f>
        <v>26.003924999999999</v>
      </c>
      <c r="J76" s="3">
        <f>_xlfn.STDEV.P(M76:GJ76)</f>
        <v>2.7761232360354313</v>
      </c>
      <c r="K76" s="3">
        <f>_xlfn.VAR.S(M76:GJ76)</f>
        <v>7.7847072946018523</v>
      </c>
      <c r="M76" s="3">
        <v>37.77599</v>
      </c>
      <c r="N76" s="3">
        <v>31.096342</v>
      </c>
      <c r="O76" s="3">
        <v>30.537666000000002</v>
      </c>
      <c r="P76" s="3">
        <v>32.526318000000003</v>
      </c>
      <c r="Q76" s="3">
        <v>29.765861999999998</v>
      </c>
      <c r="R76" s="3">
        <v>36.388210000000001</v>
      </c>
      <c r="S76" s="3">
        <v>33.461154999999998</v>
      </c>
      <c r="T76" s="3">
        <v>31.253508</v>
      </c>
      <c r="U76" s="3">
        <v>30.724709000000001</v>
      </c>
      <c r="V76" s="3">
        <v>36.145470000000003</v>
      </c>
      <c r="W76" s="3">
        <v>34.913696000000002</v>
      </c>
      <c r="X76" s="3">
        <v>36.028911999999998</v>
      </c>
      <c r="Y76" s="3">
        <v>35.178322000000001</v>
      </c>
      <c r="Z76" s="3">
        <v>32.617297999999998</v>
      </c>
      <c r="AA76" s="3">
        <v>30.914345000000001</v>
      </c>
      <c r="AB76" s="3">
        <v>32.477744999999999</v>
      </c>
      <c r="AC76" s="3">
        <v>33.872047000000002</v>
      </c>
      <c r="AD76" s="3">
        <v>32.254111999999999</v>
      </c>
      <c r="AE76" s="3">
        <v>32.520153000000001</v>
      </c>
      <c r="AF76" s="3">
        <v>31.121887000000001</v>
      </c>
      <c r="AG76" s="3">
        <v>28.967834</v>
      </c>
      <c r="AH76" s="3">
        <v>35.396030000000003</v>
      </c>
      <c r="AI76" s="3">
        <v>39.810310000000001</v>
      </c>
      <c r="AJ76" s="3">
        <v>29.697825999999999</v>
      </c>
      <c r="AK76" s="3">
        <v>30.927852999999999</v>
      </c>
      <c r="AL76" s="3">
        <v>29.911901</v>
      </c>
      <c r="AM76" s="3">
        <v>30.535805</v>
      </c>
      <c r="AN76" s="3">
        <v>27.790464</v>
      </c>
      <c r="AO76" s="3">
        <v>31.427181000000001</v>
      </c>
      <c r="AP76" s="3">
        <v>29.031718999999999</v>
      </c>
      <c r="AQ76" s="3">
        <v>30.161587000000001</v>
      </c>
      <c r="AR76" s="3">
        <v>30.598803</v>
      </c>
      <c r="AS76" s="3">
        <v>28.08473</v>
      </c>
      <c r="AT76" s="3">
        <v>33.557223999999998</v>
      </c>
      <c r="AU76" s="3">
        <v>30.437263000000002</v>
      </c>
      <c r="AV76" s="3">
        <v>31.595963000000001</v>
      </c>
      <c r="AW76" s="3">
        <v>31.907164000000002</v>
      </c>
      <c r="AX76" s="3">
        <v>29.274249999999999</v>
      </c>
      <c r="AY76" s="3">
        <v>28.634875999999998</v>
      </c>
      <c r="AZ76" s="3">
        <v>28.173603</v>
      </c>
      <c r="BA76" s="3">
        <v>32.238430000000001</v>
      </c>
      <c r="BB76" s="3">
        <v>38.829127999999997</v>
      </c>
      <c r="BC76" s="3">
        <v>28.718540000000001</v>
      </c>
      <c r="BD76" s="3">
        <v>30.512529000000001</v>
      </c>
      <c r="BE76" s="3">
        <v>30.514738000000001</v>
      </c>
      <c r="BF76" s="3">
        <v>28.617833999999998</v>
      </c>
      <c r="BG76" s="3">
        <v>36.098365999999999</v>
      </c>
      <c r="BH76" s="3">
        <v>34.678192000000003</v>
      </c>
      <c r="BI76" s="3">
        <v>31.118549000000002</v>
      </c>
      <c r="BJ76" s="3">
        <v>30.182251000000001</v>
      </c>
      <c r="BK76" s="3">
        <v>33.082371000000002</v>
      </c>
      <c r="BL76" s="3">
        <v>35.306755000000003</v>
      </c>
      <c r="BM76" s="3">
        <v>31.758347000000001</v>
      </c>
      <c r="BN76" s="3">
        <v>31.817367999999998</v>
      </c>
      <c r="BO76" s="3">
        <v>34.780434</v>
      </c>
      <c r="BP76" s="3">
        <v>29.075227999999999</v>
      </c>
      <c r="BQ76" s="3">
        <v>32.284678999999997</v>
      </c>
      <c r="BR76" s="3">
        <v>30.669934999999999</v>
      </c>
      <c r="BS76" s="3">
        <v>28.599772999999999</v>
      </c>
      <c r="BT76" s="3">
        <v>40.624572999999998</v>
      </c>
      <c r="BU76" s="3">
        <v>32.750252000000003</v>
      </c>
      <c r="BV76" s="3">
        <v>31.547702999999998</v>
      </c>
      <c r="BW76" s="3">
        <v>34.595576999999999</v>
      </c>
      <c r="BX76" s="3">
        <v>32.157832999999997</v>
      </c>
      <c r="BY76" s="3">
        <v>30.627669999999998</v>
      </c>
      <c r="BZ76" s="3">
        <v>35.722800999999997</v>
      </c>
      <c r="CA76" s="3">
        <v>30.940397000000001</v>
      </c>
      <c r="CB76" s="3">
        <v>31.733554999999999</v>
      </c>
      <c r="CC76" s="3">
        <v>37.376575000000003</v>
      </c>
      <c r="CD76" s="3">
        <v>29.864014000000001</v>
      </c>
      <c r="CE76" s="3">
        <v>31.123047</v>
      </c>
      <c r="CF76" s="3">
        <v>34.137900999999999</v>
      </c>
      <c r="CG76" s="3">
        <v>32.776660999999997</v>
      </c>
      <c r="CH76" s="3">
        <v>37.698352999999997</v>
      </c>
      <c r="CI76" s="3">
        <v>35.003062999999997</v>
      </c>
      <c r="CJ76" s="3">
        <v>30.323612000000001</v>
      </c>
      <c r="CK76" s="3">
        <v>29.549945999999998</v>
      </c>
      <c r="CL76" s="3">
        <v>31.134737000000001</v>
      </c>
      <c r="CM76" s="3">
        <v>30.066970999999999</v>
      </c>
      <c r="CN76" s="3">
        <v>31.752344000000001</v>
      </c>
      <c r="CO76" s="3">
        <v>29.645745999999999</v>
      </c>
      <c r="CP76" s="3">
        <v>30.200566999999999</v>
      </c>
      <c r="CQ76" s="3">
        <v>27.908322999999999</v>
      </c>
      <c r="CR76" s="3">
        <v>30.852050999999999</v>
      </c>
      <c r="CS76" s="3">
        <v>29.255590000000002</v>
      </c>
      <c r="CT76" s="3">
        <v>28.625651999999999</v>
      </c>
      <c r="CU76" s="3">
        <v>31.955998999999998</v>
      </c>
      <c r="CV76" s="3">
        <v>31.669360999999999</v>
      </c>
      <c r="CW76" s="3">
        <v>29.697952000000001</v>
      </c>
      <c r="CX76" s="3">
        <v>29.195872999999999</v>
      </c>
      <c r="CY76" s="3">
        <v>32.476337000000001</v>
      </c>
      <c r="CZ76" s="3">
        <v>29.909931</v>
      </c>
      <c r="DA76" s="3">
        <v>30.563734</v>
      </c>
      <c r="DB76" s="3">
        <v>30.296082999999999</v>
      </c>
      <c r="DC76" s="3">
        <v>27.97974</v>
      </c>
      <c r="DD76" s="3">
        <v>26.003924999999999</v>
      </c>
      <c r="DE76" s="3">
        <v>33.680793999999999</v>
      </c>
      <c r="DF76" s="3">
        <v>31.763348000000001</v>
      </c>
      <c r="DG76" s="3">
        <v>30.274759</v>
      </c>
      <c r="DH76" s="3">
        <v>34.448864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38.860199639999998</v>
      </c>
      <c r="H78" s="3">
        <f>MAX(M78:GJ78)</f>
        <v>44.091827000000002</v>
      </c>
      <c r="I78" s="3">
        <f>MIN(M78:GJ78)</f>
        <v>32.712696000000001</v>
      </c>
      <c r="J78" s="3">
        <f>_xlfn.STDEV.P(M78:GJ78)</f>
        <v>2.2973299242424385</v>
      </c>
      <c r="K78" s="3">
        <f>_xlfn.VAR.S(M78:GJ78)</f>
        <v>5.3310351321411797</v>
      </c>
      <c r="M78" s="3">
        <v>36.712798999999997</v>
      </c>
      <c r="N78" s="3">
        <v>39.731583000000001</v>
      </c>
      <c r="O78" s="3">
        <v>38.330685000000003</v>
      </c>
      <c r="P78" s="3">
        <v>42.301856999999998</v>
      </c>
      <c r="Q78" s="3">
        <v>40.543208999999997</v>
      </c>
      <c r="R78" s="3">
        <v>36.592308000000003</v>
      </c>
      <c r="S78" s="3">
        <v>44.091827000000002</v>
      </c>
      <c r="T78" s="3">
        <v>38.757114000000001</v>
      </c>
      <c r="U78" s="3">
        <v>40.976832999999999</v>
      </c>
      <c r="V78" s="3">
        <v>39.590739999999997</v>
      </c>
      <c r="W78" s="3">
        <v>38.766250999999997</v>
      </c>
      <c r="X78" s="3">
        <v>41.844185000000003</v>
      </c>
      <c r="Y78" s="3">
        <v>38.226928999999998</v>
      </c>
      <c r="Z78" s="3">
        <v>40.048813000000003</v>
      </c>
      <c r="AA78" s="3">
        <v>41.170166000000002</v>
      </c>
      <c r="AB78" s="3">
        <v>38.215693999999999</v>
      </c>
      <c r="AC78" s="3">
        <v>35.622931999999999</v>
      </c>
      <c r="AD78" s="3">
        <v>40.725399000000003</v>
      </c>
      <c r="AE78" s="3">
        <v>38.507294000000002</v>
      </c>
      <c r="AF78" s="3">
        <v>40.116256999999997</v>
      </c>
      <c r="AG78" s="3">
        <v>41.180835999999999</v>
      </c>
      <c r="AH78" s="3">
        <v>40.422932000000003</v>
      </c>
      <c r="AI78" s="3">
        <v>37.338081000000003</v>
      </c>
      <c r="AJ78" s="3">
        <v>43.450778999999997</v>
      </c>
      <c r="AK78" s="3">
        <v>38.931381000000002</v>
      </c>
      <c r="AL78" s="3">
        <v>38.690413999999997</v>
      </c>
      <c r="AM78" s="3">
        <v>39.973346999999997</v>
      </c>
      <c r="AN78" s="3">
        <v>36.239913999999999</v>
      </c>
      <c r="AO78" s="3">
        <v>38.897919000000002</v>
      </c>
      <c r="AP78" s="3">
        <v>39.004139000000002</v>
      </c>
      <c r="AQ78" s="3">
        <v>35.755245000000002</v>
      </c>
      <c r="AR78" s="3">
        <v>40.558483000000003</v>
      </c>
      <c r="AS78" s="3">
        <v>34.216701999999998</v>
      </c>
      <c r="AT78" s="3">
        <v>38.665581000000003</v>
      </c>
      <c r="AU78" s="3">
        <v>39.962521000000002</v>
      </c>
      <c r="AV78" s="3">
        <v>36.716121999999999</v>
      </c>
      <c r="AW78" s="3">
        <v>37.331614999999999</v>
      </c>
      <c r="AX78" s="3">
        <v>40.375003999999997</v>
      </c>
      <c r="AY78" s="3">
        <v>40.23901</v>
      </c>
      <c r="AZ78" s="3">
        <v>36.530909999999999</v>
      </c>
      <c r="BA78" s="3">
        <v>32.712696000000001</v>
      </c>
      <c r="BB78" s="3">
        <v>39.298789999999997</v>
      </c>
      <c r="BC78" s="3">
        <v>40.412903</v>
      </c>
      <c r="BD78" s="3">
        <v>35.106910999999997</v>
      </c>
      <c r="BE78" s="3">
        <v>38.310673000000001</v>
      </c>
      <c r="BF78" s="3">
        <v>39.669978999999998</v>
      </c>
      <c r="BG78" s="3">
        <v>35.186199000000002</v>
      </c>
      <c r="BH78" s="3">
        <v>36.381667999999998</v>
      </c>
      <c r="BI78" s="3">
        <v>36.212158000000002</v>
      </c>
      <c r="BJ78" s="3">
        <v>37.000239999999998</v>
      </c>
      <c r="BK78" s="3">
        <v>39.179713999999997</v>
      </c>
      <c r="BL78" s="3">
        <v>38.422020000000003</v>
      </c>
      <c r="BM78" s="3">
        <v>39.856571000000002</v>
      </c>
      <c r="BN78" s="3">
        <v>38.461860999999999</v>
      </c>
      <c r="BO78" s="3">
        <v>36.923285999999997</v>
      </c>
      <c r="BP78" s="3">
        <v>37.274101000000002</v>
      </c>
      <c r="BQ78" s="3">
        <v>36.768073999999999</v>
      </c>
      <c r="BR78" s="3">
        <v>33.853405000000002</v>
      </c>
      <c r="BS78" s="3">
        <v>39.031360999999997</v>
      </c>
      <c r="BT78" s="3">
        <v>42.037368999999998</v>
      </c>
      <c r="BU78" s="3">
        <v>38.767814999999999</v>
      </c>
      <c r="BV78" s="3">
        <v>38.856544</v>
      </c>
      <c r="BW78" s="3">
        <v>36.565918000000003</v>
      </c>
      <c r="BX78" s="3">
        <v>38.218327000000002</v>
      </c>
      <c r="BY78" s="3">
        <v>34.825068999999999</v>
      </c>
      <c r="BZ78" s="3">
        <v>36.413711999999997</v>
      </c>
      <c r="CA78" s="3">
        <v>36.704273000000001</v>
      </c>
      <c r="CB78" s="3">
        <v>37.246471</v>
      </c>
      <c r="CC78" s="3">
        <v>36.112217000000001</v>
      </c>
      <c r="CD78" s="3">
        <v>37.887554000000002</v>
      </c>
      <c r="CE78" s="3">
        <v>38.297573</v>
      </c>
      <c r="CF78" s="3">
        <v>37.165379000000001</v>
      </c>
      <c r="CG78" s="3">
        <v>39.361935000000003</v>
      </c>
      <c r="CH78" s="3">
        <v>37.716942000000003</v>
      </c>
      <c r="CI78" s="3">
        <v>36.452755000000003</v>
      </c>
      <c r="CJ78" s="3">
        <v>37.951756000000003</v>
      </c>
      <c r="CK78" s="3">
        <v>39.775478</v>
      </c>
      <c r="CL78" s="3">
        <v>37.897106000000001</v>
      </c>
      <c r="CM78" s="3">
        <v>41.478240999999997</v>
      </c>
      <c r="CN78" s="3">
        <v>42.367325000000001</v>
      </c>
      <c r="CO78" s="3">
        <v>35.105282000000003</v>
      </c>
      <c r="CP78" s="3">
        <v>42.87764</v>
      </c>
      <c r="CQ78" s="3">
        <v>39.301040999999998</v>
      </c>
      <c r="CR78" s="3">
        <v>40.757435000000001</v>
      </c>
      <c r="CS78" s="3">
        <v>40.951442999999998</v>
      </c>
      <c r="CT78" s="3">
        <v>37.461680999999999</v>
      </c>
      <c r="CU78" s="3">
        <v>38.700150000000001</v>
      </c>
      <c r="CV78" s="3">
        <v>42.671478</v>
      </c>
      <c r="CW78" s="3">
        <v>43.057513999999998</v>
      </c>
      <c r="CX78" s="3">
        <v>39.280997999999997</v>
      </c>
      <c r="CY78" s="3">
        <v>41.888542000000001</v>
      </c>
      <c r="CZ78" s="3">
        <v>38.255111999999997</v>
      </c>
      <c r="DA78" s="3">
        <v>42.089108000000003</v>
      </c>
      <c r="DB78" s="3">
        <v>39.073559000000003</v>
      </c>
      <c r="DC78" s="3">
        <v>40.639122</v>
      </c>
      <c r="DD78" s="3">
        <v>40.537750000000003</v>
      </c>
      <c r="DE78" s="3">
        <v>41.063651999999998</v>
      </c>
      <c r="DF78" s="3">
        <v>38.995055999999998</v>
      </c>
      <c r="DG78" s="3">
        <v>43.759697000000003</v>
      </c>
      <c r="DH78" s="3">
        <v>42.037525000000002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30.958312670000002</v>
      </c>
      <c r="H80" s="3">
        <f>MAX(M80:GJ80)</f>
        <v>35.359383000000001</v>
      </c>
      <c r="I80" s="3">
        <f>MIN(M80:GJ80)</f>
        <v>28.866501</v>
      </c>
      <c r="J80" s="3">
        <f>_xlfn.STDEV.P(M80:GJ80)</f>
        <v>1.2210801554854704</v>
      </c>
      <c r="K80" s="3">
        <f>_xlfn.VAR.S(M80:GJ80)</f>
        <v>1.5060977233539605</v>
      </c>
      <c r="M80" s="3">
        <v>33.194541999999998</v>
      </c>
      <c r="N80" s="3">
        <v>29.171697999999999</v>
      </c>
      <c r="O80" s="3">
        <v>32.833030999999998</v>
      </c>
      <c r="P80" s="3">
        <v>31.147821</v>
      </c>
      <c r="Q80" s="3">
        <v>32.847014999999999</v>
      </c>
      <c r="R80" s="3">
        <v>29.258274</v>
      </c>
      <c r="S80" s="3">
        <v>31.452669</v>
      </c>
      <c r="T80" s="3">
        <v>30.359635999999998</v>
      </c>
      <c r="U80" s="3">
        <v>32.176991000000001</v>
      </c>
      <c r="V80" s="3">
        <v>30.970714999999998</v>
      </c>
      <c r="W80" s="3">
        <v>31.356956</v>
      </c>
      <c r="X80" s="3">
        <v>31.11429</v>
      </c>
      <c r="Y80" s="3">
        <v>30.300449</v>
      </c>
      <c r="Z80" s="3">
        <v>32.108325999999998</v>
      </c>
      <c r="AA80" s="3">
        <v>30.652355</v>
      </c>
      <c r="AB80" s="3">
        <v>33.776749000000002</v>
      </c>
      <c r="AC80" s="3">
        <v>31.630465000000001</v>
      </c>
      <c r="AD80" s="3">
        <v>32.201092000000003</v>
      </c>
      <c r="AE80" s="3">
        <v>33.657654000000001</v>
      </c>
      <c r="AF80" s="3">
        <v>30.541557000000001</v>
      </c>
      <c r="AG80" s="3">
        <v>30.302837</v>
      </c>
      <c r="AH80" s="3">
        <v>30.532374999999998</v>
      </c>
      <c r="AI80" s="3">
        <v>29.331842000000002</v>
      </c>
      <c r="AJ80" s="3">
        <v>30.504857999999999</v>
      </c>
      <c r="AK80" s="3">
        <v>32.736328</v>
      </c>
      <c r="AL80" s="3">
        <v>30.177213999999999</v>
      </c>
      <c r="AM80" s="3">
        <v>30.542515000000002</v>
      </c>
      <c r="AN80" s="3">
        <v>31.825894999999999</v>
      </c>
      <c r="AO80" s="3">
        <v>32.787098</v>
      </c>
      <c r="AP80" s="3">
        <v>32.197273000000003</v>
      </c>
      <c r="AQ80" s="3">
        <v>29.808107</v>
      </c>
      <c r="AR80" s="3">
        <v>31.396470999999998</v>
      </c>
      <c r="AS80" s="3">
        <v>30.699677999999999</v>
      </c>
      <c r="AT80" s="3">
        <v>32.413006000000003</v>
      </c>
      <c r="AU80" s="3">
        <v>30.331742999999999</v>
      </c>
      <c r="AV80" s="3">
        <v>31.674402000000001</v>
      </c>
      <c r="AW80" s="3">
        <v>29.69595</v>
      </c>
      <c r="AX80" s="3">
        <v>28.908650999999999</v>
      </c>
      <c r="AY80" s="3">
        <v>29.843648999999999</v>
      </c>
      <c r="AZ80" s="3">
        <v>32.603054</v>
      </c>
      <c r="BA80" s="3">
        <v>30.655539000000001</v>
      </c>
      <c r="BB80" s="3">
        <v>32.291752000000002</v>
      </c>
      <c r="BC80" s="3">
        <v>32.104205999999998</v>
      </c>
      <c r="BD80" s="3">
        <v>31.675695000000001</v>
      </c>
      <c r="BE80" s="3">
        <v>29.656714999999998</v>
      </c>
      <c r="BF80" s="3">
        <v>29.872727999999999</v>
      </c>
      <c r="BG80" s="3">
        <v>30.826777</v>
      </c>
      <c r="BH80" s="3">
        <v>30.794813000000001</v>
      </c>
      <c r="BI80" s="3">
        <v>30.218353</v>
      </c>
      <c r="BJ80" s="3">
        <v>33.688907999999998</v>
      </c>
      <c r="BK80" s="3">
        <v>29.933814999999999</v>
      </c>
      <c r="BL80" s="3">
        <v>31.678519999999999</v>
      </c>
      <c r="BM80" s="3">
        <v>30.918634000000001</v>
      </c>
      <c r="BN80" s="3">
        <v>31.087983999999999</v>
      </c>
      <c r="BO80" s="3">
        <v>30.411988999999998</v>
      </c>
      <c r="BP80" s="3">
        <v>32.078311999999997</v>
      </c>
      <c r="BQ80" s="3">
        <v>30.984541</v>
      </c>
      <c r="BR80" s="3">
        <v>31.129807</v>
      </c>
      <c r="BS80" s="3">
        <v>31.615300999999999</v>
      </c>
      <c r="BT80" s="3">
        <v>30.981225999999999</v>
      </c>
      <c r="BU80" s="3">
        <v>29.950212000000001</v>
      </c>
      <c r="BV80" s="3">
        <v>29.398392000000001</v>
      </c>
      <c r="BW80" s="3">
        <v>30.230919</v>
      </c>
      <c r="BX80" s="3">
        <v>30.80921</v>
      </c>
      <c r="BY80" s="3">
        <v>29.612511000000001</v>
      </c>
      <c r="BZ80" s="3">
        <v>30.565155000000001</v>
      </c>
      <c r="CA80" s="3">
        <v>30.967462999999999</v>
      </c>
      <c r="CB80" s="3">
        <v>31.129474999999999</v>
      </c>
      <c r="CC80" s="3">
        <v>30.133419</v>
      </c>
      <c r="CD80" s="3">
        <v>29.820844999999998</v>
      </c>
      <c r="CE80" s="3">
        <v>31.517582000000001</v>
      </c>
      <c r="CF80" s="3">
        <v>29.809152999999998</v>
      </c>
      <c r="CG80" s="3">
        <v>31.880583000000001</v>
      </c>
      <c r="CH80" s="3">
        <v>30.304245000000002</v>
      </c>
      <c r="CI80" s="3">
        <v>34.261409999999998</v>
      </c>
      <c r="CJ80" s="3">
        <v>30.142596999999999</v>
      </c>
      <c r="CK80" s="3">
        <v>31.625586999999999</v>
      </c>
      <c r="CL80" s="3">
        <v>30.733276</v>
      </c>
      <c r="CM80" s="3">
        <v>31.431813999999999</v>
      </c>
      <c r="CN80" s="3">
        <v>31.296977999999999</v>
      </c>
      <c r="CO80" s="3">
        <v>30.133704999999999</v>
      </c>
      <c r="CP80" s="3">
        <v>30.345048999999999</v>
      </c>
      <c r="CQ80" s="3">
        <v>30.096399000000002</v>
      </c>
      <c r="CR80" s="3">
        <v>31.677792</v>
      </c>
      <c r="CS80" s="3">
        <v>29.520834000000001</v>
      </c>
      <c r="CT80" s="3">
        <v>29.894669</v>
      </c>
      <c r="CU80" s="3">
        <v>29.442945000000002</v>
      </c>
      <c r="CV80" s="3">
        <v>29.996534</v>
      </c>
      <c r="CW80" s="3">
        <v>29.084178999999999</v>
      </c>
      <c r="CX80" s="3">
        <v>30.040264000000001</v>
      </c>
      <c r="CY80" s="3">
        <v>31.20524</v>
      </c>
      <c r="CZ80" s="3">
        <v>30.55208</v>
      </c>
      <c r="DA80" s="3">
        <v>30.979621999999999</v>
      </c>
      <c r="DB80" s="3">
        <v>30.735562999999999</v>
      </c>
      <c r="DC80" s="3">
        <v>30.167131000000001</v>
      </c>
      <c r="DD80" s="3">
        <v>30.150993</v>
      </c>
      <c r="DE80" s="3">
        <v>29.523005999999999</v>
      </c>
      <c r="DF80" s="3">
        <v>30.767706</v>
      </c>
      <c r="DG80" s="3">
        <v>28.866501</v>
      </c>
      <c r="DH80" s="3">
        <v>35.359383000000001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33.653280100000003</v>
      </c>
      <c r="H82" s="3">
        <f>MAX(M82:GJ82)</f>
        <v>41.089042999999997</v>
      </c>
      <c r="I82" s="3">
        <f>MIN(M82:GJ82)</f>
        <v>28.618185</v>
      </c>
      <c r="J82" s="3">
        <f>_xlfn.STDEV.P(M82:GJ82)</f>
        <v>2.6154229716979183</v>
      </c>
      <c r="K82" s="3">
        <f>_xlfn.VAR.S(M82:GJ82)</f>
        <v>6.9095326473587564</v>
      </c>
      <c r="M82" s="3">
        <v>34.323932999999997</v>
      </c>
      <c r="N82" s="3">
        <v>32.108604</v>
      </c>
      <c r="O82" s="3">
        <v>31.767696000000001</v>
      </c>
      <c r="P82" s="3">
        <v>30.452743999999999</v>
      </c>
      <c r="Q82" s="3">
        <v>35.730105999999999</v>
      </c>
      <c r="R82" s="3">
        <v>33.633335000000002</v>
      </c>
      <c r="S82" s="3">
        <v>32.248795000000001</v>
      </c>
      <c r="T82" s="3">
        <v>34.261654</v>
      </c>
      <c r="U82" s="3">
        <v>35.316054999999999</v>
      </c>
      <c r="V82" s="3">
        <v>41.089042999999997</v>
      </c>
      <c r="W82" s="3">
        <v>29.595086999999999</v>
      </c>
      <c r="X82" s="3">
        <v>32.342381000000003</v>
      </c>
      <c r="Y82" s="3">
        <v>30.467601999999999</v>
      </c>
      <c r="Z82" s="3">
        <v>32.009487</v>
      </c>
      <c r="AA82" s="3">
        <v>38.841583</v>
      </c>
      <c r="AB82" s="3">
        <v>29.474449</v>
      </c>
      <c r="AC82" s="3">
        <v>38.430058000000002</v>
      </c>
      <c r="AD82" s="3">
        <v>35.714523</v>
      </c>
      <c r="AE82" s="3">
        <v>35.960025999999999</v>
      </c>
      <c r="AF82" s="3">
        <v>33.431705000000001</v>
      </c>
      <c r="AG82" s="3">
        <v>33.941544</v>
      </c>
      <c r="AH82" s="3">
        <v>32.808411</v>
      </c>
      <c r="AI82" s="3">
        <v>31.863598</v>
      </c>
      <c r="AJ82" s="3">
        <v>33.966808</v>
      </c>
      <c r="AK82" s="3">
        <v>40.353489000000003</v>
      </c>
      <c r="AL82" s="3">
        <v>35.338459</v>
      </c>
      <c r="AM82" s="3">
        <v>32.704895</v>
      </c>
      <c r="AN82" s="3">
        <v>34.853763999999998</v>
      </c>
      <c r="AO82" s="3">
        <v>30.464872</v>
      </c>
      <c r="AP82" s="3">
        <v>31.908353999999999</v>
      </c>
      <c r="AQ82" s="3">
        <v>34.368789999999997</v>
      </c>
      <c r="AR82" s="3">
        <v>34.081420999999999</v>
      </c>
      <c r="AS82" s="3">
        <v>40.799644000000001</v>
      </c>
      <c r="AT82" s="3">
        <v>32.913936999999997</v>
      </c>
      <c r="AU82" s="3">
        <v>38.046173000000003</v>
      </c>
      <c r="AV82" s="3">
        <v>33.011249999999997</v>
      </c>
      <c r="AW82" s="3">
        <v>36.477642000000003</v>
      </c>
      <c r="AX82" s="3">
        <v>34.294131999999998</v>
      </c>
      <c r="AY82" s="3">
        <v>31.702984000000001</v>
      </c>
      <c r="AZ82" s="3">
        <v>37.167175</v>
      </c>
      <c r="BA82" s="3">
        <v>34.284163999999997</v>
      </c>
      <c r="BB82" s="3">
        <v>34.315173999999999</v>
      </c>
      <c r="BC82" s="3">
        <v>28.618185</v>
      </c>
      <c r="BD82" s="3">
        <v>34.606791999999999</v>
      </c>
      <c r="BE82" s="3">
        <v>35.511028000000003</v>
      </c>
      <c r="BF82" s="3">
        <v>34.631985</v>
      </c>
      <c r="BG82" s="3">
        <v>30.697817000000001</v>
      </c>
      <c r="BH82" s="3">
        <v>35.497906</v>
      </c>
      <c r="BI82" s="3">
        <v>32.100383999999998</v>
      </c>
      <c r="BJ82" s="3">
        <v>31.502507999999999</v>
      </c>
      <c r="BK82" s="3">
        <v>37.591636999999999</v>
      </c>
      <c r="BL82" s="3">
        <v>30.842770000000002</v>
      </c>
      <c r="BM82" s="3">
        <v>34.511395</v>
      </c>
      <c r="BN82" s="3">
        <v>33.396155999999998</v>
      </c>
      <c r="BO82" s="3">
        <v>33.214264</v>
      </c>
      <c r="BP82" s="3">
        <v>36.623192000000003</v>
      </c>
      <c r="BQ82" s="3">
        <v>34.812614000000004</v>
      </c>
      <c r="BR82" s="3">
        <v>36.059708000000001</v>
      </c>
      <c r="BS82" s="3">
        <v>30.353838</v>
      </c>
      <c r="BT82" s="3">
        <v>36.616104</v>
      </c>
      <c r="BU82" s="3">
        <v>36.853606999999997</v>
      </c>
      <c r="BV82" s="3">
        <v>35.485970000000002</v>
      </c>
      <c r="BW82" s="3">
        <v>37.295577999999999</v>
      </c>
      <c r="BX82" s="3">
        <v>31.981013999999998</v>
      </c>
      <c r="BY82" s="3">
        <v>35.096001000000001</v>
      </c>
      <c r="BZ82" s="3">
        <v>34.647185999999998</v>
      </c>
      <c r="CA82" s="3">
        <v>34.995811000000003</v>
      </c>
      <c r="CB82" s="3">
        <v>29.463190000000001</v>
      </c>
      <c r="CC82" s="3">
        <v>35.328598</v>
      </c>
      <c r="CD82" s="3">
        <v>31.943110999999998</v>
      </c>
      <c r="CE82" s="3">
        <v>33.406483000000001</v>
      </c>
      <c r="CF82" s="3">
        <v>32.780555999999997</v>
      </c>
      <c r="CG82" s="3">
        <v>32.033447000000002</v>
      </c>
      <c r="CH82" s="3">
        <v>32.601695999999997</v>
      </c>
      <c r="CI82" s="3">
        <v>30.942734000000002</v>
      </c>
      <c r="CJ82" s="3">
        <v>32.326534000000002</v>
      </c>
      <c r="CK82" s="3">
        <v>32.028751</v>
      </c>
      <c r="CL82" s="3">
        <v>34.092700999999998</v>
      </c>
      <c r="CM82" s="3">
        <v>32.374054000000001</v>
      </c>
      <c r="CN82" s="3">
        <v>31.831029999999998</v>
      </c>
      <c r="CO82" s="3">
        <v>32.729488000000003</v>
      </c>
      <c r="CP82" s="3">
        <v>31.71452</v>
      </c>
      <c r="CQ82" s="3">
        <v>36.825130000000001</v>
      </c>
      <c r="CR82" s="3">
        <v>30.566673000000002</v>
      </c>
      <c r="CS82" s="3">
        <v>35.807037000000001</v>
      </c>
      <c r="CT82" s="3">
        <v>37.790633999999997</v>
      </c>
      <c r="CU82" s="3">
        <v>33.486629000000001</v>
      </c>
      <c r="CV82" s="3">
        <v>30.394524000000001</v>
      </c>
      <c r="CW82" s="3">
        <v>29.962644999999998</v>
      </c>
      <c r="CX82" s="3">
        <v>36.280518000000001</v>
      </c>
      <c r="CY82" s="3">
        <v>32.175117</v>
      </c>
      <c r="CZ82" s="3">
        <v>33.322020999999999</v>
      </c>
      <c r="DA82" s="3">
        <v>29.029387</v>
      </c>
      <c r="DB82" s="3">
        <v>31.434854999999999</v>
      </c>
      <c r="DC82" s="3">
        <v>32.700004999999997</v>
      </c>
      <c r="DD82" s="3">
        <v>35.397511000000002</v>
      </c>
      <c r="DE82" s="3">
        <v>30.053988</v>
      </c>
      <c r="DF82" s="3">
        <v>32.677711000000002</v>
      </c>
      <c r="DG82" s="3">
        <v>30.697889</v>
      </c>
      <c r="DH82" s="3">
        <v>30.719847000000001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</row>
    <row r="84" spans="2:207" x14ac:dyDescent="0.2"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</row>
    <row r="85" spans="2:207" x14ac:dyDescent="0.2">
      <c r="B85" t="s">
        <v>60</v>
      </c>
      <c r="D85" s="1" t="s">
        <v>40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14.902240059999995</v>
      </c>
      <c r="H86" s="3">
        <f>MAX(M86:GJ86)</f>
        <v>18.787512</v>
      </c>
      <c r="I86" s="3">
        <f>MIN(M86:GJ86)</f>
        <v>13.516983</v>
      </c>
      <c r="J86" s="3">
        <f>_xlfn.STDEV.P(M86:GJ86)</f>
        <v>1.2747119783787768</v>
      </c>
      <c r="K86" s="3">
        <f>_xlfn.VAR.S(M86:GJ86)</f>
        <v>1.6413036644670054</v>
      </c>
      <c r="M86" s="3">
        <v>15.477758</v>
      </c>
      <c r="N86" s="3">
        <v>14.739905</v>
      </c>
      <c r="O86" s="3">
        <v>14.346158000000001</v>
      </c>
      <c r="P86" s="3">
        <v>17.301029</v>
      </c>
      <c r="Q86" s="3">
        <v>14.415647</v>
      </c>
      <c r="R86" s="3">
        <v>14.399481</v>
      </c>
      <c r="S86" s="3">
        <v>15.023776</v>
      </c>
      <c r="T86" s="3">
        <v>14.341234999999999</v>
      </c>
      <c r="U86" s="3">
        <v>15.667801000000001</v>
      </c>
      <c r="V86" s="3">
        <v>13.921488999999999</v>
      </c>
      <c r="W86" s="3">
        <v>15.973004</v>
      </c>
      <c r="X86" s="3">
        <v>13.976156</v>
      </c>
      <c r="Y86" s="3">
        <v>14.205415</v>
      </c>
      <c r="Z86" s="3">
        <v>13.979908</v>
      </c>
      <c r="AA86" s="3">
        <v>14.311956</v>
      </c>
      <c r="AB86" s="3">
        <v>15.248153</v>
      </c>
      <c r="AC86" s="3">
        <v>18.245066000000001</v>
      </c>
      <c r="AD86" s="3">
        <v>14.280207000000001</v>
      </c>
      <c r="AE86" s="3">
        <v>14.205075000000001</v>
      </c>
      <c r="AF86" s="3">
        <v>13.931103</v>
      </c>
      <c r="AG86" s="3">
        <v>14.021534000000001</v>
      </c>
      <c r="AH86" s="3">
        <v>14.182259</v>
      </c>
      <c r="AI86" s="3">
        <v>14.342395</v>
      </c>
      <c r="AJ86" s="3">
        <v>13.853251</v>
      </c>
      <c r="AK86" s="3">
        <v>14.003386000000001</v>
      </c>
      <c r="AL86" s="3">
        <v>14.022031</v>
      </c>
      <c r="AM86" s="3">
        <v>14.194077</v>
      </c>
      <c r="AN86" s="3">
        <v>14.102633000000001</v>
      </c>
      <c r="AO86" s="3">
        <v>14.127268000000001</v>
      </c>
      <c r="AP86" s="3">
        <v>14.070453000000001</v>
      </c>
      <c r="AQ86" s="3">
        <v>14.477874999999999</v>
      </c>
      <c r="AR86" s="3">
        <v>13.975364000000001</v>
      </c>
      <c r="AS86" s="3">
        <v>17.645831999999999</v>
      </c>
      <c r="AT86" s="3">
        <v>17.02178</v>
      </c>
      <c r="AU86" s="3">
        <v>13.785114999999999</v>
      </c>
      <c r="AV86" s="3">
        <v>18.787512</v>
      </c>
      <c r="AW86" s="3">
        <v>14.049626999999999</v>
      </c>
      <c r="AX86" s="3">
        <v>13.879039000000001</v>
      </c>
      <c r="AY86" s="3">
        <v>15.947604</v>
      </c>
      <c r="AZ86" s="3">
        <v>15.396679000000001</v>
      </c>
      <c r="BA86" s="3">
        <v>14.410178</v>
      </c>
      <c r="BB86" s="3">
        <v>14.676641999999999</v>
      </c>
      <c r="BC86" s="3">
        <v>14.07273</v>
      </c>
      <c r="BD86" s="3">
        <v>13.68207</v>
      </c>
      <c r="BE86" s="3">
        <v>17.190263999999999</v>
      </c>
      <c r="BF86" s="3">
        <v>14.023281000000001</v>
      </c>
      <c r="BG86" s="3">
        <v>18.554562000000001</v>
      </c>
      <c r="BH86" s="3">
        <v>15.411407000000001</v>
      </c>
      <c r="BI86" s="3">
        <v>14.757675000000001</v>
      </c>
      <c r="BJ86" s="3">
        <v>14.025036999999999</v>
      </c>
      <c r="BK86" s="3">
        <v>13.968807999999999</v>
      </c>
      <c r="BL86" s="3">
        <v>18.468691</v>
      </c>
      <c r="BM86" s="3">
        <v>14.210203</v>
      </c>
      <c r="BN86" s="3">
        <v>14.237671000000001</v>
      </c>
      <c r="BO86" s="3">
        <v>14.234221</v>
      </c>
      <c r="BP86" s="3">
        <v>14.557522000000001</v>
      </c>
      <c r="BQ86" s="3">
        <v>15.097818999999999</v>
      </c>
      <c r="BR86" s="3">
        <v>13.932138</v>
      </c>
      <c r="BS86" s="3">
        <v>16.126553999999999</v>
      </c>
      <c r="BT86" s="3">
        <v>14.011182</v>
      </c>
      <c r="BU86" s="3">
        <v>14.117891999999999</v>
      </c>
      <c r="BV86" s="3">
        <v>14.04996</v>
      </c>
      <c r="BW86" s="3">
        <v>14.39494</v>
      </c>
      <c r="BX86" s="3">
        <v>14.714308000000001</v>
      </c>
      <c r="BY86" s="3">
        <v>14.20501</v>
      </c>
      <c r="BZ86" s="3">
        <v>13.516983</v>
      </c>
      <c r="CA86" s="3">
        <v>16.227812</v>
      </c>
      <c r="CB86" s="3">
        <v>15.509191</v>
      </c>
      <c r="CC86" s="3">
        <v>15.088457999999999</v>
      </c>
      <c r="CD86" s="3">
        <v>13.982893000000001</v>
      </c>
      <c r="CE86" s="3">
        <v>13.699214</v>
      </c>
      <c r="CF86" s="3">
        <v>16.463647999999999</v>
      </c>
      <c r="CG86" s="3">
        <v>16.562901</v>
      </c>
      <c r="CH86" s="3">
        <v>16.687708000000001</v>
      </c>
      <c r="CI86" s="3">
        <v>15.163341000000001</v>
      </c>
      <c r="CJ86" s="3">
        <v>14.227631000000001</v>
      </c>
      <c r="CK86" s="3">
        <v>15.865693</v>
      </c>
      <c r="CL86" s="3">
        <v>15.682267</v>
      </c>
      <c r="CM86" s="3">
        <v>17.631965999999998</v>
      </c>
      <c r="CN86" s="3">
        <v>13.898972000000001</v>
      </c>
      <c r="CO86" s="3">
        <v>18.032205999999999</v>
      </c>
      <c r="CP86" s="3">
        <v>14.63785</v>
      </c>
      <c r="CQ86" s="3">
        <v>13.953797</v>
      </c>
      <c r="CR86" s="3">
        <v>14.317345</v>
      </c>
      <c r="CS86" s="3">
        <v>14.185225000000001</v>
      </c>
      <c r="CT86" s="3">
        <v>14.633934</v>
      </c>
      <c r="CU86" s="3">
        <v>14.111370000000001</v>
      </c>
      <c r="CV86" s="3">
        <v>14.596137000000001</v>
      </c>
      <c r="CW86" s="3">
        <v>17.871241000000001</v>
      </c>
      <c r="CX86" s="3">
        <v>15.561605999999999</v>
      </c>
      <c r="CY86" s="3">
        <v>14.042068</v>
      </c>
      <c r="CZ86" s="3">
        <v>14.414042</v>
      </c>
      <c r="DA86" s="3">
        <v>14.030293</v>
      </c>
      <c r="DB86" s="3">
        <v>14.057449999999999</v>
      </c>
      <c r="DC86" s="3">
        <v>13.978935</v>
      </c>
      <c r="DD86" s="3">
        <v>14.291880000000001</v>
      </c>
      <c r="DE86" s="3">
        <v>14.228165000000001</v>
      </c>
      <c r="DF86" s="3">
        <v>16.108540000000001</v>
      </c>
      <c r="DG86" s="3">
        <v>14.199733</v>
      </c>
      <c r="DH86" s="3">
        <v>13.75671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13.295670549999997</v>
      </c>
      <c r="H88" s="3">
        <f>MAX(M88:GJ88)</f>
        <v>18.201713999999999</v>
      </c>
      <c r="I88" s="3">
        <f>MIN(M88:GJ88)</f>
        <v>9.4252739999999999</v>
      </c>
      <c r="J88" s="3">
        <f>_xlfn.STDEV.P(M88:GJ88)</f>
        <v>2.4462274284494265</v>
      </c>
      <c r="K88" s="3">
        <f>_xlfn.VAR.S(M88:GJ88)</f>
        <v>6.0444733653517924</v>
      </c>
      <c r="M88" s="3">
        <v>13.53797</v>
      </c>
      <c r="N88" s="3">
        <v>10.888239</v>
      </c>
      <c r="O88" s="3">
        <v>11.706657999999999</v>
      </c>
      <c r="P88" s="3">
        <v>12.797098999999999</v>
      </c>
      <c r="Q88" s="3">
        <v>12.183437</v>
      </c>
      <c r="R88" s="3">
        <v>13.020405999999999</v>
      </c>
      <c r="S88" s="3">
        <v>16.334070000000001</v>
      </c>
      <c r="T88" s="3">
        <v>16.694075000000002</v>
      </c>
      <c r="U88" s="3">
        <v>9.4261990000000004</v>
      </c>
      <c r="V88" s="3">
        <v>17.280836000000001</v>
      </c>
      <c r="W88" s="3">
        <v>16.840821999999999</v>
      </c>
      <c r="X88" s="3">
        <v>11.596204999999999</v>
      </c>
      <c r="Y88" s="3">
        <v>14.108606</v>
      </c>
      <c r="Z88" s="3">
        <v>17.467469999999999</v>
      </c>
      <c r="AA88" s="3">
        <v>11.916833</v>
      </c>
      <c r="AB88" s="3">
        <v>10.704636000000001</v>
      </c>
      <c r="AC88" s="3">
        <v>16.898931999999999</v>
      </c>
      <c r="AD88" s="3">
        <v>14.153566</v>
      </c>
      <c r="AE88" s="3">
        <v>17.461853000000001</v>
      </c>
      <c r="AF88" s="3">
        <v>14.580911</v>
      </c>
      <c r="AG88" s="3">
        <v>14.333005999999999</v>
      </c>
      <c r="AH88" s="3">
        <v>17.323917000000002</v>
      </c>
      <c r="AI88" s="3">
        <v>18.201713999999999</v>
      </c>
      <c r="AJ88" s="3">
        <v>12.783018999999999</v>
      </c>
      <c r="AK88" s="3">
        <v>16.261616</v>
      </c>
      <c r="AL88" s="3">
        <v>11.803018</v>
      </c>
      <c r="AM88" s="3">
        <v>9.7252720000000004</v>
      </c>
      <c r="AN88" s="3">
        <v>10.910923</v>
      </c>
      <c r="AO88" s="3">
        <v>10.679478</v>
      </c>
      <c r="AP88" s="3">
        <v>11.523009999999999</v>
      </c>
      <c r="AQ88" s="3">
        <v>12.379295000000001</v>
      </c>
      <c r="AR88" s="3">
        <v>15.06189</v>
      </c>
      <c r="AS88" s="3">
        <v>15.197141999999999</v>
      </c>
      <c r="AT88" s="3">
        <v>12.005896</v>
      </c>
      <c r="AU88" s="3">
        <v>14.498994</v>
      </c>
      <c r="AV88" s="3">
        <v>14.223229</v>
      </c>
      <c r="AW88" s="3">
        <v>11.238110000000001</v>
      </c>
      <c r="AX88" s="3">
        <v>10.134486000000001</v>
      </c>
      <c r="AY88" s="3">
        <v>12.367883000000001</v>
      </c>
      <c r="AZ88" s="3">
        <v>9.7302079999999993</v>
      </c>
      <c r="BA88" s="3">
        <v>12.509518</v>
      </c>
      <c r="BB88" s="3">
        <v>17.925187999999999</v>
      </c>
      <c r="BC88" s="3">
        <v>12.280996</v>
      </c>
      <c r="BD88" s="3">
        <v>13.189626000000001</v>
      </c>
      <c r="BE88" s="3">
        <v>10.953673</v>
      </c>
      <c r="BF88" s="3">
        <v>9.6787609999999997</v>
      </c>
      <c r="BG88" s="3">
        <v>18.140488000000001</v>
      </c>
      <c r="BH88" s="3">
        <v>17.413433000000001</v>
      </c>
      <c r="BI88" s="3">
        <v>15.041385</v>
      </c>
      <c r="BJ88" s="3">
        <v>12.847281000000001</v>
      </c>
      <c r="BK88" s="3">
        <v>10.819163</v>
      </c>
      <c r="BL88" s="3">
        <v>10.960546000000001</v>
      </c>
      <c r="BM88" s="3">
        <v>16.730561999999999</v>
      </c>
      <c r="BN88" s="3">
        <v>12.931630999999999</v>
      </c>
      <c r="BO88" s="3">
        <v>16.738213999999999</v>
      </c>
      <c r="BP88" s="3">
        <v>12.746929</v>
      </c>
      <c r="BQ88" s="3">
        <v>14.189520999999999</v>
      </c>
      <c r="BR88" s="3">
        <v>15.28913</v>
      </c>
      <c r="BS88" s="3">
        <v>10.582655000000001</v>
      </c>
      <c r="BT88" s="3">
        <v>17.984635999999998</v>
      </c>
      <c r="BU88" s="3">
        <v>16.583279000000001</v>
      </c>
      <c r="BV88" s="3">
        <v>10.720243</v>
      </c>
      <c r="BW88" s="3">
        <v>14.696267000000001</v>
      </c>
      <c r="BX88" s="3">
        <v>10.416498000000001</v>
      </c>
      <c r="BY88" s="3">
        <v>11.096128999999999</v>
      </c>
      <c r="BZ88" s="3">
        <v>14.856979000000001</v>
      </c>
      <c r="CA88" s="3">
        <v>11.311461</v>
      </c>
      <c r="CB88" s="3">
        <v>13.394888999999999</v>
      </c>
      <c r="CC88" s="3">
        <v>17.181850000000001</v>
      </c>
      <c r="CD88" s="3">
        <v>13.454433</v>
      </c>
      <c r="CE88" s="3">
        <v>13.402348</v>
      </c>
      <c r="CF88" s="3">
        <v>15.019615999999999</v>
      </c>
      <c r="CG88" s="3">
        <v>16.624328999999999</v>
      </c>
      <c r="CH88" s="3">
        <v>10.167248000000001</v>
      </c>
      <c r="CI88" s="3">
        <v>12.928353</v>
      </c>
      <c r="CJ88" s="3">
        <v>12.099743</v>
      </c>
      <c r="CK88" s="3">
        <v>10.196268</v>
      </c>
      <c r="CL88" s="3">
        <v>15.364223000000001</v>
      </c>
      <c r="CM88" s="3">
        <v>10.719448</v>
      </c>
      <c r="CN88" s="3">
        <v>11.536246</v>
      </c>
      <c r="CO88" s="3">
        <v>13.846833999999999</v>
      </c>
      <c r="CP88" s="3">
        <v>11.371731</v>
      </c>
      <c r="CQ88" s="3">
        <v>13.593267000000001</v>
      </c>
      <c r="CR88" s="3">
        <v>11.652941999999999</v>
      </c>
      <c r="CS88" s="3">
        <v>11.679036</v>
      </c>
      <c r="CT88" s="3">
        <v>13.95509</v>
      </c>
      <c r="CU88" s="3">
        <v>12.57344</v>
      </c>
      <c r="CV88" s="3">
        <v>12.340954</v>
      </c>
      <c r="CW88" s="3">
        <v>12.324533000000001</v>
      </c>
      <c r="CX88" s="3">
        <v>11.534471</v>
      </c>
      <c r="CY88" s="3">
        <v>11.337842</v>
      </c>
      <c r="CZ88" s="3">
        <v>9.6987260000000006</v>
      </c>
      <c r="DA88" s="3">
        <v>13.098990000000001</v>
      </c>
      <c r="DB88" s="3">
        <v>15.758215999999999</v>
      </c>
      <c r="DC88" s="3">
        <v>12.54673</v>
      </c>
      <c r="DD88" s="3">
        <v>11.399725</v>
      </c>
      <c r="DE88" s="3">
        <v>9.4252739999999999</v>
      </c>
      <c r="DF88" s="3">
        <v>17.668371</v>
      </c>
      <c r="DG88" s="3">
        <v>10.962954</v>
      </c>
      <c r="DH88" s="3">
        <v>12.093814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15.237487799999998</v>
      </c>
      <c r="H90" s="3">
        <f>MAX(M90:GJ90)</f>
        <v>18.927886999999998</v>
      </c>
      <c r="I90" s="3">
        <f>MIN(M90:GJ90)</f>
        <v>13.284250999999999</v>
      </c>
      <c r="J90" s="3">
        <f>_xlfn.STDEV.P(M90:GJ90)</f>
        <v>1.0752947615140329</v>
      </c>
      <c r="K90" s="3">
        <f>_xlfn.VAR.S(M90:GJ90)</f>
        <v>1.1679382062015362</v>
      </c>
      <c r="M90" s="3">
        <v>16.310116000000001</v>
      </c>
      <c r="N90" s="3">
        <v>14.117317</v>
      </c>
      <c r="O90" s="3">
        <v>13.487214</v>
      </c>
      <c r="P90" s="3">
        <v>15.539377999999999</v>
      </c>
      <c r="Q90" s="3">
        <v>14.388938</v>
      </c>
      <c r="R90" s="3">
        <v>14.863536</v>
      </c>
      <c r="S90" s="3">
        <v>14.652673999999999</v>
      </c>
      <c r="T90" s="3">
        <v>16.068294999999999</v>
      </c>
      <c r="U90" s="3">
        <v>15.889968</v>
      </c>
      <c r="V90" s="3">
        <v>16.108042000000001</v>
      </c>
      <c r="W90" s="3">
        <v>13.797898</v>
      </c>
      <c r="X90" s="3">
        <v>16.668184</v>
      </c>
      <c r="Y90" s="3">
        <v>15.286042999999999</v>
      </c>
      <c r="Z90" s="3">
        <v>16.373716000000002</v>
      </c>
      <c r="AA90" s="3">
        <v>16.045546999999999</v>
      </c>
      <c r="AB90" s="3">
        <v>16.368832000000001</v>
      </c>
      <c r="AC90" s="3">
        <v>14.91255</v>
      </c>
      <c r="AD90" s="3">
        <v>14.340309</v>
      </c>
      <c r="AE90" s="3">
        <v>14.721617999999999</v>
      </c>
      <c r="AF90" s="3">
        <v>16.536921</v>
      </c>
      <c r="AG90" s="3">
        <v>17.550034</v>
      </c>
      <c r="AH90" s="3">
        <v>15.480843999999999</v>
      </c>
      <c r="AI90" s="3">
        <v>15.01613</v>
      </c>
      <c r="AJ90" s="3">
        <v>13.441989</v>
      </c>
      <c r="AK90" s="3">
        <v>14.535605</v>
      </c>
      <c r="AL90" s="3">
        <v>15.794084</v>
      </c>
      <c r="AM90" s="3">
        <v>14.865504</v>
      </c>
      <c r="AN90" s="3">
        <v>14.779244</v>
      </c>
      <c r="AO90" s="3">
        <v>16.252848</v>
      </c>
      <c r="AP90" s="3">
        <v>14.387824</v>
      </c>
      <c r="AQ90" s="3">
        <v>13.613054999999999</v>
      </c>
      <c r="AR90" s="3">
        <v>16.235734999999998</v>
      </c>
      <c r="AS90" s="3">
        <v>15.502744</v>
      </c>
      <c r="AT90" s="3">
        <v>15.310765999999999</v>
      </c>
      <c r="AU90" s="3">
        <v>14.999593000000001</v>
      </c>
      <c r="AV90" s="3">
        <v>13.809357</v>
      </c>
      <c r="AW90" s="3">
        <v>13.748175</v>
      </c>
      <c r="AX90" s="3">
        <v>16.011393000000002</v>
      </c>
      <c r="AY90" s="3">
        <v>15.344541</v>
      </c>
      <c r="AZ90" s="3">
        <v>14.572186</v>
      </c>
      <c r="BA90" s="3">
        <v>14.503318</v>
      </c>
      <c r="BB90" s="3">
        <v>16.033113</v>
      </c>
      <c r="BC90" s="3">
        <v>17.262333000000002</v>
      </c>
      <c r="BD90" s="3">
        <v>15.300853999999999</v>
      </c>
      <c r="BE90" s="3">
        <v>14.962662999999999</v>
      </c>
      <c r="BF90" s="3">
        <v>13.662307999999999</v>
      </c>
      <c r="BG90" s="3">
        <v>15.013738999999999</v>
      </c>
      <c r="BH90" s="3">
        <v>14.767212000000001</v>
      </c>
      <c r="BI90" s="3">
        <v>14.399139</v>
      </c>
      <c r="BJ90" s="3">
        <v>15.304266</v>
      </c>
      <c r="BK90" s="3">
        <v>16.099184000000001</v>
      </c>
      <c r="BL90" s="3">
        <v>14.729614</v>
      </c>
      <c r="BM90" s="3">
        <v>18.056118000000001</v>
      </c>
      <c r="BN90" s="3">
        <v>15.469652999999999</v>
      </c>
      <c r="BO90" s="3">
        <v>15.453713</v>
      </c>
      <c r="BP90" s="3">
        <v>15.094473000000001</v>
      </c>
      <c r="BQ90" s="3">
        <v>15.137217</v>
      </c>
      <c r="BR90" s="3">
        <v>15.096596999999999</v>
      </c>
      <c r="BS90" s="3">
        <v>16.226262999999999</v>
      </c>
      <c r="BT90" s="3">
        <v>15.854234</v>
      </c>
      <c r="BU90" s="3">
        <v>16.051392</v>
      </c>
      <c r="BV90" s="3">
        <v>18.833586</v>
      </c>
      <c r="BW90" s="3">
        <v>14.578307000000001</v>
      </c>
      <c r="BX90" s="3">
        <v>14.400722999999999</v>
      </c>
      <c r="BY90" s="3">
        <v>15.653884</v>
      </c>
      <c r="BZ90" s="3">
        <v>14.890693000000001</v>
      </c>
      <c r="CA90" s="3">
        <v>16.027132000000002</v>
      </c>
      <c r="CB90" s="3">
        <v>14.365815</v>
      </c>
      <c r="CC90" s="3">
        <v>14.856045</v>
      </c>
      <c r="CD90" s="3">
        <v>15.576893999999999</v>
      </c>
      <c r="CE90" s="3">
        <v>15.243772999999999</v>
      </c>
      <c r="CF90" s="3">
        <v>15.643814000000001</v>
      </c>
      <c r="CG90" s="3">
        <v>15.056172999999999</v>
      </c>
      <c r="CH90" s="3">
        <v>13.662397</v>
      </c>
      <c r="CI90" s="3">
        <v>15.37689</v>
      </c>
      <c r="CJ90" s="3">
        <v>16.233246000000001</v>
      </c>
      <c r="CK90" s="3">
        <v>14.850827000000001</v>
      </c>
      <c r="CL90" s="3">
        <v>13.284250999999999</v>
      </c>
      <c r="CM90" s="3">
        <v>15.098407</v>
      </c>
      <c r="CN90" s="3">
        <v>14.836309</v>
      </c>
      <c r="CO90" s="3">
        <v>15.463160999999999</v>
      </c>
      <c r="CP90" s="3">
        <v>14.243592</v>
      </c>
      <c r="CQ90" s="3">
        <v>15.846653999999999</v>
      </c>
      <c r="CR90" s="3">
        <v>15.874969</v>
      </c>
      <c r="CS90" s="3">
        <v>16.214306000000001</v>
      </c>
      <c r="CT90" s="3">
        <v>14.718779</v>
      </c>
      <c r="CU90" s="3">
        <v>14.165635999999999</v>
      </c>
      <c r="CV90" s="3">
        <v>13.336105</v>
      </c>
      <c r="CW90" s="3">
        <v>16.203302000000001</v>
      </c>
      <c r="CX90" s="3">
        <v>14.516988</v>
      </c>
      <c r="CY90" s="3">
        <v>15.689056000000001</v>
      </c>
      <c r="CZ90" s="3">
        <v>13.672444</v>
      </c>
      <c r="DA90" s="3">
        <v>14.037561999999999</v>
      </c>
      <c r="DB90" s="3">
        <v>15.655089</v>
      </c>
      <c r="DC90" s="3">
        <v>18.927886999999998</v>
      </c>
      <c r="DD90" s="3">
        <v>14.971631</v>
      </c>
      <c r="DE90" s="3">
        <v>15.468356</v>
      </c>
      <c r="DF90" s="3">
        <v>13.982423000000001</v>
      </c>
      <c r="DG90" s="3">
        <v>13.732493</v>
      </c>
      <c r="DH90" s="3">
        <v>16.353031000000001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15.906443320000001</v>
      </c>
      <c r="H92" s="3">
        <f>MAX(M92:GJ92)</f>
        <v>17.872311</v>
      </c>
      <c r="I92" s="3">
        <f>MIN(M92:GJ92)</f>
        <v>13.216226000000001</v>
      </c>
      <c r="J92" s="3">
        <f>_xlfn.STDEV.P(M92:GJ92)</f>
        <v>0.77558197126928974</v>
      </c>
      <c r="K92" s="3">
        <f>_xlfn.VAR.S(M92:GJ92)</f>
        <v>0.60760342844238124</v>
      </c>
      <c r="M92" s="3">
        <v>16.661068</v>
      </c>
      <c r="N92" s="3">
        <v>16.204004000000001</v>
      </c>
      <c r="O92" s="3">
        <v>17.199303</v>
      </c>
      <c r="P92" s="3">
        <v>16.598407999999999</v>
      </c>
      <c r="Q92" s="3">
        <v>16.570488000000001</v>
      </c>
      <c r="R92" s="3">
        <v>16.421887999999999</v>
      </c>
      <c r="S92" s="3">
        <v>16.551656999999999</v>
      </c>
      <c r="T92" s="3">
        <v>15.57194</v>
      </c>
      <c r="U92" s="3">
        <v>16.878212000000001</v>
      </c>
      <c r="V92" s="3">
        <v>15.838611</v>
      </c>
      <c r="W92" s="3">
        <v>15.918571999999999</v>
      </c>
      <c r="X92" s="3">
        <v>16.247118</v>
      </c>
      <c r="Y92" s="3">
        <v>15.922620999999999</v>
      </c>
      <c r="Z92" s="3">
        <v>15.855370000000001</v>
      </c>
      <c r="AA92" s="3">
        <v>16.925076000000001</v>
      </c>
      <c r="AB92" s="3">
        <v>17.048034999999999</v>
      </c>
      <c r="AC92" s="3">
        <v>14.67328</v>
      </c>
      <c r="AD92" s="3">
        <v>17.053592999999999</v>
      </c>
      <c r="AE92" s="3">
        <v>15.285081999999999</v>
      </c>
      <c r="AF92" s="3">
        <v>15.583091</v>
      </c>
      <c r="AG92" s="3">
        <v>15.430400000000001</v>
      </c>
      <c r="AH92" s="3">
        <v>16.549876999999999</v>
      </c>
      <c r="AI92" s="3">
        <v>14.978419000000001</v>
      </c>
      <c r="AJ92" s="3">
        <v>14.368748999999999</v>
      </c>
      <c r="AK92" s="3">
        <v>16.944407000000002</v>
      </c>
      <c r="AL92" s="3">
        <v>15.325875</v>
      </c>
      <c r="AM92" s="3">
        <v>16.064254999999999</v>
      </c>
      <c r="AN92" s="3">
        <v>14.858779999999999</v>
      </c>
      <c r="AO92" s="3">
        <v>14.898320999999999</v>
      </c>
      <c r="AP92" s="3">
        <v>15.833100999999999</v>
      </c>
      <c r="AQ92" s="3">
        <v>16.703233999999998</v>
      </c>
      <c r="AR92" s="3">
        <v>15.948700000000001</v>
      </c>
      <c r="AS92" s="3">
        <v>16.542271</v>
      </c>
      <c r="AT92" s="3">
        <v>15.435631000000001</v>
      </c>
      <c r="AU92" s="3">
        <v>15.66119</v>
      </c>
      <c r="AV92" s="3">
        <v>17.872311</v>
      </c>
      <c r="AW92" s="3">
        <v>15.190913999999999</v>
      </c>
      <c r="AX92" s="3">
        <v>15.35323</v>
      </c>
      <c r="AY92" s="3">
        <v>15.084879000000001</v>
      </c>
      <c r="AZ92" s="3">
        <v>16.829687</v>
      </c>
      <c r="BA92" s="3">
        <v>16.749683000000001</v>
      </c>
      <c r="BB92" s="3">
        <v>15.973229</v>
      </c>
      <c r="BC92" s="3">
        <v>15.517783</v>
      </c>
      <c r="BD92" s="3">
        <v>15.834204</v>
      </c>
      <c r="BE92" s="3">
        <v>15.852669000000001</v>
      </c>
      <c r="BF92" s="3">
        <v>15.011393999999999</v>
      </c>
      <c r="BG92" s="3">
        <v>16.908263999999999</v>
      </c>
      <c r="BH92" s="3">
        <v>15.665248</v>
      </c>
      <c r="BI92" s="3">
        <v>15.132272</v>
      </c>
      <c r="BJ92" s="3">
        <v>16.850373999999999</v>
      </c>
      <c r="BK92" s="3">
        <v>16.537780999999999</v>
      </c>
      <c r="BL92" s="3">
        <v>15.986529000000001</v>
      </c>
      <c r="BM92" s="3">
        <v>13.815488</v>
      </c>
      <c r="BN92" s="3">
        <v>16.790745000000001</v>
      </c>
      <c r="BO92" s="3">
        <v>15.71339</v>
      </c>
      <c r="BP92" s="3">
        <v>16.563171000000001</v>
      </c>
      <c r="BQ92" s="3">
        <v>15.795764999999999</v>
      </c>
      <c r="BR92" s="3">
        <v>16.495657000000001</v>
      </c>
      <c r="BS92" s="3">
        <v>16.368690000000001</v>
      </c>
      <c r="BT92" s="3">
        <v>15.561742000000001</v>
      </c>
      <c r="BU92" s="3">
        <v>16.250931000000001</v>
      </c>
      <c r="BV92" s="3">
        <v>15.751656000000001</v>
      </c>
      <c r="BW92" s="3">
        <v>15.56316</v>
      </c>
      <c r="BX92" s="3">
        <v>15.32985</v>
      </c>
      <c r="BY92" s="3">
        <v>15.288133999999999</v>
      </c>
      <c r="BZ92" s="3">
        <v>17.657532</v>
      </c>
      <c r="CA92" s="3">
        <v>16.505137999999999</v>
      </c>
      <c r="CB92" s="3">
        <v>16.469094999999999</v>
      </c>
      <c r="CC92" s="3">
        <v>15.154992999999999</v>
      </c>
      <c r="CD92" s="3">
        <v>16.211694999999999</v>
      </c>
      <c r="CE92" s="3">
        <v>16.728684999999999</v>
      </c>
      <c r="CF92" s="3">
        <v>16.231414999999998</v>
      </c>
      <c r="CG92" s="3">
        <v>14.671073</v>
      </c>
      <c r="CH92" s="3">
        <v>14.564064</v>
      </c>
      <c r="CI92" s="3">
        <v>15.251692</v>
      </c>
      <c r="CJ92" s="3">
        <v>16.174913</v>
      </c>
      <c r="CK92" s="3">
        <v>15.689162</v>
      </c>
      <c r="CL92" s="3">
        <v>15.034482000000001</v>
      </c>
      <c r="CM92" s="3">
        <v>15.698174</v>
      </c>
      <c r="CN92" s="3">
        <v>16.750937</v>
      </c>
      <c r="CO92" s="3">
        <v>16.123434</v>
      </c>
      <c r="CP92" s="3">
        <v>16.506675999999999</v>
      </c>
      <c r="CQ92" s="3">
        <v>16.116240999999999</v>
      </c>
      <c r="CR92" s="3">
        <v>16.088339000000001</v>
      </c>
      <c r="CS92" s="3">
        <v>15.532823</v>
      </c>
      <c r="CT92" s="3">
        <v>15.564484</v>
      </c>
      <c r="CU92" s="3">
        <v>15.696311</v>
      </c>
      <c r="CV92" s="3">
        <v>15.542166999999999</v>
      </c>
      <c r="CW92" s="3">
        <v>15.676435</v>
      </c>
      <c r="CX92" s="3">
        <v>15.297026000000001</v>
      </c>
      <c r="CY92" s="3">
        <v>16.680257999999998</v>
      </c>
      <c r="CZ92" s="3">
        <v>16.255870999999999</v>
      </c>
      <c r="DA92" s="3">
        <v>15.451694</v>
      </c>
      <c r="DB92" s="3">
        <v>14.970813</v>
      </c>
      <c r="DC92" s="3">
        <v>16.019922000000001</v>
      </c>
      <c r="DD92" s="3">
        <v>15.997339999999999</v>
      </c>
      <c r="DE92" s="3">
        <v>16.078579000000001</v>
      </c>
      <c r="DF92" s="3">
        <v>14.709603</v>
      </c>
      <c r="DG92" s="3">
        <v>13.216226000000001</v>
      </c>
      <c r="DH92" s="3">
        <v>16.137582999999999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15.896767139999998</v>
      </c>
      <c r="H94" s="3">
        <f>MAX(M94:GJ94)</f>
        <v>17.084023999999999</v>
      </c>
      <c r="I94" s="3">
        <f>MIN(M94:GJ94)</f>
        <v>13.823562000000001</v>
      </c>
      <c r="J94" s="3">
        <f>_xlfn.STDEV.P(M94:GJ94)</f>
        <v>0.64965484189395561</v>
      </c>
      <c r="K94" s="3">
        <f>_xlfn.VAR.S(M94:GJ94)</f>
        <v>0.42631455918814187</v>
      </c>
      <c r="M94" s="3">
        <v>16.214468</v>
      </c>
      <c r="N94" s="3">
        <v>15.725312000000001</v>
      </c>
      <c r="O94" s="3">
        <v>15.834884000000001</v>
      </c>
      <c r="P94" s="3">
        <v>15.483592</v>
      </c>
      <c r="Q94" s="3">
        <v>15.612315000000001</v>
      </c>
      <c r="R94" s="3">
        <v>15.933261999999999</v>
      </c>
      <c r="S94" s="3">
        <v>16.459479999999999</v>
      </c>
      <c r="T94" s="3">
        <v>15.177035999999999</v>
      </c>
      <c r="U94" s="3">
        <v>15.154840999999999</v>
      </c>
      <c r="V94" s="3">
        <v>17.018084000000002</v>
      </c>
      <c r="W94" s="3">
        <v>15.913517000000001</v>
      </c>
      <c r="X94" s="3">
        <v>16.116268000000002</v>
      </c>
      <c r="Y94" s="3">
        <v>15.255598000000001</v>
      </c>
      <c r="Z94" s="3">
        <v>16.208894999999998</v>
      </c>
      <c r="AA94" s="3">
        <v>16.374300000000002</v>
      </c>
      <c r="AB94" s="3">
        <v>15.498212000000001</v>
      </c>
      <c r="AC94" s="3">
        <v>15.631156000000001</v>
      </c>
      <c r="AD94" s="3">
        <v>16.020578</v>
      </c>
      <c r="AE94" s="3">
        <v>16.044708</v>
      </c>
      <c r="AF94" s="3">
        <v>16.581205000000001</v>
      </c>
      <c r="AG94" s="3">
        <v>14.8436</v>
      </c>
      <c r="AH94" s="3">
        <v>16.715246</v>
      </c>
      <c r="AI94" s="3">
        <v>16.613164999999999</v>
      </c>
      <c r="AJ94" s="3">
        <v>16.929041000000002</v>
      </c>
      <c r="AK94" s="3">
        <v>15.477964999999999</v>
      </c>
      <c r="AL94" s="3">
        <v>14.696350000000001</v>
      </c>
      <c r="AM94" s="3">
        <v>16.940853000000001</v>
      </c>
      <c r="AN94" s="3">
        <v>15.458189000000001</v>
      </c>
      <c r="AO94" s="3">
        <v>15.470598000000001</v>
      </c>
      <c r="AP94" s="3">
        <v>15.467701</v>
      </c>
      <c r="AQ94" s="3">
        <v>16.346792000000001</v>
      </c>
      <c r="AR94" s="3">
        <v>16.289916999999999</v>
      </c>
      <c r="AS94" s="3">
        <v>17.036072000000001</v>
      </c>
      <c r="AT94" s="3">
        <v>16.083199</v>
      </c>
      <c r="AU94" s="3">
        <v>15.284689</v>
      </c>
      <c r="AV94" s="3">
        <v>16.324152000000002</v>
      </c>
      <c r="AW94" s="3">
        <v>15.018034999999999</v>
      </c>
      <c r="AX94" s="3">
        <v>16.120649</v>
      </c>
      <c r="AY94" s="3">
        <v>15.991384999999999</v>
      </c>
      <c r="AZ94" s="3">
        <v>15.441343</v>
      </c>
      <c r="BA94" s="3">
        <v>14.566338999999999</v>
      </c>
      <c r="BB94" s="3">
        <v>17.084023999999999</v>
      </c>
      <c r="BC94" s="3">
        <v>15.829269</v>
      </c>
      <c r="BD94" s="3">
        <v>16.750879000000001</v>
      </c>
      <c r="BE94" s="3">
        <v>16.183802</v>
      </c>
      <c r="BF94" s="3">
        <v>16.776451000000002</v>
      </c>
      <c r="BG94" s="3">
        <v>16.577504999999999</v>
      </c>
      <c r="BH94" s="3">
        <v>16.085142000000001</v>
      </c>
      <c r="BI94" s="3">
        <v>16.152235000000001</v>
      </c>
      <c r="BJ94" s="3">
        <v>16.220026000000001</v>
      </c>
      <c r="BK94" s="3">
        <v>13.823562000000001</v>
      </c>
      <c r="BL94" s="3">
        <v>15.322680999999999</v>
      </c>
      <c r="BM94" s="3">
        <v>17.010624</v>
      </c>
      <c r="BN94" s="3">
        <v>16.118876</v>
      </c>
      <c r="BO94" s="3">
        <v>14.41563</v>
      </c>
      <c r="BP94" s="3">
        <v>15.075043000000001</v>
      </c>
      <c r="BQ94" s="3">
        <v>16.548597000000001</v>
      </c>
      <c r="BR94" s="3">
        <v>15.580501999999999</v>
      </c>
      <c r="BS94" s="3">
        <v>16.721207</v>
      </c>
      <c r="BT94" s="3">
        <v>15.581797</v>
      </c>
      <c r="BU94" s="3">
        <v>16.056753</v>
      </c>
      <c r="BV94" s="3">
        <v>16.146877</v>
      </c>
      <c r="BW94" s="3">
        <v>15.553070999999999</v>
      </c>
      <c r="BX94" s="3">
        <v>16.145741000000001</v>
      </c>
      <c r="BY94" s="3">
        <v>15.556606</v>
      </c>
      <c r="BZ94" s="3">
        <v>15.011498</v>
      </c>
      <c r="CA94" s="3">
        <v>15.878292</v>
      </c>
      <c r="CB94" s="3">
        <v>16.651194</v>
      </c>
      <c r="CC94" s="3">
        <v>16.327627</v>
      </c>
      <c r="CD94" s="3">
        <v>16.120764000000001</v>
      </c>
      <c r="CE94" s="3">
        <v>16.615787999999998</v>
      </c>
      <c r="CF94" s="3">
        <v>15.880336</v>
      </c>
      <c r="CG94" s="3">
        <v>16.319417999999999</v>
      </c>
      <c r="CH94" s="3">
        <v>16.434170000000002</v>
      </c>
      <c r="CI94" s="3">
        <v>15.329112</v>
      </c>
      <c r="CJ94" s="3">
        <v>15.040736000000001</v>
      </c>
      <c r="CK94" s="3">
        <v>15.342853</v>
      </c>
      <c r="CL94" s="3">
        <v>15.282527999999999</v>
      </c>
      <c r="CM94" s="3">
        <v>15.329238999999999</v>
      </c>
      <c r="CN94" s="3">
        <v>15.052028</v>
      </c>
      <c r="CO94" s="3">
        <v>16.363676000000002</v>
      </c>
      <c r="CP94" s="3">
        <v>16.125907999999999</v>
      </c>
      <c r="CQ94" s="3">
        <v>16.377554</v>
      </c>
      <c r="CR94" s="3">
        <v>16.580052999999999</v>
      </c>
      <c r="CS94" s="3">
        <v>15.923658</v>
      </c>
      <c r="CT94" s="3">
        <v>15.388057</v>
      </c>
      <c r="CU94" s="3">
        <v>15.998583999999999</v>
      </c>
      <c r="CV94" s="3">
        <v>15.533362</v>
      </c>
      <c r="CW94" s="3">
        <v>15.948135000000001</v>
      </c>
      <c r="CX94" s="3">
        <v>15.174037</v>
      </c>
      <c r="CY94" s="3">
        <v>14.195262</v>
      </c>
      <c r="CZ94" s="3">
        <v>15.759835000000001</v>
      </c>
      <c r="DA94" s="3">
        <v>16.013888999999999</v>
      </c>
      <c r="DB94" s="3">
        <v>16.930502000000001</v>
      </c>
      <c r="DC94" s="3">
        <v>16.490836999999999</v>
      </c>
      <c r="DD94" s="3">
        <v>15.678644</v>
      </c>
      <c r="DE94" s="3">
        <v>15.753494</v>
      </c>
      <c r="DF94" s="3">
        <v>15.814042000000001</v>
      </c>
      <c r="DG94" s="3">
        <v>16.276071999999999</v>
      </c>
      <c r="DH94" s="3">
        <v>16.045639000000001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 spans="2:207" x14ac:dyDescent="0.2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</row>
    <row r="96" spans="2:207" x14ac:dyDescent="0.2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2026-03-05T19:39:01Z</dcterms:modified>
</cp:coreProperties>
</file>