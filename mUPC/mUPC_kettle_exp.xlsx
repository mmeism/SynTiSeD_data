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mUPC/"/>
    </mc:Choice>
  </mc:AlternateContent>
  <xr:revisionPtr revIDLastSave="0" documentId="13_ncr:1_{834FB2E4-481A-F34A-9E2D-3A8274E244E7}" xr6:coauthVersionLast="47" xr6:coauthVersionMax="47" xr10:uidLastSave="{00000000-0000-0000-0000-000000000000}"/>
  <bookViews>
    <workbookView xWindow="1900" yWindow="138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1" l="1"/>
  <c r="K47" i="1" l="1"/>
  <c r="J47" i="1"/>
  <c r="I47" i="1"/>
  <c r="H47" i="1"/>
  <c r="G47" i="1"/>
  <c r="F47" i="1"/>
  <c r="K45" i="1"/>
  <c r="J45" i="1"/>
  <c r="I45" i="1"/>
  <c r="H45" i="1"/>
  <c r="G45" i="1"/>
  <c r="F45" i="1"/>
  <c r="K43" i="1"/>
  <c r="J43" i="1"/>
  <c r="I43" i="1"/>
  <c r="H43" i="1"/>
  <c r="G43" i="1"/>
  <c r="F43" i="1"/>
  <c r="K41" i="1"/>
  <c r="J41" i="1"/>
  <c r="I41" i="1"/>
  <c r="H41" i="1"/>
  <c r="G41" i="1"/>
  <c r="F41" i="1"/>
  <c r="K39" i="1"/>
  <c r="J39" i="1"/>
  <c r="I39" i="1"/>
  <c r="H39" i="1"/>
  <c r="G39" i="1"/>
  <c r="F39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K23" i="1"/>
  <c r="J23" i="1"/>
  <c r="I23" i="1"/>
  <c r="H23" i="1"/>
  <c r="G23" i="1"/>
  <c r="F23" i="1"/>
  <c r="K21" i="1"/>
  <c r="J21" i="1"/>
  <c r="I21" i="1"/>
  <c r="H21" i="1"/>
  <c r="G21" i="1"/>
  <c r="F21" i="1"/>
  <c r="K19" i="1"/>
  <c r="J19" i="1"/>
  <c r="I19" i="1"/>
  <c r="H19" i="1"/>
  <c r="G19" i="1"/>
  <c r="F19" i="1"/>
  <c r="K17" i="1"/>
  <c r="J17" i="1"/>
  <c r="I17" i="1"/>
  <c r="H17" i="1"/>
  <c r="G17" i="1"/>
  <c r="F17" i="1"/>
  <c r="K15" i="1"/>
  <c r="J15" i="1"/>
  <c r="I15" i="1"/>
  <c r="H15" i="1"/>
  <c r="F15" i="1"/>
  <c r="G8" i="1" l="1"/>
  <c r="G7" i="1"/>
  <c r="G10" i="1"/>
  <c r="G11" i="1"/>
  <c r="G9" i="1"/>
</calcChain>
</file>

<file path=xl/sharedStrings.xml><?xml version="1.0" encoding="utf-8"?>
<sst xmlns="http://schemas.openxmlformats.org/spreadsheetml/2006/main" count="78" uniqueCount="46">
  <si>
    <t>Konfig:</t>
  </si>
  <si>
    <t>device: kettle</t>
  </si>
  <si>
    <t>NILM Algorithms:</t>
  </si>
  <si>
    <t>Metric</t>
  </si>
  <si>
    <t>Mean</t>
  </si>
  <si>
    <t>Experiments</t>
  </si>
  <si>
    <t>MAE</t>
  </si>
  <si>
    <t>DAE</t>
  </si>
  <si>
    <t>RNN</t>
  </si>
  <si>
    <t>WindowGRU</t>
  </si>
  <si>
    <t>Seq2Seq</t>
  </si>
  <si>
    <t>Seq2Point</t>
  </si>
  <si>
    <t>Max</t>
  </si>
  <si>
    <t>Min</t>
  </si>
  <si>
    <t>Variance</t>
  </si>
  <si>
    <t>Standart deviation</t>
  </si>
  <si>
    <t>für alle Algorithmen stardart NILM settings</t>
  </si>
  <si>
    <t>Number of exp</t>
  </si>
  <si>
    <t>buildings': 8</t>
  </si>
  <si>
    <t>buildings': 11</t>
  </si>
  <si>
    <t>buildings': 17</t>
  </si>
  <si>
    <t>reale Testdaten(hh_08):</t>
  </si>
  <si>
    <t>reale Testdaten(hh_11):</t>
  </si>
  <si>
    <t>reale Testdaten(hh_17):</t>
  </si>
  <si>
    <t>start_time': '2020-01-03'</t>
  </si>
  <si>
    <t>end_time': '2020-01-31'</t>
  </si>
  <si>
    <t>start_time': '2019-12-12'</t>
  </si>
  <si>
    <t>end_time': '2019-12-29'</t>
  </si>
  <si>
    <t>start_time': '2020-01-07'</t>
  </si>
  <si>
    <t>start_time': '2020-01-31'</t>
  </si>
  <si>
    <t>validierung: Validation from training data (15%)</t>
  </si>
  <si>
    <t>train_synth (hh_01):</t>
  </si>
  <si>
    <t>train_synth (hh_04):</t>
  </si>
  <si>
    <t>train_synth (hh_07):</t>
  </si>
  <si>
    <t>train_synth (hh_14):</t>
  </si>
  <si>
    <t>WindowGRU_total</t>
  </si>
  <si>
    <t>Seq2Point_total</t>
  </si>
  <si>
    <t>Seq2Seq_total</t>
  </si>
  <si>
    <t>RNN_total</t>
  </si>
  <si>
    <t>DAE_total</t>
  </si>
  <si>
    <t>start_time': '2024-02-01'</t>
  </si>
  <si>
    <t>end_time': '2024-02-14'</t>
  </si>
  <si>
    <t>train: mUPC_dataset.h5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</si>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</sst>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  <xf numFmtId="164" fontId="0" fillId="0" borderId="0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63"/>
  <sheetViews>
    <sheetView tabSelected="1" workbookViewId="0">
      <selection activeCell="D5" sqref="D5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</v>
      </c>
    </row>
    <row r="3" spans="1:207" x14ac:dyDescent="0.2">
      <c r="A3" t="s">
        <v>42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31</v>
      </c>
      <c r="B4" s="2" t="s">
        <v>40</v>
      </c>
      <c r="C4" s="2" t="s">
        <v>41</v>
      </c>
      <c r="E4" s="2"/>
      <c r="F4" s="2"/>
      <c r="G4" s="2"/>
      <c r="H4" s="2"/>
      <c r="I4" s="2"/>
      <c r="J4" s="2"/>
      <c r="K4" s="2"/>
      <c r="L4" s="2"/>
    </row>
    <row r="5" spans="1:207" x14ac:dyDescent="0.2">
      <c r="A5" t="s">
        <v>32</v>
      </c>
      <c r="B5" s="2" t="s">
        <v>40</v>
      </c>
      <c r="C5" s="2" t="s">
        <v>41</v>
      </c>
      <c r="E5" s="2"/>
      <c r="F5" s="2"/>
      <c r="G5" s="2"/>
      <c r="H5" s="2"/>
      <c r="I5" s="2"/>
      <c r="J5" s="2"/>
      <c r="K5" s="2"/>
      <c r="L5" s="2"/>
    </row>
    <row r="6" spans="1:207" x14ac:dyDescent="0.2">
      <c r="A6" t="s">
        <v>33</v>
      </c>
      <c r="B6" s="2" t="s">
        <v>40</v>
      </c>
      <c r="C6" s="2" t="s">
        <v>41</v>
      </c>
      <c r="E6" s="2"/>
      <c r="F6" s="2"/>
      <c r="G6" s="4" t="s">
        <v>45</v>
      </c>
      <c r="H6" s="2"/>
      <c r="I6" s="2"/>
      <c r="J6" s="2"/>
      <c r="K6" s="2"/>
      <c r="L6" s="2"/>
    </row>
    <row r="7" spans="1:207" x14ac:dyDescent="0.2">
      <c r="A7" t="s">
        <v>34</v>
      </c>
      <c r="B7" s="2" t="s">
        <v>40</v>
      </c>
      <c r="C7" s="2" t="s">
        <v>41</v>
      </c>
      <c r="E7" s="2"/>
      <c r="F7" t="s">
        <v>38</v>
      </c>
      <c r="G7" s="3">
        <f>SUM(G15,G27,G39)/3</f>
        <v>20.135285893333336</v>
      </c>
      <c r="H7" s="3"/>
    </row>
    <row r="8" spans="1:207" x14ac:dyDescent="0.2">
      <c r="A8" t="s">
        <v>43</v>
      </c>
      <c r="E8" s="2"/>
      <c r="F8" t="s">
        <v>35</v>
      </c>
      <c r="G8" s="3">
        <f>SUM(G17,G29,G41)/3</f>
        <v>14.568670976666667</v>
      </c>
      <c r="H8" s="3"/>
    </row>
    <row r="9" spans="1:207" x14ac:dyDescent="0.2">
      <c r="A9" t="s">
        <v>30</v>
      </c>
      <c r="B9" s="2"/>
      <c r="C9" s="2"/>
      <c r="F9" t="s">
        <v>39</v>
      </c>
      <c r="G9" s="3">
        <f>SUM(G19,G31,G43)/3</f>
        <v>19.223524170000005</v>
      </c>
      <c r="H9" s="3"/>
    </row>
    <row r="10" spans="1:207" x14ac:dyDescent="0.2">
      <c r="A10" t="s">
        <v>16</v>
      </c>
      <c r="F10" t="s">
        <v>37</v>
      </c>
      <c r="G10" s="3">
        <f>SUM(G21,G33,G45)/3</f>
        <v>13.980504520000002</v>
      </c>
      <c r="H10" s="3"/>
    </row>
    <row r="11" spans="1:207" x14ac:dyDescent="0.2">
      <c r="F11" t="s">
        <v>36</v>
      </c>
      <c r="G11" s="3">
        <f>SUM(G23,G35,G47)/3</f>
        <v>14.49646113</v>
      </c>
      <c r="H11" s="3"/>
    </row>
    <row r="12" spans="1:207" x14ac:dyDescent="0.2">
      <c r="G12" s="5"/>
      <c r="H12" s="5"/>
    </row>
    <row r="13" spans="1:207" x14ac:dyDescent="0.2">
      <c r="B13" t="s">
        <v>44</v>
      </c>
      <c r="D13" s="1" t="s">
        <v>21</v>
      </c>
    </row>
    <row r="14" spans="1:207" x14ac:dyDescent="0.2">
      <c r="B14" s="2" t="s">
        <v>18</v>
      </c>
      <c r="D14" s="1" t="s">
        <v>2</v>
      </c>
      <c r="E14" s="1" t="s">
        <v>3</v>
      </c>
      <c r="F14" s="1" t="s">
        <v>17</v>
      </c>
      <c r="G14" s="1" t="s">
        <v>4</v>
      </c>
      <c r="H14" s="1" t="s">
        <v>12</v>
      </c>
      <c r="I14" s="1" t="s">
        <v>13</v>
      </c>
      <c r="J14" s="1" t="s">
        <v>15</v>
      </c>
      <c r="K14" s="1" t="s">
        <v>14</v>
      </c>
      <c r="L14" s="1"/>
      <c r="M14" s="1" t="s">
        <v>5</v>
      </c>
    </row>
    <row r="15" spans="1:207" x14ac:dyDescent="0.2">
      <c r="B15" s="2" t="s">
        <v>24</v>
      </c>
      <c r="D15" t="s">
        <v>8</v>
      </c>
      <c r="E15" t="s">
        <v>6</v>
      </c>
      <c r="F15">
        <f>COUNT(M15:GJ15)</f>
        <v>100</v>
      </c>
      <c r="G15" s="3">
        <f>AVERAGE(M15:GJ15)</f>
        <v>37.303887350000004</v>
      </c>
      <c r="H15" s="3">
        <f>MAX(M15:GJ15)</f>
        <v>71.795997999999997</v>
      </c>
      <c r="I15" s="3">
        <f>MIN(M15:GJ15)</f>
        <v>27.695446</v>
      </c>
      <c r="J15" s="3">
        <f>_xlfn.STDEV.P(M15:GJ15)</f>
        <v>6.9302479306997959</v>
      </c>
      <c r="K15" s="3">
        <f>_xlfn.VAR.S(M15:GJ15)</f>
        <v>48.51347109188756</v>
      </c>
      <c r="M15" s="3">
        <v>42.018051</v>
      </c>
      <c r="N15" s="3">
        <v>40.838230000000003</v>
      </c>
      <c r="O15" s="3">
        <v>36.676155000000001</v>
      </c>
      <c r="P15" s="3">
        <v>36.884827000000001</v>
      </c>
      <c r="Q15" s="3">
        <v>40.266277000000002</v>
      </c>
      <c r="R15" s="3">
        <v>41.092312</v>
      </c>
      <c r="S15" s="3">
        <v>33.301364999999997</v>
      </c>
      <c r="T15" s="3">
        <v>37.623013</v>
      </c>
      <c r="U15" s="3">
        <v>40.932045000000002</v>
      </c>
      <c r="V15" s="3">
        <v>34.831778999999997</v>
      </c>
      <c r="W15" s="3">
        <v>43.067126999999999</v>
      </c>
      <c r="X15" s="3">
        <v>42.881698999999998</v>
      </c>
      <c r="Y15" s="3">
        <v>40.181075999999997</v>
      </c>
      <c r="Z15" s="3">
        <v>50.233032000000001</v>
      </c>
      <c r="AA15" s="3">
        <v>40.202495999999996</v>
      </c>
      <c r="AB15" s="3">
        <v>46.177070999999998</v>
      </c>
      <c r="AC15" s="3">
        <v>45.150745000000001</v>
      </c>
      <c r="AD15" s="3">
        <v>40.813454</v>
      </c>
      <c r="AE15" s="3">
        <v>40.258606</v>
      </c>
      <c r="AF15" s="3">
        <v>35.395321000000003</v>
      </c>
      <c r="AG15" s="3">
        <v>53.310893999999998</v>
      </c>
      <c r="AH15" s="3">
        <v>41.366165000000002</v>
      </c>
      <c r="AI15" s="3">
        <v>46.858249999999998</v>
      </c>
      <c r="AJ15" s="3">
        <v>42.432907</v>
      </c>
      <c r="AK15" s="3">
        <v>51.717402999999997</v>
      </c>
      <c r="AL15" s="3">
        <v>34.101204000000003</v>
      </c>
      <c r="AM15" s="3">
        <v>31.539646000000001</v>
      </c>
      <c r="AN15" s="3">
        <v>33.568694999999998</v>
      </c>
      <c r="AO15" s="3">
        <v>33.842227999999999</v>
      </c>
      <c r="AP15" s="3">
        <v>29.397732000000001</v>
      </c>
      <c r="AQ15" s="3">
        <v>33.147216999999998</v>
      </c>
      <c r="AR15" s="3">
        <v>33.897579</v>
      </c>
      <c r="AS15" s="3">
        <v>38.621020999999999</v>
      </c>
      <c r="AT15" s="3">
        <v>32.454124</v>
      </c>
      <c r="AU15" s="3">
        <v>33.175392000000002</v>
      </c>
      <c r="AV15" s="3">
        <v>35.128112999999999</v>
      </c>
      <c r="AW15" s="3">
        <v>30.221526999999998</v>
      </c>
      <c r="AX15" s="3">
        <v>33.615302999999997</v>
      </c>
      <c r="AY15" s="3">
        <v>33.427078000000002</v>
      </c>
      <c r="AZ15" s="3">
        <v>34.116829000000003</v>
      </c>
      <c r="BA15" s="3">
        <v>37.660449999999997</v>
      </c>
      <c r="BB15" s="3">
        <v>38.586295999999997</v>
      </c>
      <c r="BC15" s="3">
        <v>33.601630999999998</v>
      </c>
      <c r="BD15" s="3">
        <v>36.08963</v>
      </c>
      <c r="BE15" s="3">
        <v>39.725422000000002</v>
      </c>
      <c r="BF15" s="3">
        <v>28.233118000000001</v>
      </c>
      <c r="BG15" s="3">
        <v>28.080642999999998</v>
      </c>
      <c r="BH15" s="3">
        <v>32.889709000000003</v>
      </c>
      <c r="BI15" s="3">
        <v>32.746474999999997</v>
      </c>
      <c r="BJ15" s="3">
        <v>29.820876999999999</v>
      </c>
      <c r="BK15" s="3">
        <v>37.662101999999997</v>
      </c>
      <c r="BL15" s="3">
        <v>31.285516999999999</v>
      </c>
      <c r="BM15" s="3">
        <v>32.733939999999997</v>
      </c>
      <c r="BN15" s="3">
        <v>33.393036000000002</v>
      </c>
      <c r="BO15" s="3">
        <v>31.832972000000002</v>
      </c>
      <c r="BP15" s="3">
        <v>31.057525999999999</v>
      </c>
      <c r="BQ15" s="3">
        <v>30.392700000000001</v>
      </c>
      <c r="BR15" s="3">
        <v>30.985050000000001</v>
      </c>
      <c r="BS15" s="3">
        <v>28.888726999999999</v>
      </c>
      <c r="BT15" s="3">
        <v>32.711224000000001</v>
      </c>
      <c r="BU15" s="3">
        <v>30.068472</v>
      </c>
      <c r="BV15" s="3">
        <v>29.780828</v>
      </c>
      <c r="BW15" s="3">
        <v>31.269953000000001</v>
      </c>
      <c r="BX15" s="3">
        <v>31.345381</v>
      </c>
      <c r="BY15" s="3">
        <v>32.6828</v>
      </c>
      <c r="BZ15" s="3">
        <v>30.103162999999999</v>
      </c>
      <c r="CA15" s="3">
        <v>30.229382000000001</v>
      </c>
      <c r="CB15" s="3">
        <v>38.169032999999999</v>
      </c>
      <c r="CC15" s="3">
        <v>35.392921000000001</v>
      </c>
      <c r="CD15" s="3">
        <v>27.695446</v>
      </c>
      <c r="CE15" s="3">
        <v>29.974993000000001</v>
      </c>
      <c r="CF15" s="3">
        <v>30.397493000000001</v>
      </c>
      <c r="CG15" s="3">
        <v>29.21489</v>
      </c>
      <c r="CH15" s="3">
        <v>30.164981999999998</v>
      </c>
      <c r="CI15" s="3">
        <v>29.252110999999999</v>
      </c>
      <c r="CJ15" s="3">
        <v>71.795997999999997</v>
      </c>
      <c r="CK15" s="3">
        <v>45.442089000000003</v>
      </c>
      <c r="CL15" s="3">
        <v>41.160254999999999</v>
      </c>
      <c r="CM15" s="3">
        <v>35.931381000000002</v>
      </c>
      <c r="CN15" s="3">
        <v>35.572997999999998</v>
      </c>
      <c r="CO15" s="3">
        <v>39.129317999999998</v>
      </c>
      <c r="CP15" s="3">
        <v>46.943900999999997</v>
      </c>
      <c r="CQ15" s="3">
        <v>36.974750999999998</v>
      </c>
      <c r="CR15" s="3">
        <v>39.768574000000001</v>
      </c>
      <c r="CS15" s="3">
        <v>33.847918999999997</v>
      </c>
      <c r="CT15" s="3">
        <v>45.093685000000001</v>
      </c>
      <c r="CU15" s="3">
        <v>42.767246</v>
      </c>
      <c r="CV15" s="3">
        <v>38.245418999999998</v>
      </c>
      <c r="CW15" s="3">
        <v>43.514426999999998</v>
      </c>
      <c r="CX15" s="3">
        <v>44.672535000000003</v>
      </c>
      <c r="CY15" s="3">
        <v>42.017811000000002</v>
      </c>
      <c r="CZ15" s="3">
        <v>37.069786000000001</v>
      </c>
      <c r="DA15" s="3">
        <v>55.037242999999997</v>
      </c>
      <c r="DB15" s="3">
        <v>40.579517000000003</v>
      </c>
      <c r="DC15" s="3">
        <v>42.171546999999997</v>
      </c>
      <c r="DD15" s="3">
        <v>43.990279999999998</v>
      </c>
      <c r="DE15" s="3">
        <v>38.267330000000001</v>
      </c>
      <c r="DF15" s="3">
        <v>44.482109000000001</v>
      </c>
      <c r="DG15" s="3">
        <v>32.840102999999999</v>
      </c>
      <c r="DH15" s="3">
        <v>44.189632000000003</v>
      </c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B16" s="2" t="s">
        <v>29</v>
      </c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D17" t="s">
        <v>9</v>
      </c>
      <c r="E17" t="s">
        <v>6</v>
      </c>
      <c r="F17">
        <f>COUNT(M17:GJ17)</f>
        <v>100</v>
      </c>
      <c r="G17" s="3">
        <f>AVERAGE(M17:GJ17)</f>
        <v>24.577330140000004</v>
      </c>
      <c r="H17" s="3">
        <f>MAX(M17:GJ17)</f>
        <v>30.399294000000001</v>
      </c>
      <c r="I17" s="3">
        <f>MIN(M17:GJ17)</f>
        <v>19.755108</v>
      </c>
      <c r="J17" s="3">
        <f>_xlfn.STDEV.P(M17:GJ17)</f>
        <v>2.3201864370925409</v>
      </c>
      <c r="K17" s="3">
        <f>_xlfn.VAR.S(M17:GJ17)</f>
        <v>5.4376415180486655</v>
      </c>
      <c r="M17" s="3">
        <v>25.734566000000001</v>
      </c>
      <c r="N17" s="3">
        <v>23.093792000000001</v>
      </c>
      <c r="O17" s="3">
        <v>23.576903999999999</v>
      </c>
      <c r="P17" s="3">
        <v>24.210778999999999</v>
      </c>
      <c r="Q17" s="3">
        <v>25.637485999999999</v>
      </c>
      <c r="R17" s="3">
        <v>27.594460000000002</v>
      </c>
      <c r="S17" s="3">
        <v>23.156123999999998</v>
      </c>
      <c r="T17" s="3">
        <v>25.581001000000001</v>
      </c>
      <c r="U17" s="3">
        <v>25.934401000000001</v>
      </c>
      <c r="V17" s="3">
        <v>25.491913</v>
      </c>
      <c r="W17" s="3">
        <v>25.414342999999999</v>
      </c>
      <c r="X17" s="3">
        <v>25.150870999999999</v>
      </c>
      <c r="Y17" s="3">
        <v>20.280895000000001</v>
      </c>
      <c r="Z17" s="3">
        <v>25.498217</v>
      </c>
      <c r="AA17" s="3">
        <v>25.206066</v>
      </c>
      <c r="AB17" s="3">
        <v>20.381637999999999</v>
      </c>
      <c r="AC17" s="3">
        <v>25.863371000000001</v>
      </c>
      <c r="AD17" s="3">
        <v>25.361559</v>
      </c>
      <c r="AE17" s="3">
        <v>24.898291</v>
      </c>
      <c r="AF17" s="3">
        <v>25.618095</v>
      </c>
      <c r="AG17" s="3">
        <v>23.34646</v>
      </c>
      <c r="AH17" s="3">
        <v>25.446705000000001</v>
      </c>
      <c r="AI17" s="3">
        <v>24.390612000000001</v>
      </c>
      <c r="AJ17" s="3">
        <v>19.755108</v>
      </c>
      <c r="AK17" s="3">
        <v>25.027355</v>
      </c>
      <c r="AL17" s="3">
        <v>19.947927</v>
      </c>
      <c r="AM17" s="3">
        <v>27.878554999999999</v>
      </c>
      <c r="AN17" s="3">
        <v>25.786042999999999</v>
      </c>
      <c r="AO17" s="3">
        <v>24.283218000000002</v>
      </c>
      <c r="AP17" s="3">
        <v>26.593903000000001</v>
      </c>
      <c r="AQ17" s="3">
        <v>22.542186999999998</v>
      </c>
      <c r="AR17" s="3">
        <v>24.136555000000001</v>
      </c>
      <c r="AS17" s="3">
        <v>23.871624000000001</v>
      </c>
      <c r="AT17" s="3">
        <v>23.021173000000001</v>
      </c>
      <c r="AU17" s="3">
        <v>24.588730000000002</v>
      </c>
      <c r="AV17" s="3">
        <v>21.157368000000002</v>
      </c>
      <c r="AW17" s="3">
        <v>22.820957</v>
      </c>
      <c r="AX17" s="3">
        <v>25.018311000000001</v>
      </c>
      <c r="AY17" s="3">
        <v>24.588986999999999</v>
      </c>
      <c r="AZ17" s="3">
        <v>22.252763999999999</v>
      </c>
      <c r="BA17" s="3">
        <v>26.537137999999999</v>
      </c>
      <c r="BB17" s="3">
        <v>26.291675999999999</v>
      </c>
      <c r="BC17" s="3">
        <v>24.085018000000002</v>
      </c>
      <c r="BD17" s="3">
        <v>27.057234000000001</v>
      </c>
      <c r="BE17" s="3">
        <v>29.389647</v>
      </c>
      <c r="BF17" s="3">
        <v>29.592528999999999</v>
      </c>
      <c r="BG17" s="3">
        <v>22.728888000000001</v>
      </c>
      <c r="BH17" s="3">
        <v>25.520716</v>
      </c>
      <c r="BI17" s="3">
        <v>21.438939999999999</v>
      </c>
      <c r="BJ17" s="3">
        <v>28.144546999999999</v>
      </c>
      <c r="BK17" s="3">
        <v>26.825437999999998</v>
      </c>
      <c r="BL17" s="3">
        <v>22.425681999999998</v>
      </c>
      <c r="BM17" s="3">
        <v>28.201540000000001</v>
      </c>
      <c r="BN17" s="3">
        <v>27.962301</v>
      </c>
      <c r="BO17" s="3">
        <v>25.83905</v>
      </c>
      <c r="BP17" s="3">
        <v>27.930682999999998</v>
      </c>
      <c r="BQ17" s="3">
        <v>23.210712000000001</v>
      </c>
      <c r="BR17" s="3">
        <v>22.983823999999998</v>
      </c>
      <c r="BS17" s="3">
        <v>27.988009999999999</v>
      </c>
      <c r="BT17" s="3">
        <v>27.299703999999998</v>
      </c>
      <c r="BU17" s="3">
        <v>22.734141999999999</v>
      </c>
      <c r="BV17" s="3">
        <v>22.812792000000002</v>
      </c>
      <c r="BW17" s="3">
        <v>20.430796000000001</v>
      </c>
      <c r="BX17" s="3">
        <v>29.052008000000001</v>
      </c>
      <c r="BY17" s="3">
        <v>25.383772</v>
      </c>
      <c r="BZ17" s="3">
        <v>24.848295</v>
      </c>
      <c r="CA17" s="3">
        <v>25.779066</v>
      </c>
      <c r="CB17" s="3">
        <v>24.762487</v>
      </c>
      <c r="CC17" s="3">
        <v>21.476700000000001</v>
      </c>
      <c r="CD17" s="3">
        <v>24.883579000000001</v>
      </c>
      <c r="CE17" s="3">
        <v>26.172834000000002</v>
      </c>
      <c r="CF17" s="3">
        <v>27.225641</v>
      </c>
      <c r="CG17" s="3">
        <v>25.096084999999999</v>
      </c>
      <c r="CH17" s="3">
        <v>22.294294000000001</v>
      </c>
      <c r="CI17" s="3">
        <v>25.009215999999999</v>
      </c>
      <c r="CJ17" s="3">
        <v>27.614063000000002</v>
      </c>
      <c r="CK17" s="3">
        <v>28.112261</v>
      </c>
      <c r="CL17" s="3">
        <v>30.399294000000001</v>
      </c>
      <c r="CM17" s="3">
        <v>23.719494000000001</v>
      </c>
      <c r="CN17" s="3">
        <v>20.708136</v>
      </c>
      <c r="CO17" s="3">
        <v>24.558167000000001</v>
      </c>
      <c r="CP17" s="3">
        <v>23.035440000000001</v>
      </c>
      <c r="CQ17" s="3">
        <v>26.891024000000002</v>
      </c>
      <c r="CR17" s="3">
        <v>21.764275000000001</v>
      </c>
      <c r="CS17" s="3">
        <v>21.757750000000001</v>
      </c>
      <c r="CT17" s="3">
        <v>23.040289000000001</v>
      </c>
      <c r="CU17" s="3">
        <v>23.581980000000001</v>
      </c>
      <c r="CV17" s="3">
        <v>21.828613000000001</v>
      </c>
      <c r="CW17" s="3">
        <v>21.966501000000001</v>
      </c>
      <c r="CX17" s="3">
        <v>21.260028999999999</v>
      </c>
      <c r="CY17" s="3">
        <v>23.343689000000001</v>
      </c>
      <c r="CZ17" s="3">
        <v>21.445152</v>
      </c>
      <c r="DA17" s="3">
        <v>24.663853</v>
      </c>
      <c r="DB17" s="3">
        <v>24.061738999999999</v>
      </c>
      <c r="DC17" s="3">
        <v>24.589001</v>
      </c>
      <c r="DD17" s="3">
        <v>25.268592999999999</v>
      </c>
      <c r="DE17" s="3">
        <v>20.803804</v>
      </c>
      <c r="DF17" s="3">
        <v>23.414670999999998</v>
      </c>
      <c r="DG17" s="3">
        <v>24.000568000000001</v>
      </c>
      <c r="DH17" s="3">
        <v>26.35033</v>
      </c>
      <c r="DI17" s="3"/>
      <c r="DJ17" s="3"/>
      <c r="DK17" s="3"/>
      <c r="DL17" s="3"/>
      <c r="DM17" s="3"/>
      <c r="DO17" s="3"/>
      <c r="DT17" s="3"/>
      <c r="DU17" s="3"/>
      <c r="DX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D19" t="s">
        <v>7</v>
      </c>
      <c r="E19" t="s">
        <v>6</v>
      </c>
      <c r="F19">
        <f>COUNT(M19:GJ19)</f>
        <v>100</v>
      </c>
      <c r="G19" s="3">
        <f>AVERAGE(M19:GJ19)</f>
        <v>31.76702138000001</v>
      </c>
      <c r="H19" s="3">
        <f>MAX(M19:GJ19)</f>
        <v>39.705379000000001</v>
      </c>
      <c r="I19" s="3">
        <f>MIN(M19:GJ19)</f>
        <v>24.770630000000001</v>
      </c>
      <c r="J19" s="3">
        <f>_xlfn.STDEV.P(M19:GJ19)</f>
        <v>3.3071290584346773</v>
      </c>
      <c r="K19" s="3">
        <f>_xlfn.VAR.S(M19:GJ19)</f>
        <v>11.047578393073778</v>
      </c>
      <c r="M19" s="3">
        <v>34.385444999999997</v>
      </c>
      <c r="N19" s="3">
        <v>33.839981000000002</v>
      </c>
      <c r="O19" s="3">
        <v>27.875316999999999</v>
      </c>
      <c r="P19" s="3">
        <v>35.417572</v>
      </c>
      <c r="Q19" s="3">
        <v>36.113449000000003</v>
      </c>
      <c r="R19" s="3">
        <v>29.85857</v>
      </c>
      <c r="S19" s="3">
        <v>34.663398999999998</v>
      </c>
      <c r="T19" s="3">
        <v>31.587254000000001</v>
      </c>
      <c r="U19" s="3">
        <v>28.897337</v>
      </c>
      <c r="V19" s="3">
        <v>34.092567000000003</v>
      </c>
      <c r="W19" s="3">
        <v>34.426540000000003</v>
      </c>
      <c r="X19" s="3">
        <v>35.114142999999999</v>
      </c>
      <c r="Y19" s="3">
        <v>35.411419000000002</v>
      </c>
      <c r="Z19" s="3">
        <v>28.844242000000001</v>
      </c>
      <c r="AA19" s="3">
        <v>32.979599</v>
      </c>
      <c r="AB19" s="3">
        <v>32.049477000000003</v>
      </c>
      <c r="AC19" s="3">
        <v>35.326552999999997</v>
      </c>
      <c r="AD19" s="3">
        <v>32.129105000000003</v>
      </c>
      <c r="AE19" s="3">
        <v>32.047283</v>
      </c>
      <c r="AF19" s="3">
        <v>29.037672000000001</v>
      </c>
      <c r="AG19" s="3">
        <v>33.412277000000003</v>
      </c>
      <c r="AH19" s="3">
        <v>34.864730999999999</v>
      </c>
      <c r="AI19" s="3">
        <v>29.625928999999999</v>
      </c>
      <c r="AJ19" s="3">
        <v>31.922352</v>
      </c>
      <c r="AK19" s="3">
        <v>34.650387000000002</v>
      </c>
      <c r="AL19" s="3">
        <v>25.812408000000001</v>
      </c>
      <c r="AM19" s="3">
        <v>31.351559000000002</v>
      </c>
      <c r="AN19" s="3">
        <v>30.586952</v>
      </c>
      <c r="AO19" s="3">
        <v>33.165908999999999</v>
      </c>
      <c r="AP19" s="3">
        <v>30.062037</v>
      </c>
      <c r="AQ19" s="3">
        <v>39.242317</v>
      </c>
      <c r="AR19" s="3">
        <v>39.456699</v>
      </c>
      <c r="AS19" s="3">
        <v>35.6432</v>
      </c>
      <c r="AT19" s="3">
        <v>29.346143999999999</v>
      </c>
      <c r="AU19" s="3">
        <v>34.229953999999999</v>
      </c>
      <c r="AV19" s="3">
        <v>34.019604000000001</v>
      </c>
      <c r="AW19" s="3">
        <v>27.752115</v>
      </c>
      <c r="AX19" s="3">
        <v>27.423563000000001</v>
      </c>
      <c r="AY19" s="3">
        <v>28.618769</v>
      </c>
      <c r="AZ19" s="3">
        <v>29.412983000000001</v>
      </c>
      <c r="BA19" s="3">
        <v>29.933886000000001</v>
      </c>
      <c r="BB19" s="3">
        <v>31.043341000000002</v>
      </c>
      <c r="BC19" s="3">
        <v>28.294308000000001</v>
      </c>
      <c r="BD19" s="3">
        <v>29.655476</v>
      </c>
      <c r="BE19" s="3">
        <v>28.314744999999998</v>
      </c>
      <c r="BF19" s="3">
        <v>31.061375000000002</v>
      </c>
      <c r="BG19" s="3">
        <v>34.250984000000003</v>
      </c>
      <c r="BH19" s="3">
        <v>37.090201999999998</v>
      </c>
      <c r="BI19" s="3">
        <v>29.599377</v>
      </c>
      <c r="BJ19" s="3">
        <v>39.705379000000001</v>
      </c>
      <c r="BK19" s="3">
        <v>28.854320999999999</v>
      </c>
      <c r="BL19" s="3">
        <v>34.871746000000002</v>
      </c>
      <c r="BM19" s="3">
        <v>35.720641999999998</v>
      </c>
      <c r="BN19" s="3">
        <v>30.657641999999999</v>
      </c>
      <c r="BO19" s="3">
        <v>33.020035</v>
      </c>
      <c r="BP19" s="3">
        <v>27.424858</v>
      </c>
      <c r="BQ19" s="3">
        <v>29.336452000000001</v>
      </c>
      <c r="BR19" s="3">
        <v>27.952383000000001</v>
      </c>
      <c r="BS19" s="3">
        <v>35.513995999999999</v>
      </c>
      <c r="BT19" s="3">
        <v>29.501345000000001</v>
      </c>
      <c r="BU19" s="3">
        <v>33.271949999999997</v>
      </c>
      <c r="BV19" s="3">
        <v>30.372247999999999</v>
      </c>
      <c r="BW19" s="3">
        <v>32.584395999999998</v>
      </c>
      <c r="BX19" s="3">
        <v>30.516241000000001</v>
      </c>
      <c r="BY19" s="3">
        <v>28.518516999999999</v>
      </c>
      <c r="BZ19" s="3">
        <v>29.671028</v>
      </c>
      <c r="CA19" s="3">
        <v>29.026599999999998</v>
      </c>
      <c r="CB19" s="3">
        <v>29.219646000000001</v>
      </c>
      <c r="CC19" s="3">
        <v>31.067644000000001</v>
      </c>
      <c r="CD19" s="3">
        <v>26.423946000000001</v>
      </c>
      <c r="CE19" s="3">
        <v>31.774595000000001</v>
      </c>
      <c r="CF19" s="3">
        <v>38.042847000000002</v>
      </c>
      <c r="CG19" s="3">
        <v>34.925167000000002</v>
      </c>
      <c r="CH19" s="3">
        <v>37.683323000000001</v>
      </c>
      <c r="CI19" s="3">
        <v>31.318075</v>
      </c>
      <c r="CJ19" s="3">
        <v>29.936188000000001</v>
      </c>
      <c r="CK19" s="3">
        <v>34.507205999999996</v>
      </c>
      <c r="CL19" s="3">
        <v>29.836357</v>
      </c>
      <c r="CM19" s="3">
        <v>27.997893999999999</v>
      </c>
      <c r="CN19" s="3">
        <v>29.589507999999999</v>
      </c>
      <c r="CO19" s="3">
        <v>29.257469</v>
      </c>
      <c r="CP19" s="3">
        <v>28.766193000000001</v>
      </c>
      <c r="CQ19" s="3">
        <v>34.674334999999999</v>
      </c>
      <c r="CR19" s="3">
        <v>24.770630000000001</v>
      </c>
      <c r="CS19" s="3">
        <v>31.085455</v>
      </c>
      <c r="CT19" s="3">
        <v>33.524509000000002</v>
      </c>
      <c r="CU19" s="3">
        <v>30.192446</v>
      </c>
      <c r="CV19" s="3">
        <v>30.481794000000001</v>
      </c>
      <c r="CW19" s="3">
        <v>30.419991</v>
      </c>
      <c r="CX19" s="3">
        <v>38.622574</v>
      </c>
      <c r="CY19" s="3">
        <v>29.850982999999999</v>
      </c>
      <c r="CZ19" s="3">
        <v>28.297916000000001</v>
      </c>
      <c r="DA19" s="3">
        <v>34.815570999999998</v>
      </c>
      <c r="DB19" s="3">
        <v>28.538446</v>
      </c>
      <c r="DC19" s="3">
        <v>26.626127</v>
      </c>
      <c r="DD19" s="3">
        <v>35.044978999999998</v>
      </c>
      <c r="DE19" s="3">
        <v>29.366613000000001</v>
      </c>
      <c r="DF19" s="3">
        <v>31.378546</v>
      </c>
      <c r="DG19" s="3">
        <v>39.186340000000001</v>
      </c>
      <c r="DH19" s="3">
        <v>29.018539000000001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G20" s="3"/>
      <c r="H20" s="3"/>
      <c r="I20" s="3"/>
      <c r="J20" s="3"/>
      <c r="K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D21" t="s">
        <v>10</v>
      </c>
      <c r="E21" t="s">
        <v>6</v>
      </c>
      <c r="F21">
        <f>COUNT(M21:GJ21)</f>
        <v>100</v>
      </c>
      <c r="G21" s="3">
        <f>AVERAGE(M21:GJ21)</f>
        <v>22.812678760000004</v>
      </c>
      <c r="H21" s="3">
        <f>MAX(M21:GJ21)</f>
        <v>28.639135</v>
      </c>
      <c r="I21" s="3">
        <f>MIN(M21:GJ21)</f>
        <v>20.173158999999998</v>
      </c>
      <c r="J21" s="3">
        <f>_xlfn.STDEV.P(M21:GJ21)</f>
        <v>1.6173731679374004</v>
      </c>
      <c r="K21" s="3">
        <f>_xlfn.VAR.S(M21:GJ21)</f>
        <v>2.6423191559230932</v>
      </c>
      <c r="M21" s="3">
        <v>22.137543000000001</v>
      </c>
      <c r="N21" s="3">
        <v>22.782962999999999</v>
      </c>
      <c r="O21" s="3">
        <v>23.722899999999999</v>
      </c>
      <c r="P21" s="3">
        <v>23.845396000000001</v>
      </c>
      <c r="Q21" s="3">
        <v>21.386707000000001</v>
      </c>
      <c r="R21" s="3">
        <v>23.490832999999999</v>
      </c>
      <c r="S21" s="3">
        <v>25.426701000000001</v>
      </c>
      <c r="T21" s="3">
        <v>22.354852999999999</v>
      </c>
      <c r="U21" s="3">
        <v>20.862418999999999</v>
      </c>
      <c r="V21" s="3">
        <v>23.318297999999999</v>
      </c>
      <c r="W21" s="3">
        <v>21.521720999999999</v>
      </c>
      <c r="X21" s="3">
        <v>28.152263999999999</v>
      </c>
      <c r="Y21" s="3">
        <v>22.794146999999999</v>
      </c>
      <c r="Z21" s="3">
        <v>22.552129999999998</v>
      </c>
      <c r="AA21" s="3">
        <v>23.045798999999999</v>
      </c>
      <c r="AB21" s="3">
        <v>23.861158</v>
      </c>
      <c r="AC21" s="3">
        <v>22.183516000000001</v>
      </c>
      <c r="AD21" s="3">
        <v>22.421123999999999</v>
      </c>
      <c r="AE21" s="3">
        <v>28.639135</v>
      </c>
      <c r="AF21" s="3">
        <v>20.173158999999998</v>
      </c>
      <c r="AG21" s="3">
        <v>20.199708999999999</v>
      </c>
      <c r="AH21" s="3">
        <v>24.653926999999999</v>
      </c>
      <c r="AI21" s="3">
        <v>22.021822</v>
      </c>
      <c r="AJ21" s="3">
        <v>23.236563</v>
      </c>
      <c r="AK21" s="3">
        <v>20.507494000000001</v>
      </c>
      <c r="AL21" s="3">
        <v>23.604551000000001</v>
      </c>
      <c r="AM21" s="3">
        <v>22.503159</v>
      </c>
      <c r="AN21" s="3">
        <v>22.687918</v>
      </c>
      <c r="AO21" s="3">
        <v>20.509485000000002</v>
      </c>
      <c r="AP21" s="3">
        <v>25.265217</v>
      </c>
      <c r="AQ21" s="3">
        <v>24.630794999999999</v>
      </c>
      <c r="AR21" s="3">
        <v>22.201992000000001</v>
      </c>
      <c r="AS21" s="3">
        <v>23.223065999999999</v>
      </c>
      <c r="AT21" s="3">
        <v>20.548334000000001</v>
      </c>
      <c r="AU21" s="3">
        <v>21.77018</v>
      </c>
      <c r="AV21" s="3">
        <v>23.582691000000001</v>
      </c>
      <c r="AW21" s="3">
        <v>23.256449</v>
      </c>
      <c r="AX21" s="3">
        <v>22.699873</v>
      </c>
      <c r="AY21" s="3">
        <v>22.713706999999999</v>
      </c>
      <c r="AZ21" s="3">
        <v>23.655249000000001</v>
      </c>
      <c r="BA21" s="3">
        <v>21.451414</v>
      </c>
      <c r="BB21" s="3">
        <v>24.695516999999999</v>
      </c>
      <c r="BC21" s="3">
        <v>24.082492999999999</v>
      </c>
      <c r="BD21" s="3">
        <v>23.157059</v>
      </c>
      <c r="BE21" s="3">
        <v>21.950562999999999</v>
      </c>
      <c r="BF21" s="3">
        <v>21.712996</v>
      </c>
      <c r="BG21" s="3">
        <v>23.307711000000001</v>
      </c>
      <c r="BH21" s="3">
        <v>22.524702000000001</v>
      </c>
      <c r="BI21" s="3">
        <v>22.601769999999998</v>
      </c>
      <c r="BJ21" s="3">
        <v>24.307563999999999</v>
      </c>
      <c r="BK21" s="3">
        <v>22.032881</v>
      </c>
      <c r="BL21" s="3">
        <v>21.109860999999999</v>
      </c>
      <c r="BM21" s="3">
        <v>23.605537000000002</v>
      </c>
      <c r="BN21" s="3">
        <v>23.409824</v>
      </c>
      <c r="BO21" s="3">
        <v>21.882104999999999</v>
      </c>
      <c r="BP21" s="3">
        <v>25.551176000000002</v>
      </c>
      <c r="BQ21" s="3">
        <v>22.195108000000001</v>
      </c>
      <c r="BR21" s="3">
        <v>22.347688999999999</v>
      </c>
      <c r="BS21" s="3">
        <v>21.960588000000001</v>
      </c>
      <c r="BT21" s="3">
        <v>24.580705999999999</v>
      </c>
      <c r="BU21" s="3">
        <v>23.533279</v>
      </c>
      <c r="BV21" s="3">
        <v>20.500923</v>
      </c>
      <c r="BW21" s="3">
        <v>23.241485999999998</v>
      </c>
      <c r="BX21" s="3">
        <v>21.388351</v>
      </c>
      <c r="BY21" s="3">
        <v>20.787147999999998</v>
      </c>
      <c r="BZ21" s="3">
        <v>21.592473999999999</v>
      </c>
      <c r="CA21" s="3">
        <v>23.801621999999998</v>
      </c>
      <c r="CB21" s="3">
        <v>20.738733</v>
      </c>
      <c r="CC21" s="3">
        <v>23.979004</v>
      </c>
      <c r="CD21" s="3">
        <v>23.070049000000001</v>
      </c>
      <c r="CE21" s="3">
        <v>24.525845</v>
      </c>
      <c r="CF21" s="3">
        <v>25.114083999999998</v>
      </c>
      <c r="CG21" s="3">
        <v>22.301210000000001</v>
      </c>
      <c r="CH21" s="3">
        <v>26.139033999999999</v>
      </c>
      <c r="CI21" s="3">
        <v>24.366606000000001</v>
      </c>
      <c r="CJ21" s="3">
        <v>22.068739000000001</v>
      </c>
      <c r="CK21" s="3">
        <v>20.577905999999999</v>
      </c>
      <c r="CL21" s="3">
        <v>23.965429</v>
      </c>
      <c r="CM21" s="3">
        <v>22.250484</v>
      </c>
      <c r="CN21" s="3">
        <v>22.703758000000001</v>
      </c>
      <c r="CO21" s="3">
        <v>22.179303999999998</v>
      </c>
      <c r="CP21" s="3">
        <v>21.244827000000001</v>
      </c>
      <c r="CQ21" s="3">
        <v>22.182742999999999</v>
      </c>
      <c r="CR21" s="3">
        <v>20.613748999999999</v>
      </c>
      <c r="CS21" s="3">
        <v>22.405481000000002</v>
      </c>
      <c r="CT21" s="3">
        <v>23.296344999999999</v>
      </c>
      <c r="CU21" s="3">
        <v>22.122395999999998</v>
      </c>
      <c r="CV21" s="3">
        <v>22.804469999999998</v>
      </c>
      <c r="CW21" s="3">
        <v>21.329322999999999</v>
      </c>
      <c r="CX21" s="3">
        <v>24.902501999999998</v>
      </c>
      <c r="CY21" s="3">
        <v>21.643265</v>
      </c>
      <c r="CZ21" s="3">
        <v>26.762309999999999</v>
      </c>
      <c r="DA21" s="3">
        <v>21.066174</v>
      </c>
      <c r="DB21" s="3">
        <v>21.916311</v>
      </c>
      <c r="DC21" s="3">
        <v>21.428436000000001</v>
      </c>
      <c r="DD21" s="3">
        <v>21.963270000000001</v>
      </c>
      <c r="DE21" s="3">
        <v>24.907319999999999</v>
      </c>
      <c r="DF21" s="3">
        <v>20.667079999999999</v>
      </c>
      <c r="DG21" s="3">
        <v>23.977758000000001</v>
      </c>
      <c r="DH21" s="3">
        <v>20.596437000000002</v>
      </c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D23" t="s">
        <v>11</v>
      </c>
      <c r="E23" t="s">
        <v>6</v>
      </c>
      <c r="F23">
        <f>COUNT(M23:GJ23)</f>
        <v>100</v>
      </c>
      <c r="G23" s="3">
        <f>AVERAGE(M23:GJ23)</f>
        <v>24.515129510000005</v>
      </c>
      <c r="H23" s="3">
        <f>MAX(M23:GJ23)</f>
        <v>30.531559000000001</v>
      </c>
      <c r="I23" s="3">
        <f>MIN(M23:GJ23)</f>
        <v>20.074234000000001</v>
      </c>
      <c r="J23" s="3">
        <f>_xlfn.STDEV.P(M23:GJ23)</f>
        <v>2.3341563874668183</v>
      </c>
      <c r="K23" s="3">
        <f>_xlfn.VAR.S(M23:GJ23)</f>
        <v>5.5033192334870185</v>
      </c>
      <c r="M23" s="3">
        <v>26.534195</v>
      </c>
      <c r="N23" s="3">
        <v>23.309124000000001</v>
      </c>
      <c r="O23" s="3">
        <v>25.704895</v>
      </c>
      <c r="P23" s="3">
        <v>22.911885999999999</v>
      </c>
      <c r="Q23" s="3">
        <v>21.927081999999999</v>
      </c>
      <c r="R23" s="3">
        <v>24.258220999999999</v>
      </c>
      <c r="S23" s="3">
        <v>27.819056</v>
      </c>
      <c r="T23" s="3">
        <v>22.258859999999999</v>
      </c>
      <c r="U23" s="3">
        <v>21.983107</v>
      </c>
      <c r="V23" s="3">
        <v>24.859539000000002</v>
      </c>
      <c r="W23" s="3">
        <v>22.472308999999999</v>
      </c>
      <c r="X23" s="3">
        <v>23.93815</v>
      </c>
      <c r="Y23" s="3">
        <v>20.848970000000001</v>
      </c>
      <c r="Z23" s="3">
        <v>21.188306999999998</v>
      </c>
      <c r="AA23" s="3">
        <v>22.571376999999998</v>
      </c>
      <c r="AB23" s="3">
        <v>22.932434000000001</v>
      </c>
      <c r="AC23" s="3">
        <v>27.146805000000001</v>
      </c>
      <c r="AD23" s="3">
        <v>27.047025999999999</v>
      </c>
      <c r="AE23" s="3">
        <v>27.315998</v>
      </c>
      <c r="AF23" s="3">
        <v>20.716346999999999</v>
      </c>
      <c r="AG23" s="3">
        <v>25.463902999999998</v>
      </c>
      <c r="AH23" s="3">
        <v>23.094238000000001</v>
      </c>
      <c r="AI23" s="3">
        <v>23.633911000000001</v>
      </c>
      <c r="AJ23" s="3">
        <v>21.535903999999999</v>
      </c>
      <c r="AK23" s="3">
        <v>23.449276000000001</v>
      </c>
      <c r="AL23" s="3">
        <v>23.072672000000001</v>
      </c>
      <c r="AM23" s="3">
        <v>26.387820999999999</v>
      </c>
      <c r="AN23" s="3">
        <v>26.629946</v>
      </c>
      <c r="AO23" s="3">
        <v>25.845768</v>
      </c>
      <c r="AP23" s="3">
        <v>25.982447000000001</v>
      </c>
      <c r="AQ23" s="3">
        <v>25.603269999999998</v>
      </c>
      <c r="AR23" s="3">
        <v>27.101887000000001</v>
      </c>
      <c r="AS23" s="3">
        <v>22.511011</v>
      </c>
      <c r="AT23" s="3">
        <v>23.285252</v>
      </c>
      <c r="AU23" s="3">
        <v>23.291729</v>
      </c>
      <c r="AV23" s="3">
        <v>24.009025999999999</v>
      </c>
      <c r="AW23" s="3">
        <v>28.087855999999999</v>
      </c>
      <c r="AX23" s="3">
        <v>22.18449</v>
      </c>
      <c r="AY23" s="3">
        <v>27.006308000000001</v>
      </c>
      <c r="AZ23" s="3">
        <v>26.351402</v>
      </c>
      <c r="BA23" s="3">
        <v>24.86504</v>
      </c>
      <c r="BB23" s="3">
        <v>24.757370000000002</v>
      </c>
      <c r="BC23" s="3">
        <v>24.625246000000001</v>
      </c>
      <c r="BD23" s="3">
        <v>24.586468</v>
      </c>
      <c r="BE23" s="3">
        <v>23.692174999999999</v>
      </c>
      <c r="BF23" s="3">
        <v>22.419354999999999</v>
      </c>
      <c r="BG23" s="3">
        <v>24.251377000000002</v>
      </c>
      <c r="BH23" s="3">
        <v>25.633986</v>
      </c>
      <c r="BI23" s="3">
        <v>24.270320999999999</v>
      </c>
      <c r="BJ23" s="3">
        <v>22.692464999999999</v>
      </c>
      <c r="BK23" s="3">
        <v>26.168399999999998</v>
      </c>
      <c r="BL23" s="3">
        <v>24.213077999999999</v>
      </c>
      <c r="BM23" s="3">
        <v>24.792418999999999</v>
      </c>
      <c r="BN23" s="3">
        <v>24.168897999999999</v>
      </c>
      <c r="BO23" s="3">
        <v>24.522957000000002</v>
      </c>
      <c r="BP23" s="3">
        <v>22.147069999999999</v>
      </c>
      <c r="BQ23" s="3">
        <v>25.867743000000001</v>
      </c>
      <c r="BR23" s="3">
        <v>26.029634000000001</v>
      </c>
      <c r="BS23" s="3">
        <v>26.559256000000001</v>
      </c>
      <c r="BT23" s="3">
        <v>30.327235999999999</v>
      </c>
      <c r="BU23" s="3">
        <v>24.533268</v>
      </c>
      <c r="BV23" s="3">
        <v>27.328249</v>
      </c>
      <c r="BW23" s="3">
        <v>28.324196000000001</v>
      </c>
      <c r="BX23" s="3">
        <v>20.704073000000001</v>
      </c>
      <c r="BY23" s="3">
        <v>22.131062</v>
      </c>
      <c r="BZ23" s="3">
        <v>25.022396000000001</v>
      </c>
      <c r="CA23" s="3">
        <v>22.310907</v>
      </c>
      <c r="CB23" s="3">
        <v>28.664566000000001</v>
      </c>
      <c r="CC23" s="3">
        <v>27.847325999999999</v>
      </c>
      <c r="CD23" s="3">
        <v>22.317663</v>
      </c>
      <c r="CE23" s="3">
        <v>21.116339</v>
      </c>
      <c r="CF23" s="3">
        <v>27.924348999999999</v>
      </c>
      <c r="CG23" s="3">
        <v>25.376594999999998</v>
      </c>
      <c r="CH23" s="3">
        <v>20.074234000000001</v>
      </c>
      <c r="CI23" s="3">
        <v>26.968917999999999</v>
      </c>
      <c r="CJ23" s="3">
        <v>22.851472999999999</v>
      </c>
      <c r="CK23" s="3">
        <v>23.554583000000001</v>
      </c>
      <c r="CL23" s="3">
        <v>25.395983000000001</v>
      </c>
      <c r="CM23" s="3">
        <v>25.557466999999999</v>
      </c>
      <c r="CN23" s="3">
        <v>23.011348999999999</v>
      </c>
      <c r="CO23" s="3">
        <v>24.822341999999999</v>
      </c>
      <c r="CP23" s="3">
        <v>24.629664999999999</v>
      </c>
      <c r="CQ23" s="3">
        <v>21.272151999999998</v>
      </c>
      <c r="CR23" s="3">
        <v>24.404249</v>
      </c>
      <c r="CS23" s="3">
        <v>30.531559000000001</v>
      </c>
      <c r="CT23" s="3">
        <v>22.708109</v>
      </c>
      <c r="CU23" s="3">
        <v>29.527922</v>
      </c>
      <c r="CV23" s="3">
        <v>29.331778</v>
      </c>
      <c r="CW23" s="3">
        <v>20.301839999999999</v>
      </c>
      <c r="CX23" s="3">
        <v>21.167335999999999</v>
      </c>
      <c r="CY23" s="3">
        <v>24.720154000000001</v>
      </c>
      <c r="CZ23" s="3">
        <v>27.098789</v>
      </c>
      <c r="DA23" s="3">
        <v>24.586981000000002</v>
      </c>
      <c r="DB23" s="3">
        <v>27.467334999999999</v>
      </c>
      <c r="DC23" s="3">
        <v>21.579253999999999</v>
      </c>
      <c r="DD23" s="3">
        <v>24.033739000000001</v>
      </c>
      <c r="DE23" s="3">
        <v>23.962368000000001</v>
      </c>
      <c r="DF23" s="3">
        <v>23.703769999999999</v>
      </c>
      <c r="DG23" s="3">
        <v>20.953537000000001</v>
      </c>
      <c r="DH23" s="3">
        <v>24.832777</v>
      </c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5" spans="2:207" x14ac:dyDescent="0.2">
      <c r="D25" s="1"/>
    </row>
    <row r="26" spans="2:207" x14ac:dyDescent="0.2">
      <c r="B26" t="s">
        <v>44</v>
      </c>
      <c r="D26" s="1" t="s">
        <v>22</v>
      </c>
    </row>
    <row r="27" spans="2:207" x14ac:dyDescent="0.2">
      <c r="B27" s="2" t="s">
        <v>19</v>
      </c>
      <c r="D27" t="s">
        <v>8</v>
      </c>
      <c r="E27" t="s">
        <v>6</v>
      </c>
      <c r="F27">
        <f>COUNT(M27:GJ27)</f>
        <v>100</v>
      </c>
      <c r="G27" s="3">
        <f>AVERAGE(M27:GJ27)</f>
        <v>11.987138590000004</v>
      </c>
      <c r="H27" s="3">
        <f>MAX(M27:GJ27)</f>
        <v>22.257856</v>
      </c>
      <c r="I27" s="3">
        <f>MIN(M27:GJ27)</f>
        <v>8.2739480000000007</v>
      </c>
      <c r="J27" s="3">
        <f>_xlfn.STDEV.P(M27:GJ27)</f>
        <v>2.5396646677025205</v>
      </c>
      <c r="K27" s="3">
        <f>_xlfn.VAR.S(M27:GJ27)</f>
        <v>6.5150470953298409</v>
      </c>
      <c r="M27" s="3">
        <v>11.587191000000001</v>
      </c>
      <c r="N27" s="3">
        <v>14.627337000000001</v>
      </c>
      <c r="O27" s="3">
        <v>14.318847999999999</v>
      </c>
      <c r="P27" s="3">
        <v>10.803855</v>
      </c>
      <c r="Q27" s="3">
        <v>12.278936</v>
      </c>
      <c r="R27" s="3">
        <v>11.135502000000001</v>
      </c>
      <c r="S27" s="3">
        <v>11.155066</v>
      </c>
      <c r="T27" s="3">
        <v>11.075756999999999</v>
      </c>
      <c r="U27" s="3">
        <v>14.429268</v>
      </c>
      <c r="V27" s="3">
        <v>10.526778999999999</v>
      </c>
      <c r="W27" s="3">
        <v>12.967719000000001</v>
      </c>
      <c r="X27" s="3">
        <v>10.18704</v>
      </c>
      <c r="Y27" s="3">
        <v>13.799467999999999</v>
      </c>
      <c r="Z27" s="3">
        <v>16.502514000000001</v>
      </c>
      <c r="AA27" s="3">
        <v>16.036231999999998</v>
      </c>
      <c r="AB27" s="3">
        <v>14.897141</v>
      </c>
      <c r="AC27" s="3">
        <v>13.993743</v>
      </c>
      <c r="AD27" s="3">
        <v>15.406941</v>
      </c>
      <c r="AE27" s="3">
        <v>10.527922999999999</v>
      </c>
      <c r="AF27" s="3">
        <v>14.870421</v>
      </c>
      <c r="AG27" s="3">
        <v>14.321963999999999</v>
      </c>
      <c r="AH27" s="3">
        <v>13.873199</v>
      </c>
      <c r="AI27" s="3">
        <v>14.874043</v>
      </c>
      <c r="AJ27" s="3">
        <v>14.867188000000001</v>
      </c>
      <c r="AK27" s="3">
        <v>14.062701000000001</v>
      </c>
      <c r="AL27" s="3">
        <v>11.594132999999999</v>
      </c>
      <c r="AM27" s="3">
        <v>11.306896</v>
      </c>
      <c r="AN27" s="3">
        <v>11.945046</v>
      </c>
      <c r="AO27" s="3">
        <v>10.390048999999999</v>
      </c>
      <c r="AP27" s="3">
        <v>10.386196</v>
      </c>
      <c r="AQ27" s="3">
        <v>10.597739000000001</v>
      </c>
      <c r="AR27" s="3">
        <v>11.891138</v>
      </c>
      <c r="AS27" s="3">
        <v>13.117867</v>
      </c>
      <c r="AT27" s="3">
        <v>10.126822000000001</v>
      </c>
      <c r="AU27" s="3">
        <v>10.798933</v>
      </c>
      <c r="AV27" s="3">
        <v>11.606274000000001</v>
      </c>
      <c r="AW27" s="3">
        <v>8.436007</v>
      </c>
      <c r="AX27" s="3">
        <v>12.080636</v>
      </c>
      <c r="AY27" s="3">
        <v>10.67337</v>
      </c>
      <c r="AZ27" s="3">
        <v>9.8532790000000006</v>
      </c>
      <c r="BA27" s="3">
        <v>11.306635999999999</v>
      </c>
      <c r="BB27" s="3">
        <v>10.104639000000001</v>
      </c>
      <c r="BC27" s="3">
        <v>10.013138</v>
      </c>
      <c r="BD27" s="3">
        <v>13.502084999999999</v>
      </c>
      <c r="BE27" s="3">
        <v>14.911225</v>
      </c>
      <c r="BF27" s="3">
        <v>8.8300319999999992</v>
      </c>
      <c r="BG27" s="3">
        <v>8.6216519999999992</v>
      </c>
      <c r="BH27" s="3">
        <v>11.006379000000001</v>
      </c>
      <c r="BI27" s="3">
        <v>11.510420999999999</v>
      </c>
      <c r="BJ27" s="3">
        <v>8.9856630000000006</v>
      </c>
      <c r="BK27" s="3">
        <v>13.014371000000001</v>
      </c>
      <c r="BL27" s="3">
        <v>10.751149</v>
      </c>
      <c r="BM27" s="3">
        <v>10.611568999999999</v>
      </c>
      <c r="BN27" s="3">
        <v>10.236079</v>
      </c>
      <c r="BO27" s="3">
        <v>9.8818710000000003</v>
      </c>
      <c r="BP27" s="3">
        <v>8.3924959999999995</v>
      </c>
      <c r="BQ27" s="3">
        <v>8.6465519999999998</v>
      </c>
      <c r="BR27" s="3">
        <v>10.067608999999999</v>
      </c>
      <c r="BS27" s="3">
        <v>9.0765049999999992</v>
      </c>
      <c r="BT27" s="3">
        <v>12.161629</v>
      </c>
      <c r="BU27" s="3">
        <v>10.557353000000001</v>
      </c>
      <c r="BV27" s="3">
        <v>9.4505870000000005</v>
      </c>
      <c r="BW27" s="3">
        <v>9.2172540000000005</v>
      </c>
      <c r="BX27" s="3">
        <v>9.9458380000000002</v>
      </c>
      <c r="BY27" s="3">
        <v>9.0638319999999997</v>
      </c>
      <c r="BZ27" s="3">
        <v>11.140071000000001</v>
      </c>
      <c r="CA27" s="3">
        <v>9.2213799999999999</v>
      </c>
      <c r="CB27" s="3">
        <v>13.500659000000001</v>
      </c>
      <c r="CC27" s="3">
        <v>12.265214</v>
      </c>
      <c r="CD27" s="3">
        <v>8.2739480000000007</v>
      </c>
      <c r="CE27" s="3">
        <v>8.9823210000000007</v>
      </c>
      <c r="CF27" s="3">
        <v>11.304722</v>
      </c>
      <c r="CG27" s="3">
        <v>9.1585269999999994</v>
      </c>
      <c r="CH27" s="3">
        <v>9.5490460000000006</v>
      </c>
      <c r="CI27" s="3">
        <v>8.9007290000000001</v>
      </c>
      <c r="CJ27" s="3">
        <v>22.257856</v>
      </c>
      <c r="CK27" s="3">
        <v>13.643673</v>
      </c>
      <c r="CL27" s="3">
        <v>18.314444000000002</v>
      </c>
      <c r="CM27" s="3">
        <v>10.308077000000001</v>
      </c>
      <c r="CN27" s="3">
        <v>12.171033</v>
      </c>
      <c r="CO27" s="3">
        <v>11.154757</v>
      </c>
      <c r="CP27" s="3">
        <v>13.410558999999999</v>
      </c>
      <c r="CQ27" s="3">
        <v>13.284656999999999</v>
      </c>
      <c r="CR27" s="3">
        <v>10.707297000000001</v>
      </c>
      <c r="CS27" s="3">
        <v>11.159506</v>
      </c>
      <c r="CT27" s="3">
        <v>14.162651</v>
      </c>
      <c r="CU27" s="3">
        <v>10.957516</v>
      </c>
      <c r="CV27" s="3">
        <v>14.131826999999999</v>
      </c>
      <c r="CW27" s="3">
        <v>15.768317</v>
      </c>
      <c r="CX27" s="3">
        <v>15.234947999999999</v>
      </c>
      <c r="CY27" s="3">
        <v>10.866065000000001</v>
      </c>
      <c r="CZ27" s="3">
        <v>10.998346</v>
      </c>
      <c r="DA27" s="3">
        <v>21.467461</v>
      </c>
      <c r="DB27" s="3">
        <v>12.577992</v>
      </c>
      <c r="DC27" s="3">
        <v>12.577393000000001</v>
      </c>
      <c r="DD27" s="3">
        <v>14.516131</v>
      </c>
      <c r="DE27" s="3">
        <v>12.724396</v>
      </c>
      <c r="DF27" s="3">
        <v>11.975531</v>
      </c>
      <c r="DG27" s="3">
        <v>11.358438</v>
      </c>
      <c r="DH27" s="3">
        <v>12.890646</v>
      </c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26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B29" s="2" t="s">
        <v>27</v>
      </c>
      <c r="D29" t="s">
        <v>9</v>
      </c>
      <c r="E29" t="s">
        <v>6</v>
      </c>
      <c r="F29">
        <f>COUNT(M29:GJ29)</f>
        <v>100</v>
      </c>
      <c r="G29" s="3">
        <f>AVERAGE(M29:GJ29)</f>
        <v>9.1032004999999963</v>
      </c>
      <c r="H29" s="3">
        <f>MAX(M29:GJ29)</f>
        <v>12.422160999999999</v>
      </c>
      <c r="I29" s="3">
        <f>MIN(M29:GJ29)</f>
        <v>5.817304</v>
      </c>
      <c r="J29" s="3">
        <f>_xlfn.STDEV.P(M29:GJ29)</f>
        <v>1.5122267567608676</v>
      </c>
      <c r="K29" s="3">
        <f>_xlfn.VAR.S(M29:GJ29)</f>
        <v>2.3099290544075548</v>
      </c>
      <c r="M29" s="3">
        <v>11.361548000000001</v>
      </c>
      <c r="N29" s="3">
        <v>8.1253539999999997</v>
      </c>
      <c r="O29" s="3">
        <v>9.3902020000000004</v>
      </c>
      <c r="P29" s="3">
        <v>8.5835530000000002</v>
      </c>
      <c r="Q29" s="3">
        <v>8.8151440000000001</v>
      </c>
      <c r="R29" s="3">
        <v>11.991358</v>
      </c>
      <c r="S29" s="3">
        <v>7.1961250000000003</v>
      </c>
      <c r="T29" s="3">
        <v>11.857334</v>
      </c>
      <c r="U29" s="3">
        <v>10.519575</v>
      </c>
      <c r="V29" s="3">
        <v>11.386870999999999</v>
      </c>
      <c r="W29" s="3">
        <v>10.237586</v>
      </c>
      <c r="X29" s="3">
        <v>11.3566</v>
      </c>
      <c r="Y29" s="3">
        <v>6.1419689999999996</v>
      </c>
      <c r="Z29" s="3">
        <v>12.171469999999999</v>
      </c>
      <c r="AA29" s="3">
        <v>9.3637149999999991</v>
      </c>
      <c r="AB29" s="3">
        <v>7.143802</v>
      </c>
      <c r="AC29" s="3">
        <v>8.8677799999999998</v>
      </c>
      <c r="AD29" s="3">
        <v>8.4774250000000002</v>
      </c>
      <c r="AE29" s="3">
        <v>11.308890999999999</v>
      </c>
      <c r="AF29" s="3">
        <v>12.406041</v>
      </c>
      <c r="AG29" s="3">
        <v>8.3745220000000007</v>
      </c>
      <c r="AH29" s="3">
        <v>8.7804990000000007</v>
      </c>
      <c r="AI29" s="3">
        <v>8.4784980000000001</v>
      </c>
      <c r="AJ29" s="3">
        <v>7.0715519999999996</v>
      </c>
      <c r="AK29" s="3">
        <v>8.5591849999999994</v>
      </c>
      <c r="AL29" s="3">
        <v>7.0745170000000002</v>
      </c>
      <c r="AM29" s="3">
        <v>7.4926000000000004</v>
      </c>
      <c r="AN29" s="3">
        <v>7.656377</v>
      </c>
      <c r="AO29" s="3">
        <v>10.492279999999999</v>
      </c>
      <c r="AP29" s="3">
        <v>9.7631189999999997</v>
      </c>
      <c r="AQ29" s="3">
        <v>7.6697689999999996</v>
      </c>
      <c r="AR29" s="3">
        <v>8.0839479999999995</v>
      </c>
      <c r="AS29" s="3">
        <v>8.6359670000000008</v>
      </c>
      <c r="AT29" s="3">
        <v>6.9126320000000003</v>
      </c>
      <c r="AU29" s="3">
        <v>7.3068249999999999</v>
      </c>
      <c r="AV29" s="3">
        <v>8.5959289999999999</v>
      </c>
      <c r="AW29" s="3">
        <v>8.0617260000000002</v>
      </c>
      <c r="AX29" s="3">
        <v>9.2453330000000005</v>
      </c>
      <c r="AY29" s="3">
        <v>9.8467629999999993</v>
      </c>
      <c r="AZ29" s="3">
        <v>8.5412929999999996</v>
      </c>
      <c r="BA29" s="3">
        <v>9.6301850000000009</v>
      </c>
      <c r="BB29" s="3">
        <v>8.7470020000000002</v>
      </c>
      <c r="BC29" s="3">
        <v>8.9378419999999998</v>
      </c>
      <c r="BD29" s="3">
        <v>10.157708</v>
      </c>
      <c r="BE29" s="3">
        <v>12.338725999999999</v>
      </c>
      <c r="BF29" s="3">
        <v>11.018314999999999</v>
      </c>
      <c r="BG29" s="3">
        <v>7.7487269999999997</v>
      </c>
      <c r="BH29" s="3">
        <v>9.888598</v>
      </c>
      <c r="BI29" s="3">
        <v>6.9005320000000001</v>
      </c>
      <c r="BJ29" s="3">
        <v>10.645286</v>
      </c>
      <c r="BK29" s="3">
        <v>10.236511</v>
      </c>
      <c r="BL29" s="3">
        <v>8.8409180000000003</v>
      </c>
      <c r="BM29" s="3">
        <v>12.422160999999999</v>
      </c>
      <c r="BN29" s="3">
        <v>11.930127000000001</v>
      </c>
      <c r="BO29" s="3">
        <v>8.4541520000000006</v>
      </c>
      <c r="BP29" s="3">
        <v>9.1070519999999995</v>
      </c>
      <c r="BQ29" s="3">
        <v>8.1505989999999997</v>
      </c>
      <c r="BR29" s="3">
        <v>7.486904</v>
      </c>
      <c r="BS29" s="3">
        <v>10.286727000000001</v>
      </c>
      <c r="BT29" s="3">
        <v>9.0176540000000003</v>
      </c>
      <c r="BU29" s="3">
        <v>8.339912</v>
      </c>
      <c r="BV29" s="3">
        <v>9.2020549999999997</v>
      </c>
      <c r="BW29" s="3">
        <v>5.817304</v>
      </c>
      <c r="BX29" s="3">
        <v>11.288735000000001</v>
      </c>
      <c r="BY29" s="3">
        <v>9.6881260000000005</v>
      </c>
      <c r="BZ29" s="3">
        <v>10.473668999999999</v>
      </c>
      <c r="CA29" s="3">
        <v>8.6511999999999993</v>
      </c>
      <c r="CB29" s="3">
        <v>9.5756890000000006</v>
      </c>
      <c r="CC29" s="3">
        <v>6.6935099999999998</v>
      </c>
      <c r="CD29" s="3">
        <v>9.3735780000000002</v>
      </c>
      <c r="CE29" s="3">
        <v>10.662285000000001</v>
      </c>
      <c r="CF29" s="3">
        <v>7.3296580000000002</v>
      </c>
      <c r="CG29" s="3">
        <v>8.3947090000000006</v>
      </c>
      <c r="CH29" s="3">
        <v>7.4710450000000002</v>
      </c>
      <c r="CI29" s="3">
        <v>8.7206630000000001</v>
      </c>
      <c r="CJ29" s="3">
        <v>11.046758000000001</v>
      </c>
      <c r="CK29" s="3">
        <v>8.4159100000000002</v>
      </c>
      <c r="CL29" s="3">
        <v>8.8582699999999992</v>
      </c>
      <c r="CM29" s="3">
        <v>9.667643</v>
      </c>
      <c r="CN29" s="3">
        <v>7.0491479999999997</v>
      </c>
      <c r="CO29" s="3">
        <v>8.9853079999999999</v>
      </c>
      <c r="CP29" s="3">
        <v>9.8878360000000001</v>
      </c>
      <c r="CQ29" s="3">
        <v>10.550440999999999</v>
      </c>
      <c r="CR29" s="3">
        <v>8.2460070000000005</v>
      </c>
      <c r="CS29" s="3">
        <v>7.4132800000000003</v>
      </c>
      <c r="CT29" s="3">
        <v>9.147824</v>
      </c>
      <c r="CU29" s="3">
        <v>9.3647570000000009</v>
      </c>
      <c r="CV29" s="3">
        <v>7.8530660000000001</v>
      </c>
      <c r="CW29" s="3">
        <v>7.7414610000000001</v>
      </c>
      <c r="CX29" s="3">
        <v>8.0242249999999995</v>
      </c>
      <c r="CY29" s="3">
        <v>8.4975310000000004</v>
      </c>
      <c r="CZ29" s="3">
        <v>7.3652040000000003</v>
      </c>
      <c r="DA29" s="3">
        <v>8.7951879999999996</v>
      </c>
      <c r="DB29" s="3">
        <v>10.058248000000001</v>
      </c>
      <c r="DC29" s="3">
        <v>11.080463999999999</v>
      </c>
      <c r="DD29" s="3">
        <v>9.8091889999999999</v>
      </c>
      <c r="DE29" s="3">
        <v>6.8805779999999999</v>
      </c>
      <c r="DF29" s="3">
        <v>10.262866000000001</v>
      </c>
      <c r="DG29" s="3">
        <v>8.4720479999999991</v>
      </c>
      <c r="DH29" s="3">
        <v>9.8732589999999991</v>
      </c>
      <c r="DI29" s="3"/>
      <c r="DJ29" s="3"/>
      <c r="DK29" s="3"/>
      <c r="DL29" s="3"/>
      <c r="DM29" s="3"/>
      <c r="DO29" s="3"/>
      <c r="DT29" s="3"/>
      <c r="DU29" s="3"/>
      <c r="DX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D31" t="s">
        <v>7</v>
      </c>
      <c r="E31" t="s">
        <v>6</v>
      </c>
      <c r="F31">
        <f>COUNT(M31:GJ31)</f>
        <v>100</v>
      </c>
      <c r="G31" s="3">
        <f>AVERAGE(M31:GJ31)</f>
        <v>12.194454880000002</v>
      </c>
      <c r="H31" s="3">
        <f>MAX(M31:GJ31)</f>
        <v>16.552710000000001</v>
      </c>
      <c r="I31" s="3">
        <f>MIN(M31:GJ31)</f>
        <v>9.2465790000000005</v>
      </c>
      <c r="J31" s="3">
        <f>_xlfn.STDEV.P(M31:GJ31)</f>
        <v>1.46215310350185</v>
      </c>
      <c r="K31" s="3">
        <f>_xlfn.VAR.S(M31:GJ31)</f>
        <v>2.1594865637172473</v>
      </c>
      <c r="M31" s="3">
        <v>14.776318</v>
      </c>
      <c r="N31" s="3">
        <v>16.552710000000001</v>
      </c>
      <c r="O31" s="3">
        <v>11.892358</v>
      </c>
      <c r="P31" s="3">
        <v>11.714931</v>
      </c>
      <c r="Q31" s="3">
        <v>13.629222</v>
      </c>
      <c r="R31" s="3">
        <v>13.118174</v>
      </c>
      <c r="S31" s="3">
        <v>11.74672</v>
      </c>
      <c r="T31" s="3">
        <v>13.711458</v>
      </c>
      <c r="U31" s="3">
        <v>11.448475999999999</v>
      </c>
      <c r="V31" s="3">
        <v>13.503769</v>
      </c>
      <c r="W31" s="3">
        <v>13.453709</v>
      </c>
      <c r="X31" s="3">
        <v>12.112603</v>
      </c>
      <c r="Y31" s="3">
        <v>13.767562</v>
      </c>
      <c r="Z31" s="3">
        <v>10.882175</v>
      </c>
      <c r="AA31" s="3">
        <v>13.323214999999999</v>
      </c>
      <c r="AB31" s="3">
        <v>11.900664000000001</v>
      </c>
      <c r="AC31" s="3">
        <v>12.617817000000001</v>
      </c>
      <c r="AD31" s="3">
        <v>9.8577309999999994</v>
      </c>
      <c r="AE31" s="3">
        <v>10.897778000000001</v>
      </c>
      <c r="AF31" s="3">
        <v>11.826559</v>
      </c>
      <c r="AG31" s="3">
        <v>12.522634999999999</v>
      </c>
      <c r="AH31" s="3">
        <v>12.377015999999999</v>
      </c>
      <c r="AI31" s="3">
        <v>9.6371409999999997</v>
      </c>
      <c r="AJ31" s="3">
        <v>15.197084</v>
      </c>
      <c r="AK31" s="3">
        <v>13.827221</v>
      </c>
      <c r="AL31" s="3">
        <v>10.030398999999999</v>
      </c>
      <c r="AM31" s="3">
        <v>13.331080999999999</v>
      </c>
      <c r="AN31" s="3">
        <v>11.339021000000001</v>
      </c>
      <c r="AO31" s="3">
        <v>13.956480000000001</v>
      </c>
      <c r="AP31" s="3">
        <v>13.749442</v>
      </c>
      <c r="AQ31" s="3">
        <v>14.355650000000001</v>
      </c>
      <c r="AR31" s="3">
        <v>11.73968</v>
      </c>
      <c r="AS31" s="3">
        <v>14.849703999999999</v>
      </c>
      <c r="AT31" s="3">
        <v>9.5746199999999995</v>
      </c>
      <c r="AU31" s="3">
        <v>13.182498000000001</v>
      </c>
      <c r="AV31" s="3">
        <v>11.925433999999999</v>
      </c>
      <c r="AW31" s="3">
        <v>9.803267</v>
      </c>
      <c r="AX31" s="3">
        <v>12.116723</v>
      </c>
      <c r="AY31" s="3">
        <v>13.037037</v>
      </c>
      <c r="AZ31" s="3">
        <v>12.542121</v>
      </c>
      <c r="BA31" s="3">
        <v>11.592739</v>
      </c>
      <c r="BB31" s="3">
        <v>12.055884000000001</v>
      </c>
      <c r="BC31" s="3">
        <v>9.9936050000000005</v>
      </c>
      <c r="BD31" s="3">
        <v>11.33051</v>
      </c>
      <c r="BE31" s="3">
        <v>10.666902</v>
      </c>
      <c r="BF31" s="3">
        <v>12.163383</v>
      </c>
      <c r="BG31" s="3">
        <v>12.506421</v>
      </c>
      <c r="BH31" s="3">
        <v>11.617379</v>
      </c>
      <c r="BI31" s="3">
        <v>12.656934</v>
      </c>
      <c r="BJ31" s="3">
        <v>15.032273999999999</v>
      </c>
      <c r="BK31" s="3">
        <v>10.219079000000001</v>
      </c>
      <c r="BL31" s="3">
        <v>13.148501</v>
      </c>
      <c r="BM31" s="3">
        <v>11.726542999999999</v>
      </c>
      <c r="BN31" s="3">
        <v>11.895320999999999</v>
      </c>
      <c r="BO31" s="3">
        <v>13.129683999999999</v>
      </c>
      <c r="BP31" s="3">
        <v>10.858109000000001</v>
      </c>
      <c r="BQ31" s="3">
        <v>10.350229000000001</v>
      </c>
      <c r="BR31" s="3">
        <v>10.726126000000001</v>
      </c>
      <c r="BS31" s="3">
        <v>13.142111999999999</v>
      </c>
      <c r="BT31" s="3">
        <v>11.634646</v>
      </c>
      <c r="BU31" s="3">
        <v>13.098704</v>
      </c>
      <c r="BV31" s="3">
        <v>12.048333</v>
      </c>
      <c r="BW31" s="3">
        <v>13.011226000000001</v>
      </c>
      <c r="BX31" s="3">
        <v>13.348998</v>
      </c>
      <c r="BY31" s="3">
        <v>10.47705</v>
      </c>
      <c r="BZ31" s="3">
        <v>13.362353000000001</v>
      </c>
      <c r="CA31" s="3">
        <v>11.685784999999999</v>
      </c>
      <c r="CB31" s="3">
        <v>10.370476999999999</v>
      </c>
      <c r="CC31" s="3">
        <v>10.136225</v>
      </c>
      <c r="CD31" s="3">
        <v>9.2465790000000005</v>
      </c>
      <c r="CE31" s="3">
        <v>11.938796</v>
      </c>
      <c r="CF31" s="3">
        <v>12.71795</v>
      </c>
      <c r="CG31" s="3">
        <v>12.324828</v>
      </c>
      <c r="CH31" s="3">
        <v>15.776692000000001</v>
      </c>
      <c r="CI31" s="3">
        <v>11.683312000000001</v>
      </c>
      <c r="CJ31" s="3">
        <v>11.593946000000001</v>
      </c>
      <c r="CK31" s="3">
        <v>14.26858</v>
      </c>
      <c r="CL31" s="3">
        <v>12.348717000000001</v>
      </c>
      <c r="CM31" s="3">
        <v>10.450105000000001</v>
      </c>
      <c r="CN31" s="3">
        <v>12.608718</v>
      </c>
      <c r="CO31" s="3">
        <v>9.5256410000000002</v>
      </c>
      <c r="CP31" s="3">
        <v>9.6436550000000008</v>
      </c>
      <c r="CQ31" s="3">
        <v>11.695429000000001</v>
      </c>
      <c r="CR31" s="3">
        <v>11.597511000000001</v>
      </c>
      <c r="CS31" s="3">
        <v>12.025157</v>
      </c>
      <c r="CT31" s="3">
        <v>13.733912</v>
      </c>
      <c r="CU31" s="3">
        <v>10.617186999999999</v>
      </c>
      <c r="CV31" s="3">
        <v>12.165436</v>
      </c>
      <c r="CW31" s="3">
        <v>13.075882</v>
      </c>
      <c r="CX31" s="3">
        <v>13.269469000000001</v>
      </c>
      <c r="CY31" s="3">
        <v>13.227293</v>
      </c>
      <c r="CZ31" s="3">
        <v>11.547145</v>
      </c>
      <c r="DA31" s="3">
        <v>12.565295000000001</v>
      </c>
      <c r="DB31" s="3">
        <v>11.044354</v>
      </c>
      <c r="DC31" s="3">
        <v>10.134427000000001</v>
      </c>
      <c r="DD31" s="3">
        <v>11.828751</v>
      </c>
      <c r="DE31" s="3">
        <v>13.89818</v>
      </c>
      <c r="DF31" s="3">
        <v>12.328792</v>
      </c>
      <c r="DG31" s="3">
        <v>12.922022999999999</v>
      </c>
      <c r="DH31" s="3">
        <v>11.827991000000001</v>
      </c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D33" t="s">
        <v>10</v>
      </c>
      <c r="E33" t="s">
        <v>6</v>
      </c>
      <c r="F33">
        <f>COUNT(M33:GJ33)</f>
        <v>100</v>
      </c>
      <c r="G33" s="3">
        <f>AVERAGE(M33:GJ33)</f>
        <v>9.3326107099999973</v>
      </c>
      <c r="H33" s="3">
        <f>MAX(M33:GJ33)</f>
        <v>12.576924</v>
      </c>
      <c r="I33" s="3">
        <f>MIN(M33:GJ33)</f>
        <v>7.0995860000000004</v>
      </c>
      <c r="J33" s="3">
        <f>_xlfn.STDEV.P(M33:GJ33)</f>
        <v>1.0620068154498012</v>
      </c>
      <c r="K33" s="3">
        <f>_xlfn.VAR.S(M33:GJ33)</f>
        <v>1.1392509859210391</v>
      </c>
      <c r="M33" s="3">
        <v>8.6685300000000005</v>
      </c>
      <c r="N33" s="3">
        <v>9.2698909999999994</v>
      </c>
      <c r="O33" s="3">
        <v>10.244714</v>
      </c>
      <c r="P33" s="3">
        <v>10.539838</v>
      </c>
      <c r="Q33" s="3">
        <v>9.2965660000000003</v>
      </c>
      <c r="R33" s="3">
        <v>8.8612769999999994</v>
      </c>
      <c r="S33" s="3">
        <v>10.44031</v>
      </c>
      <c r="T33" s="3">
        <v>10.253458999999999</v>
      </c>
      <c r="U33" s="3">
        <v>8.6213949999999997</v>
      </c>
      <c r="V33" s="3">
        <v>9.6789500000000004</v>
      </c>
      <c r="W33" s="3">
        <v>10.501302000000001</v>
      </c>
      <c r="X33" s="3">
        <v>11.185344000000001</v>
      </c>
      <c r="Y33" s="3">
        <v>8.4966530000000002</v>
      </c>
      <c r="Z33" s="3">
        <v>9.9783010000000001</v>
      </c>
      <c r="AA33" s="3">
        <v>9.2598199999999995</v>
      </c>
      <c r="AB33" s="3">
        <v>10.042479999999999</v>
      </c>
      <c r="AC33" s="3">
        <v>11.416116000000001</v>
      </c>
      <c r="AD33" s="3">
        <v>7.5770780000000002</v>
      </c>
      <c r="AE33" s="3">
        <v>11.677797</v>
      </c>
      <c r="AF33" s="3">
        <v>7.5541200000000002</v>
      </c>
      <c r="AG33" s="3">
        <v>7.0995860000000004</v>
      </c>
      <c r="AH33" s="3">
        <v>10.133448</v>
      </c>
      <c r="AI33" s="3">
        <v>8.5788639999999994</v>
      </c>
      <c r="AJ33" s="3">
        <v>9.8500099999999993</v>
      </c>
      <c r="AK33" s="3">
        <v>8.3847129999999996</v>
      </c>
      <c r="AL33" s="3">
        <v>8.4737039999999997</v>
      </c>
      <c r="AM33" s="3">
        <v>9.0776389999999996</v>
      </c>
      <c r="AN33" s="3">
        <v>8.3675669999999993</v>
      </c>
      <c r="AO33" s="3">
        <v>7.8364250000000002</v>
      </c>
      <c r="AP33" s="3">
        <v>10.382671999999999</v>
      </c>
      <c r="AQ33" s="3">
        <v>9.8139629999999993</v>
      </c>
      <c r="AR33" s="3">
        <v>10.379432</v>
      </c>
      <c r="AS33" s="3">
        <v>9.1085370000000001</v>
      </c>
      <c r="AT33" s="3">
        <v>8.5082159999999991</v>
      </c>
      <c r="AU33" s="3">
        <v>9.1954849999999997</v>
      </c>
      <c r="AV33" s="3">
        <v>10.284198999999999</v>
      </c>
      <c r="AW33" s="3">
        <v>10.792335</v>
      </c>
      <c r="AX33" s="3">
        <v>9.0342249999999993</v>
      </c>
      <c r="AY33" s="3">
        <v>10.573473</v>
      </c>
      <c r="AZ33" s="3">
        <v>9.3379349999999999</v>
      </c>
      <c r="BA33" s="3">
        <v>8.4841390000000008</v>
      </c>
      <c r="BB33" s="3">
        <v>8.6788299999999996</v>
      </c>
      <c r="BC33" s="3">
        <v>9.6108799999999999</v>
      </c>
      <c r="BD33" s="3">
        <v>10.435255</v>
      </c>
      <c r="BE33" s="3">
        <v>9.4219019999999993</v>
      </c>
      <c r="BF33" s="3">
        <v>8.2985340000000001</v>
      </c>
      <c r="BG33" s="3">
        <v>11.625677</v>
      </c>
      <c r="BH33" s="3">
        <v>10.133542</v>
      </c>
      <c r="BI33" s="3">
        <v>8.8700349999999997</v>
      </c>
      <c r="BJ33" s="3">
        <v>10.112385</v>
      </c>
      <c r="BK33" s="3">
        <v>8.7684300000000004</v>
      </c>
      <c r="BL33" s="3">
        <v>7.8716049999999997</v>
      </c>
      <c r="BM33" s="3">
        <v>10.101462</v>
      </c>
      <c r="BN33" s="3">
        <v>8.9958980000000004</v>
      </c>
      <c r="BO33" s="3">
        <v>9.5043380000000006</v>
      </c>
      <c r="BP33" s="3">
        <v>10.083786</v>
      </c>
      <c r="BQ33" s="3">
        <v>9.7615029999999994</v>
      </c>
      <c r="BR33" s="3">
        <v>8.4227179999999997</v>
      </c>
      <c r="BS33" s="3">
        <v>9.3818920000000006</v>
      </c>
      <c r="BT33" s="3">
        <v>8.3927270000000007</v>
      </c>
      <c r="BU33" s="3">
        <v>9.1403210000000001</v>
      </c>
      <c r="BV33" s="3">
        <v>8.9125209999999999</v>
      </c>
      <c r="BW33" s="3">
        <v>7.6744149999999998</v>
      </c>
      <c r="BX33" s="3">
        <v>8.0986700000000003</v>
      </c>
      <c r="BY33" s="3">
        <v>8.6922449999999998</v>
      </c>
      <c r="BZ33" s="3">
        <v>8.9356570000000008</v>
      </c>
      <c r="CA33" s="3">
        <v>8.842841</v>
      </c>
      <c r="CB33" s="3">
        <v>8.0799669999999999</v>
      </c>
      <c r="CC33" s="3">
        <v>9.9116250000000008</v>
      </c>
      <c r="CD33" s="3">
        <v>9.5488710000000001</v>
      </c>
      <c r="CE33" s="3">
        <v>9.1208779999999994</v>
      </c>
      <c r="CF33" s="3">
        <v>10.519278999999999</v>
      </c>
      <c r="CG33" s="3">
        <v>7.8136979999999996</v>
      </c>
      <c r="CH33" s="3">
        <v>9.9100819999999992</v>
      </c>
      <c r="CI33" s="3">
        <v>9.7569020000000002</v>
      </c>
      <c r="CJ33" s="3">
        <v>7.7148849999999998</v>
      </c>
      <c r="CK33" s="3">
        <v>9.2891019999999997</v>
      </c>
      <c r="CL33" s="3">
        <v>11.047744</v>
      </c>
      <c r="CM33" s="3">
        <v>10.845305</v>
      </c>
      <c r="CN33" s="3">
        <v>9.9044480000000004</v>
      </c>
      <c r="CO33" s="3">
        <v>7.6917679999999997</v>
      </c>
      <c r="CP33" s="3">
        <v>12.576924</v>
      </c>
      <c r="CQ33" s="3">
        <v>10.341514999999999</v>
      </c>
      <c r="CR33" s="3">
        <v>9.8594469999999994</v>
      </c>
      <c r="CS33" s="3">
        <v>8.7467570000000006</v>
      </c>
      <c r="CT33" s="3">
        <v>9.7490699999999997</v>
      </c>
      <c r="CU33" s="3">
        <v>11.123881000000001</v>
      </c>
      <c r="CV33" s="3">
        <v>7.8313620000000004</v>
      </c>
      <c r="CW33" s="3">
        <v>8.3280910000000006</v>
      </c>
      <c r="CX33" s="3">
        <v>9.2084109999999999</v>
      </c>
      <c r="CY33" s="3">
        <v>7.6964110000000003</v>
      </c>
      <c r="CZ33" s="3">
        <v>9.2587840000000003</v>
      </c>
      <c r="DA33" s="3">
        <v>8.4346449999999997</v>
      </c>
      <c r="DB33" s="3">
        <v>8.7632899999999996</v>
      </c>
      <c r="DC33" s="3">
        <v>8.7281490000000002</v>
      </c>
      <c r="DD33" s="3">
        <v>9.5112170000000003</v>
      </c>
      <c r="DE33" s="3">
        <v>10.594594000000001</v>
      </c>
      <c r="DF33" s="3">
        <v>8.6976650000000006</v>
      </c>
      <c r="DG33" s="3">
        <v>8.1425099999999997</v>
      </c>
      <c r="DH33" s="3">
        <v>8.4852170000000005</v>
      </c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D35" t="s">
        <v>11</v>
      </c>
      <c r="E35" t="s">
        <v>6</v>
      </c>
      <c r="F35">
        <f>COUNT(M35:GJ35)</f>
        <v>100</v>
      </c>
      <c r="G35" s="3">
        <f>AVERAGE(M35:GJ35)</f>
        <v>9.3317901099999965</v>
      </c>
      <c r="H35" s="3">
        <f>MAX(M35:GJ35)</f>
        <v>13.272128</v>
      </c>
      <c r="I35" s="3">
        <f>MIN(M35:GJ35)</f>
        <v>7.3423069999999999</v>
      </c>
      <c r="J35" s="3">
        <f>_xlfn.STDEV.P(M35:GJ35)</f>
        <v>1.1426001769474283</v>
      </c>
      <c r="K35" s="3">
        <f>_xlfn.VAR.S(M35:GJ35)</f>
        <v>1.3187223882427261</v>
      </c>
      <c r="M35" s="3">
        <v>8.1627759999999991</v>
      </c>
      <c r="N35" s="3">
        <v>8.2743470000000006</v>
      </c>
      <c r="O35" s="3">
        <v>9.3096840000000007</v>
      </c>
      <c r="P35" s="3">
        <v>8.9559219999999993</v>
      </c>
      <c r="Q35" s="3">
        <v>8.3822740000000007</v>
      </c>
      <c r="R35" s="3">
        <v>8.8407119999999999</v>
      </c>
      <c r="S35" s="3">
        <v>12.185533</v>
      </c>
      <c r="T35" s="3">
        <v>8.1586010000000009</v>
      </c>
      <c r="U35" s="3">
        <v>8.9620429999999995</v>
      </c>
      <c r="V35" s="3">
        <v>9.5407259999999994</v>
      </c>
      <c r="W35" s="3">
        <v>8.6145700000000005</v>
      </c>
      <c r="X35" s="3">
        <v>10.036298</v>
      </c>
      <c r="Y35" s="3">
        <v>8.2289100000000008</v>
      </c>
      <c r="Z35" s="3">
        <v>7.9133089999999999</v>
      </c>
      <c r="AA35" s="3">
        <v>8.5216100000000008</v>
      </c>
      <c r="AB35" s="3">
        <v>9.2269279999999991</v>
      </c>
      <c r="AC35" s="3">
        <v>9.1482840000000003</v>
      </c>
      <c r="AD35" s="3">
        <v>10.260533000000001</v>
      </c>
      <c r="AE35" s="3">
        <v>9.0969359999999995</v>
      </c>
      <c r="AF35" s="3">
        <v>8.2316870000000009</v>
      </c>
      <c r="AG35" s="3">
        <v>9.0058170000000004</v>
      </c>
      <c r="AH35" s="3">
        <v>9.4432329999999993</v>
      </c>
      <c r="AI35" s="3">
        <v>8.2946410000000004</v>
      </c>
      <c r="AJ35" s="3">
        <v>9.8256139999999998</v>
      </c>
      <c r="AK35" s="3">
        <v>10.162373000000001</v>
      </c>
      <c r="AL35" s="3">
        <v>7.5978430000000001</v>
      </c>
      <c r="AM35" s="3">
        <v>8.6729179999999992</v>
      </c>
      <c r="AN35" s="3">
        <v>9.6334289999999996</v>
      </c>
      <c r="AO35" s="3">
        <v>9.8999629999999996</v>
      </c>
      <c r="AP35" s="3">
        <v>11.231583000000001</v>
      </c>
      <c r="AQ35" s="3">
        <v>9.8332669999999993</v>
      </c>
      <c r="AR35" s="3">
        <v>12.391066</v>
      </c>
      <c r="AS35" s="3">
        <v>8.6203070000000004</v>
      </c>
      <c r="AT35" s="3">
        <v>9.0625929999999997</v>
      </c>
      <c r="AU35" s="3">
        <v>8.9823690000000003</v>
      </c>
      <c r="AV35" s="3">
        <v>9.4169420000000006</v>
      </c>
      <c r="AW35" s="3">
        <v>11.055097</v>
      </c>
      <c r="AX35" s="3">
        <v>9.1834559999999996</v>
      </c>
      <c r="AY35" s="3">
        <v>10.734171999999999</v>
      </c>
      <c r="AZ35" s="3">
        <v>9.5260979999999993</v>
      </c>
      <c r="BA35" s="3">
        <v>9.5082319999999996</v>
      </c>
      <c r="BB35" s="3">
        <v>10.109221</v>
      </c>
      <c r="BC35" s="3">
        <v>9.4398809999999997</v>
      </c>
      <c r="BD35" s="3">
        <v>9.6457899999999999</v>
      </c>
      <c r="BE35" s="3">
        <v>7.6061639999999997</v>
      </c>
      <c r="BF35" s="3">
        <v>8.7690180000000009</v>
      </c>
      <c r="BG35" s="3">
        <v>9.3833400000000005</v>
      </c>
      <c r="BH35" s="3">
        <v>10.266787000000001</v>
      </c>
      <c r="BI35" s="3">
        <v>9.8228810000000006</v>
      </c>
      <c r="BJ35" s="3">
        <v>8.0324869999999997</v>
      </c>
      <c r="BK35" s="3">
        <v>10.201028000000001</v>
      </c>
      <c r="BL35" s="3">
        <v>9.6958260000000003</v>
      </c>
      <c r="BM35" s="3">
        <v>11.816314999999999</v>
      </c>
      <c r="BN35" s="3">
        <v>8.2672659999999993</v>
      </c>
      <c r="BO35" s="3">
        <v>8.6998339999999992</v>
      </c>
      <c r="BP35" s="3">
        <v>8.4622530000000005</v>
      </c>
      <c r="BQ35" s="3">
        <v>8.9122869999999992</v>
      </c>
      <c r="BR35" s="3">
        <v>9.5095080000000003</v>
      </c>
      <c r="BS35" s="3">
        <v>8.6850620000000003</v>
      </c>
      <c r="BT35" s="3">
        <v>11.040984</v>
      </c>
      <c r="BU35" s="3">
        <v>9.824605</v>
      </c>
      <c r="BV35" s="3">
        <v>11.548260000000001</v>
      </c>
      <c r="BW35" s="3">
        <v>9.3494189999999993</v>
      </c>
      <c r="BX35" s="3">
        <v>8.6392179999999996</v>
      </c>
      <c r="BY35" s="3">
        <v>7.8310709999999997</v>
      </c>
      <c r="BZ35" s="3">
        <v>9.2305499999999991</v>
      </c>
      <c r="CA35" s="3">
        <v>8.2540680000000002</v>
      </c>
      <c r="CB35" s="3">
        <v>10.88433</v>
      </c>
      <c r="CC35" s="3">
        <v>9.5938940000000006</v>
      </c>
      <c r="CD35" s="3">
        <v>10.280723999999999</v>
      </c>
      <c r="CE35" s="3">
        <v>7.3423069999999999</v>
      </c>
      <c r="CF35" s="3">
        <v>9.1081099999999999</v>
      </c>
      <c r="CG35" s="3">
        <v>8.5796089999999996</v>
      </c>
      <c r="CH35" s="3">
        <v>7.7656809999999998</v>
      </c>
      <c r="CI35" s="3">
        <v>11.605108</v>
      </c>
      <c r="CJ35" s="3">
        <v>10.395289999999999</v>
      </c>
      <c r="CK35" s="3">
        <v>8.8947319999999994</v>
      </c>
      <c r="CL35" s="3">
        <v>9.6578440000000008</v>
      </c>
      <c r="CM35" s="3">
        <v>9.6715490000000006</v>
      </c>
      <c r="CN35" s="3">
        <v>9.120514</v>
      </c>
      <c r="CO35" s="3">
        <v>10.456436999999999</v>
      </c>
      <c r="CP35" s="3">
        <v>7.6927079999999997</v>
      </c>
      <c r="CQ35" s="3">
        <v>8.5430340000000005</v>
      </c>
      <c r="CR35" s="3">
        <v>9.4166589999999992</v>
      </c>
      <c r="CS35" s="3">
        <v>13.272128</v>
      </c>
      <c r="CT35" s="3">
        <v>9.1405100000000008</v>
      </c>
      <c r="CU35" s="3">
        <v>10.713528999999999</v>
      </c>
      <c r="CV35" s="3">
        <v>8.6698079999999997</v>
      </c>
      <c r="CW35" s="3">
        <v>8.2269419999999993</v>
      </c>
      <c r="CX35" s="3">
        <v>9.2552249999999994</v>
      </c>
      <c r="CY35" s="3">
        <v>8.6113119999999999</v>
      </c>
      <c r="CZ35" s="3">
        <v>11.566820999999999</v>
      </c>
      <c r="DA35" s="3">
        <v>9.72241</v>
      </c>
      <c r="DB35" s="3">
        <v>8.0549339999999994</v>
      </c>
      <c r="DC35" s="3">
        <v>8.2402829999999998</v>
      </c>
      <c r="DD35" s="3">
        <v>8.7545839999999995</v>
      </c>
      <c r="DE35" s="3">
        <v>8.0410120000000003</v>
      </c>
      <c r="DF35" s="3">
        <v>8.4157989999999998</v>
      </c>
      <c r="DG35" s="3">
        <v>7.7341119999999997</v>
      </c>
      <c r="DH35" s="3">
        <v>10.575253</v>
      </c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8" spans="2:207" x14ac:dyDescent="0.2">
      <c r="B38" t="s">
        <v>44</v>
      </c>
      <c r="D38" s="1" t="s">
        <v>23</v>
      </c>
    </row>
    <row r="39" spans="2:207" x14ac:dyDescent="0.2">
      <c r="B39" s="2" t="s">
        <v>20</v>
      </c>
      <c r="D39" t="s">
        <v>8</v>
      </c>
      <c r="E39" t="s">
        <v>6</v>
      </c>
      <c r="F39">
        <f>COUNT(M39:GJ39)</f>
        <v>100</v>
      </c>
      <c r="G39" s="3">
        <f>AVERAGE(M39:GJ39)</f>
        <v>11.114831739999994</v>
      </c>
      <c r="H39" s="3">
        <f>MAX(M39:GJ39)</f>
        <v>22.566465000000001</v>
      </c>
      <c r="I39" s="3">
        <f>MIN(M39:GJ39)</f>
        <v>7.6701759999999997</v>
      </c>
      <c r="J39" s="3">
        <f>_xlfn.STDEV.P(M39:GJ39)</f>
        <v>2.7388118882356993</v>
      </c>
      <c r="K39" s="3">
        <f>_xlfn.VAR.S(M39:GJ39)</f>
        <v>7.5768591506476701</v>
      </c>
      <c r="M39" s="3">
        <v>10.904470999999999</v>
      </c>
      <c r="N39" s="3">
        <v>12.97911</v>
      </c>
      <c r="O39" s="3">
        <v>12.453250000000001</v>
      </c>
      <c r="P39" s="3">
        <v>10.114055</v>
      </c>
      <c r="Q39" s="3">
        <v>10.425454</v>
      </c>
      <c r="R39" s="3">
        <v>10.488863</v>
      </c>
      <c r="S39" s="3">
        <v>9.7528140000000008</v>
      </c>
      <c r="T39" s="3">
        <v>9.074973</v>
      </c>
      <c r="U39" s="3">
        <v>14.642798000000001</v>
      </c>
      <c r="V39" s="3">
        <v>9.6912450000000003</v>
      </c>
      <c r="W39" s="3">
        <v>12.839786999999999</v>
      </c>
      <c r="X39" s="3">
        <v>9.5016940000000005</v>
      </c>
      <c r="Y39" s="3">
        <v>13.436558</v>
      </c>
      <c r="Z39" s="3">
        <v>16.843094000000001</v>
      </c>
      <c r="AA39" s="3">
        <v>13.978346999999999</v>
      </c>
      <c r="AB39" s="3">
        <v>14.558915000000001</v>
      </c>
      <c r="AC39" s="3">
        <v>14.153152</v>
      </c>
      <c r="AD39" s="3">
        <v>13.960845000000001</v>
      </c>
      <c r="AE39" s="3">
        <v>9.9369739999999993</v>
      </c>
      <c r="AF39" s="3">
        <v>13.920871</v>
      </c>
      <c r="AG39" s="3">
        <v>14.831982999999999</v>
      </c>
      <c r="AH39" s="3">
        <v>13.072544000000001</v>
      </c>
      <c r="AI39" s="3">
        <v>15.877435999999999</v>
      </c>
      <c r="AJ39" s="3">
        <v>14.153399</v>
      </c>
      <c r="AK39" s="3">
        <v>13.145331000000001</v>
      </c>
      <c r="AL39" s="3">
        <v>8.5985569999999996</v>
      </c>
      <c r="AM39" s="3">
        <v>9.8436020000000006</v>
      </c>
      <c r="AN39" s="3">
        <v>10.603432</v>
      </c>
      <c r="AO39" s="3">
        <v>9.4778000000000002</v>
      </c>
      <c r="AP39" s="3">
        <v>8.6295940000000009</v>
      </c>
      <c r="AQ39" s="3">
        <v>9.6347260000000006</v>
      </c>
      <c r="AR39" s="3">
        <v>12.093893</v>
      </c>
      <c r="AS39" s="3">
        <v>10.179244000000001</v>
      </c>
      <c r="AT39" s="3">
        <v>9.0087010000000003</v>
      </c>
      <c r="AU39" s="3">
        <v>9.9297590000000007</v>
      </c>
      <c r="AV39" s="3">
        <v>10.771739</v>
      </c>
      <c r="AW39" s="3">
        <v>8.1945929999999993</v>
      </c>
      <c r="AX39" s="3">
        <v>9.2683649999999993</v>
      </c>
      <c r="AY39" s="3">
        <v>10.045173</v>
      </c>
      <c r="AZ39" s="3">
        <v>10.115815</v>
      </c>
      <c r="BA39" s="3">
        <v>9.8693299999999997</v>
      </c>
      <c r="BB39" s="3">
        <v>9.876315</v>
      </c>
      <c r="BC39" s="3">
        <v>9.8663959999999999</v>
      </c>
      <c r="BD39" s="3">
        <v>11.866154999999999</v>
      </c>
      <c r="BE39" s="3">
        <v>13.018985000000001</v>
      </c>
      <c r="BF39" s="3">
        <v>8.0066369999999996</v>
      </c>
      <c r="BG39" s="3">
        <v>7.6701759999999997</v>
      </c>
      <c r="BH39" s="3">
        <v>8.9514139999999998</v>
      </c>
      <c r="BI39" s="3">
        <v>9.6400939999999995</v>
      </c>
      <c r="BJ39" s="3">
        <v>8.1904409999999999</v>
      </c>
      <c r="BK39" s="3">
        <v>11.806639000000001</v>
      </c>
      <c r="BL39" s="3">
        <v>10.482054</v>
      </c>
      <c r="BM39" s="3">
        <v>9.4836670000000005</v>
      </c>
      <c r="BN39" s="3">
        <v>10.208624</v>
      </c>
      <c r="BO39" s="3">
        <v>8.6820850000000007</v>
      </c>
      <c r="BP39" s="3">
        <v>8.739376</v>
      </c>
      <c r="BQ39" s="3">
        <v>8.2532510000000006</v>
      </c>
      <c r="BR39" s="3">
        <v>8.9264569999999992</v>
      </c>
      <c r="BS39" s="3">
        <v>8.1680569999999992</v>
      </c>
      <c r="BT39" s="3">
        <v>10.945835000000001</v>
      </c>
      <c r="BU39" s="3">
        <v>7.9871460000000001</v>
      </c>
      <c r="BV39" s="3">
        <v>8.5970960000000005</v>
      </c>
      <c r="BW39" s="3">
        <v>8.2261039999999994</v>
      </c>
      <c r="BX39" s="3">
        <v>8.6510929999999995</v>
      </c>
      <c r="BY39" s="3">
        <v>8.3194850000000002</v>
      </c>
      <c r="BZ39" s="3">
        <v>9.7328130000000002</v>
      </c>
      <c r="CA39" s="3">
        <v>8.1904610000000009</v>
      </c>
      <c r="CB39" s="3">
        <v>12.190681</v>
      </c>
      <c r="CC39" s="3">
        <v>11.507915000000001</v>
      </c>
      <c r="CD39" s="3">
        <v>8.2272890000000007</v>
      </c>
      <c r="CE39" s="3">
        <v>8.9889749999999999</v>
      </c>
      <c r="CF39" s="3">
        <v>9.8175000000000008</v>
      </c>
      <c r="CG39" s="3">
        <v>7.849113</v>
      </c>
      <c r="CH39" s="3">
        <v>8.6417450000000002</v>
      </c>
      <c r="CI39" s="3">
        <v>8.1088000000000005</v>
      </c>
      <c r="CJ39" s="3">
        <v>21.859192</v>
      </c>
      <c r="CK39" s="3">
        <v>14.161497000000001</v>
      </c>
      <c r="CL39" s="3">
        <v>16.105924999999999</v>
      </c>
      <c r="CM39" s="3">
        <v>10.003715</v>
      </c>
      <c r="CN39" s="3">
        <v>11.35042</v>
      </c>
      <c r="CO39" s="3">
        <v>10.011084</v>
      </c>
      <c r="CP39" s="3">
        <v>13.710666</v>
      </c>
      <c r="CQ39" s="3">
        <v>12.209428000000001</v>
      </c>
      <c r="CR39" s="3">
        <v>10.601167</v>
      </c>
      <c r="CS39" s="3">
        <v>9.9011379999999996</v>
      </c>
      <c r="CT39" s="3">
        <v>15.184260999999999</v>
      </c>
      <c r="CU39" s="3">
        <v>10.772079</v>
      </c>
      <c r="CV39" s="3">
        <v>12.590221</v>
      </c>
      <c r="CW39" s="3">
        <v>16.293997000000001</v>
      </c>
      <c r="CX39" s="3">
        <v>13.96522</v>
      </c>
      <c r="CY39" s="3">
        <v>10.615299</v>
      </c>
      <c r="CZ39" s="3">
        <v>10.588725</v>
      </c>
      <c r="DA39" s="3">
        <v>22.566465000000001</v>
      </c>
      <c r="DB39" s="3">
        <v>10.417453</v>
      </c>
      <c r="DC39" s="3">
        <v>11.984800999999999</v>
      </c>
      <c r="DD39" s="3">
        <v>14.164154999999999</v>
      </c>
      <c r="DE39" s="3">
        <v>11.165188000000001</v>
      </c>
      <c r="DF39" s="3">
        <v>11.306006</v>
      </c>
      <c r="DG39" s="3">
        <v>9.0077610000000004</v>
      </c>
      <c r="DH39" s="3">
        <v>12.126151</v>
      </c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28</v>
      </c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B41" s="2" t="s">
        <v>25</v>
      </c>
      <c r="D41" t="s">
        <v>9</v>
      </c>
      <c r="E41" t="s">
        <v>6</v>
      </c>
      <c r="F41">
        <f>COUNT(M41:GJ41)</f>
        <v>100</v>
      </c>
      <c r="G41" s="3">
        <f>AVERAGE(M41:GJ41)</f>
        <v>10.025482289999998</v>
      </c>
      <c r="H41" s="3">
        <f>MAX(M41:GJ41)</f>
        <v>13.076779999999999</v>
      </c>
      <c r="I41" s="3">
        <f>MIN(M41:GJ41)</f>
        <v>7.1018460000000001</v>
      </c>
      <c r="J41" s="3">
        <f>_xlfn.STDEV.P(M41:GJ41)</f>
        <v>1.3169556892617194</v>
      </c>
      <c r="K41" s="3">
        <f>_xlfn.VAR.S(M41:GJ41)</f>
        <v>1.7518911994735538</v>
      </c>
      <c r="M41" s="3">
        <v>10.345549999999999</v>
      </c>
      <c r="N41" s="3">
        <v>10.149252000000001</v>
      </c>
      <c r="O41" s="3">
        <v>11.481741</v>
      </c>
      <c r="P41" s="3">
        <v>8.9581250000000008</v>
      </c>
      <c r="Q41" s="3">
        <v>11.171427</v>
      </c>
      <c r="R41" s="3">
        <v>11.696778</v>
      </c>
      <c r="S41" s="3">
        <v>9.469951</v>
      </c>
      <c r="T41" s="3">
        <v>12.016334000000001</v>
      </c>
      <c r="U41" s="3">
        <v>10.674860000000001</v>
      </c>
      <c r="V41" s="3">
        <v>12.714437999999999</v>
      </c>
      <c r="W41" s="3">
        <v>10.728992999999999</v>
      </c>
      <c r="X41" s="3">
        <v>12.647223</v>
      </c>
      <c r="Y41" s="3">
        <v>7.8045080000000002</v>
      </c>
      <c r="Z41" s="3">
        <v>11.961244000000001</v>
      </c>
      <c r="AA41" s="3">
        <v>10.503454</v>
      </c>
      <c r="AB41" s="3">
        <v>8.9395450000000007</v>
      </c>
      <c r="AC41" s="3">
        <v>11.031549999999999</v>
      </c>
      <c r="AD41" s="3">
        <v>8.5121769999999994</v>
      </c>
      <c r="AE41" s="3">
        <v>11.531399</v>
      </c>
      <c r="AF41" s="3">
        <v>13.050364999999999</v>
      </c>
      <c r="AG41" s="3">
        <v>9.3725810000000003</v>
      </c>
      <c r="AH41" s="3">
        <v>9.8557079999999999</v>
      </c>
      <c r="AI41" s="3">
        <v>9.9535260000000001</v>
      </c>
      <c r="AJ41" s="3">
        <v>7.8516409999999999</v>
      </c>
      <c r="AK41" s="3">
        <v>9.7429769999999998</v>
      </c>
      <c r="AL41" s="3">
        <v>7.1018460000000001</v>
      </c>
      <c r="AM41" s="3">
        <v>9.5327020000000005</v>
      </c>
      <c r="AN41" s="3">
        <v>9.3859239999999993</v>
      </c>
      <c r="AO41" s="3">
        <v>11.141695</v>
      </c>
      <c r="AP41" s="3">
        <v>10.748573</v>
      </c>
      <c r="AQ41" s="3">
        <v>9.1137499999999996</v>
      </c>
      <c r="AR41" s="3">
        <v>9.1170519999999993</v>
      </c>
      <c r="AS41" s="3">
        <v>9.3513339999999996</v>
      </c>
      <c r="AT41" s="3">
        <v>8.8726640000000003</v>
      </c>
      <c r="AU41" s="3">
        <v>8.9601500000000005</v>
      </c>
      <c r="AV41" s="3">
        <v>8.5941100000000006</v>
      </c>
      <c r="AW41" s="3">
        <v>9.1677949999999999</v>
      </c>
      <c r="AX41" s="3">
        <v>10.085063</v>
      </c>
      <c r="AY41" s="3">
        <v>9.9271899999999995</v>
      </c>
      <c r="AZ41" s="3">
        <v>9.0242299999999993</v>
      </c>
      <c r="BA41" s="3">
        <v>10.689598999999999</v>
      </c>
      <c r="BB41" s="3">
        <v>9.5010499999999993</v>
      </c>
      <c r="BC41" s="3">
        <v>10.030414</v>
      </c>
      <c r="BD41" s="3">
        <v>10.929064</v>
      </c>
      <c r="BE41" s="3">
        <v>12.573712</v>
      </c>
      <c r="BF41" s="3">
        <v>11.874456</v>
      </c>
      <c r="BG41" s="3">
        <v>8.9097799999999996</v>
      </c>
      <c r="BH41" s="3">
        <v>11.165558000000001</v>
      </c>
      <c r="BI41" s="3">
        <v>7.7400330000000004</v>
      </c>
      <c r="BJ41" s="3">
        <v>12.456617</v>
      </c>
      <c r="BK41" s="3">
        <v>10.369864</v>
      </c>
      <c r="BL41" s="3">
        <v>9.3054279999999991</v>
      </c>
      <c r="BM41" s="3">
        <v>13.076779999999999</v>
      </c>
      <c r="BN41" s="3">
        <v>12.759876</v>
      </c>
      <c r="BO41" s="3">
        <v>9.6248339999999999</v>
      </c>
      <c r="BP41" s="3">
        <v>9.9877330000000004</v>
      </c>
      <c r="BQ41" s="3">
        <v>9.12805</v>
      </c>
      <c r="BR41" s="3">
        <v>9.2329600000000003</v>
      </c>
      <c r="BS41" s="3">
        <v>11.249732</v>
      </c>
      <c r="BT41" s="3">
        <v>10.430216</v>
      </c>
      <c r="BU41" s="3">
        <v>9.1433409999999995</v>
      </c>
      <c r="BV41" s="3">
        <v>9.9896949999999993</v>
      </c>
      <c r="BW41" s="3">
        <v>7.9842560000000002</v>
      </c>
      <c r="BX41" s="3">
        <v>11.824144</v>
      </c>
      <c r="BY41" s="3">
        <v>10.093628000000001</v>
      </c>
      <c r="BZ41" s="3">
        <v>10.321728</v>
      </c>
      <c r="CA41" s="3">
        <v>9.4433609999999994</v>
      </c>
      <c r="CB41" s="3">
        <v>9.8032819999999994</v>
      </c>
      <c r="CC41" s="3">
        <v>7.6671180000000003</v>
      </c>
      <c r="CD41" s="3">
        <v>10.263960000000001</v>
      </c>
      <c r="CE41" s="3">
        <v>11.682995999999999</v>
      </c>
      <c r="CF41" s="3">
        <v>8.6839169999999992</v>
      </c>
      <c r="CG41" s="3">
        <v>9.3457000000000008</v>
      </c>
      <c r="CH41" s="3">
        <v>8.4905779999999993</v>
      </c>
      <c r="CI41" s="3">
        <v>9.6591430000000003</v>
      </c>
      <c r="CJ41" s="3">
        <v>11.102973</v>
      </c>
      <c r="CK41" s="3">
        <v>9.7105429999999995</v>
      </c>
      <c r="CL41" s="3">
        <v>9.9147320000000008</v>
      </c>
      <c r="CM41" s="3">
        <v>10.435221</v>
      </c>
      <c r="CN41" s="3">
        <v>8.8502729999999996</v>
      </c>
      <c r="CO41" s="3">
        <v>9.3653530000000007</v>
      </c>
      <c r="CP41" s="3">
        <v>10.518272</v>
      </c>
      <c r="CQ41" s="3">
        <v>11.005884999999999</v>
      </c>
      <c r="CR41" s="3">
        <v>8.8757850000000005</v>
      </c>
      <c r="CS41" s="3">
        <v>9.0719759999999994</v>
      </c>
      <c r="CT41" s="3">
        <v>9.1016890000000004</v>
      </c>
      <c r="CU41" s="3">
        <v>12.27777</v>
      </c>
      <c r="CV41" s="3">
        <v>9.0370050000000006</v>
      </c>
      <c r="CW41" s="3">
        <v>9.3257560000000002</v>
      </c>
      <c r="CX41" s="3">
        <v>9.3346820000000008</v>
      </c>
      <c r="CY41" s="3">
        <v>9.3009699999999995</v>
      </c>
      <c r="CZ41" s="3">
        <v>8.572597</v>
      </c>
      <c r="DA41" s="3">
        <v>10.106304</v>
      </c>
      <c r="DB41" s="3">
        <v>9.8668759999999995</v>
      </c>
      <c r="DC41" s="3">
        <v>11.883521</v>
      </c>
      <c r="DD41" s="3">
        <v>10.012877</v>
      </c>
      <c r="DE41" s="3">
        <v>7.6524710000000002</v>
      </c>
      <c r="DF41" s="3">
        <v>11.003902999999999</v>
      </c>
      <c r="DG41" s="3">
        <v>8.4803370000000005</v>
      </c>
      <c r="DH41" s="3">
        <v>10.01843</v>
      </c>
      <c r="DI41" s="3"/>
      <c r="DJ41" s="3"/>
      <c r="DK41" s="3"/>
      <c r="DL41" s="3"/>
      <c r="DM41" s="3"/>
      <c r="DO41" s="3"/>
      <c r="DT41" s="3"/>
      <c r="DU41" s="3"/>
      <c r="DX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D43" t="s">
        <v>7</v>
      </c>
      <c r="E43" t="s">
        <v>6</v>
      </c>
      <c r="F43">
        <f>COUNT(M43:GJ43)</f>
        <v>100</v>
      </c>
      <c r="G43" s="3">
        <f>AVERAGE(M43:GJ43)</f>
        <v>13.709096249999998</v>
      </c>
      <c r="H43" s="3">
        <f>MAX(M43:GJ43)</f>
        <v>18.403911999999998</v>
      </c>
      <c r="I43" s="3">
        <f>MIN(M43:GJ43)</f>
        <v>11.104193</v>
      </c>
      <c r="J43" s="3">
        <f>_xlfn.STDEV.P(M43:GJ43)</f>
        <v>1.2966105833668362</v>
      </c>
      <c r="K43" s="3">
        <f>_xlfn.VAR.S(M43:GJ43)</f>
        <v>1.6981808130291793</v>
      </c>
      <c r="M43" s="3">
        <v>15.714665</v>
      </c>
      <c r="N43" s="3">
        <v>18.403911999999998</v>
      </c>
      <c r="O43" s="3">
        <v>12.901567</v>
      </c>
      <c r="P43" s="3">
        <v>13.081739000000001</v>
      </c>
      <c r="Q43" s="3">
        <v>15.849596999999999</v>
      </c>
      <c r="R43" s="3">
        <v>15.093800999999999</v>
      </c>
      <c r="S43" s="3">
        <v>12.813065999999999</v>
      </c>
      <c r="T43" s="3">
        <v>14.871271</v>
      </c>
      <c r="U43" s="3">
        <v>13.874401000000001</v>
      </c>
      <c r="V43" s="3">
        <v>14.231111</v>
      </c>
      <c r="W43" s="3">
        <v>15.591723</v>
      </c>
      <c r="X43" s="3">
        <v>13.148621</v>
      </c>
      <c r="Y43" s="3">
        <v>14.538823000000001</v>
      </c>
      <c r="Z43" s="3">
        <v>13.678773</v>
      </c>
      <c r="AA43" s="3">
        <v>14.352827</v>
      </c>
      <c r="AB43" s="3">
        <v>12.970119</v>
      </c>
      <c r="AC43" s="3">
        <v>14.345122999999999</v>
      </c>
      <c r="AD43" s="3">
        <v>11.964931</v>
      </c>
      <c r="AE43" s="3">
        <v>13.290749</v>
      </c>
      <c r="AF43" s="3">
        <v>14.048342999999999</v>
      </c>
      <c r="AG43" s="3">
        <v>14.863877</v>
      </c>
      <c r="AH43" s="3">
        <v>13.772676000000001</v>
      </c>
      <c r="AI43" s="3">
        <v>11.104193</v>
      </c>
      <c r="AJ43" s="3">
        <v>16.614785999999999</v>
      </c>
      <c r="AK43" s="3">
        <v>15.496392</v>
      </c>
      <c r="AL43" s="3">
        <v>12.398510999999999</v>
      </c>
      <c r="AM43" s="3">
        <v>14.143889</v>
      </c>
      <c r="AN43" s="3">
        <v>13.447671</v>
      </c>
      <c r="AO43" s="3">
        <v>15.948437</v>
      </c>
      <c r="AP43" s="3">
        <v>14.501811999999999</v>
      </c>
      <c r="AQ43" s="3">
        <v>15.30481</v>
      </c>
      <c r="AR43" s="3">
        <v>14.222555</v>
      </c>
      <c r="AS43" s="3">
        <v>16.182030000000001</v>
      </c>
      <c r="AT43" s="3">
        <v>11.656421</v>
      </c>
      <c r="AU43" s="3">
        <v>14.558992999999999</v>
      </c>
      <c r="AV43" s="3">
        <v>14.040506000000001</v>
      </c>
      <c r="AW43" s="3">
        <v>11.526443</v>
      </c>
      <c r="AX43" s="3">
        <v>13.394413</v>
      </c>
      <c r="AY43" s="3">
        <v>12.779847999999999</v>
      </c>
      <c r="AZ43" s="3">
        <v>14.062258</v>
      </c>
      <c r="BA43" s="3">
        <v>12.234844000000001</v>
      </c>
      <c r="BB43" s="3">
        <v>13.953103</v>
      </c>
      <c r="BC43" s="3">
        <v>12.546486</v>
      </c>
      <c r="BD43" s="3">
        <v>12.759653</v>
      </c>
      <c r="BE43" s="3">
        <v>12.522558</v>
      </c>
      <c r="BF43" s="3">
        <v>14.591818999999999</v>
      </c>
      <c r="BG43" s="3">
        <v>13.765124</v>
      </c>
      <c r="BH43" s="3">
        <v>13.258217</v>
      </c>
      <c r="BI43" s="3">
        <v>14.832325000000001</v>
      </c>
      <c r="BJ43" s="3">
        <v>16.181495999999999</v>
      </c>
      <c r="BK43" s="3">
        <v>12.471142</v>
      </c>
      <c r="BL43" s="3">
        <v>14.05758</v>
      </c>
      <c r="BM43" s="3">
        <v>13.703093000000001</v>
      </c>
      <c r="BN43" s="3">
        <v>12.978861999999999</v>
      </c>
      <c r="BO43" s="3">
        <v>13.716006999999999</v>
      </c>
      <c r="BP43" s="3">
        <v>13.033087999999999</v>
      </c>
      <c r="BQ43" s="3">
        <v>12.159616</v>
      </c>
      <c r="BR43" s="3">
        <v>13.403703</v>
      </c>
      <c r="BS43" s="3">
        <v>14.315362</v>
      </c>
      <c r="BT43" s="3">
        <v>12.054353000000001</v>
      </c>
      <c r="BU43" s="3">
        <v>13.828640999999999</v>
      </c>
      <c r="BV43" s="3">
        <v>12.900289000000001</v>
      </c>
      <c r="BW43" s="3">
        <v>12.671842</v>
      </c>
      <c r="BX43" s="3">
        <v>14.206144999999999</v>
      </c>
      <c r="BY43" s="3">
        <v>12.691471</v>
      </c>
      <c r="BZ43" s="3">
        <v>14.468292</v>
      </c>
      <c r="CA43" s="3">
        <v>13.776902</v>
      </c>
      <c r="CB43" s="3">
        <v>11.707618</v>
      </c>
      <c r="CC43" s="3">
        <v>11.850880999999999</v>
      </c>
      <c r="CD43" s="3">
        <v>12.168822</v>
      </c>
      <c r="CE43" s="3">
        <v>14.4956</v>
      </c>
      <c r="CF43" s="3">
        <v>13.247557</v>
      </c>
      <c r="CG43" s="3">
        <v>14.115247999999999</v>
      </c>
      <c r="CH43" s="3">
        <v>17.404409000000001</v>
      </c>
      <c r="CI43" s="3">
        <v>13.721549</v>
      </c>
      <c r="CJ43" s="3">
        <v>12.284762000000001</v>
      </c>
      <c r="CK43" s="3">
        <v>13.859453</v>
      </c>
      <c r="CL43" s="3">
        <v>13.598577000000001</v>
      </c>
      <c r="CM43" s="3">
        <v>11.619555</v>
      </c>
      <c r="CN43" s="3">
        <v>13.517087999999999</v>
      </c>
      <c r="CO43" s="3">
        <v>11.759998</v>
      </c>
      <c r="CP43" s="3">
        <v>12.256000999999999</v>
      </c>
      <c r="CQ43" s="3">
        <v>14.512184</v>
      </c>
      <c r="CR43" s="3">
        <v>12.385904</v>
      </c>
      <c r="CS43" s="3">
        <v>13.036784000000001</v>
      </c>
      <c r="CT43" s="3">
        <v>13.991744000000001</v>
      </c>
      <c r="CU43" s="3">
        <v>12.148405</v>
      </c>
      <c r="CV43" s="3">
        <v>12.495452</v>
      </c>
      <c r="CW43" s="3">
        <v>14.070672</v>
      </c>
      <c r="CX43" s="3">
        <v>13.949638999999999</v>
      </c>
      <c r="CY43" s="3">
        <v>14.122263</v>
      </c>
      <c r="CZ43" s="3">
        <v>13.247877000000001</v>
      </c>
      <c r="DA43" s="3">
        <v>15.022131</v>
      </c>
      <c r="DB43" s="3">
        <v>13.170344</v>
      </c>
      <c r="DC43" s="3">
        <v>12.558636999999999</v>
      </c>
      <c r="DD43" s="3">
        <v>13.877484000000001</v>
      </c>
      <c r="DE43" s="3">
        <v>14.830811000000001</v>
      </c>
      <c r="DF43" s="3">
        <v>13.927867000000001</v>
      </c>
      <c r="DG43" s="3">
        <v>14.456612</v>
      </c>
      <c r="DH43" s="3">
        <v>13.630001</v>
      </c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D45" t="s">
        <v>10</v>
      </c>
      <c r="E45" t="s">
        <v>6</v>
      </c>
      <c r="F45">
        <f>COUNT(M45:GJ45)</f>
        <v>100</v>
      </c>
      <c r="G45" s="3">
        <f>AVERAGE(M45:GJ45)</f>
        <v>9.7962240900000026</v>
      </c>
      <c r="H45" s="3">
        <f>MAX(M45:GJ45)</f>
        <v>15.159003999999999</v>
      </c>
      <c r="I45" s="3">
        <f>MIN(M45:GJ45)</f>
        <v>7.6066190000000002</v>
      </c>
      <c r="J45" s="3">
        <f>_xlfn.STDEV.P(M45:GJ45)</f>
        <v>1.6258393395890358</v>
      </c>
      <c r="K45" s="3">
        <f>_xlfn.VAR.S(M45:GJ45)</f>
        <v>2.6700540991467721</v>
      </c>
      <c r="M45" s="3">
        <v>8.6523509999999995</v>
      </c>
      <c r="N45" s="3">
        <v>8.6994439999999997</v>
      </c>
      <c r="O45" s="3">
        <v>8.9520289999999996</v>
      </c>
      <c r="P45" s="3">
        <v>9.9900520000000004</v>
      </c>
      <c r="Q45" s="3">
        <v>8.5696010000000005</v>
      </c>
      <c r="R45" s="3">
        <v>8.9290719999999997</v>
      </c>
      <c r="S45" s="3">
        <v>10.012879999999999</v>
      </c>
      <c r="T45" s="3">
        <v>8.7594349999999999</v>
      </c>
      <c r="U45" s="3">
        <v>8.3915439999999997</v>
      </c>
      <c r="V45" s="3">
        <v>8.4904309999999992</v>
      </c>
      <c r="W45" s="3">
        <v>8.9128380000000007</v>
      </c>
      <c r="X45" s="3">
        <v>11.890827</v>
      </c>
      <c r="Y45" s="3">
        <v>8.7786460000000002</v>
      </c>
      <c r="Z45" s="3">
        <v>10.418530000000001</v>
      </c>
      <c r="AA45" s="3">
        <v>9.1247489999999996</v>
      </c>
      <c r="AB45" s="3">
        <v>9.6921479999999995</v>
      </c>
      <c r="AC45" s="3">
        <v>9.3908640000000005</v>
      </c>
      <c r="AD45" s="3">
        <v>8.1083970000000001</v>
      </c>
      <c r="AE45" s="3">
        <v>10.294631000000001</v>
      </c>
      <c r="AF45" s="3">
        <v>7.6066190000000002</v>
      </c>
      <c r="AG45" s="3">
        <v>7.8601799999999997</v>
      </c>
      <c r="AH45" s="3">
        <v>9.7640410000000006</v>
      </c>
      <c r="AI45" s="3">
        <v>9.1699549999999999</v>
      </c>
      <c r="AJ45" s="3">
        <v>9.2288750000000004</v>
      </c>
      <c r="AK45" s="3">
        <v>8.7285350000000008</v>
      </c>
      <c r="AL45" s="3">
        <v>8.7859289999999994</v>
      </c>
      <c r="AM45" s="3">
        <v>8.7608440000000005</v>
      </c>
      <c r="AN45" s="3">
        <v>8.892334</v>
      </c>
      <c r="AO45" s="3">
        <v>11.127440999999999</v>
      </c>
      <c r="AP45" s="3">
        <v>11.074439</v>
      </c>
      <c r="AQ45" s="3">
        <v>9.5598939999999999</v>
      </c>
      <c r="AR45" s="3">
        <v>10.103045</v>
      </c>
      <c r="AS45" s="3">
        <v>8.5385939999999998</v>
      </c>
      <c r="AT45" s="3">
        <v>11.480157999999999</v>
      </c>
      <c r="AU45" s="3">
        <v>8.3012510000000006</v>
      </c>
      <c r="AV45" s="3">
        <v>8.6870709999999995</v>
      </c>
      <c r="AW45" s="3">
        <v>13.466944</v>
      </c>
      <c r="AX45" s="3">
        <v>9.0153750000000006</v>
      </c>
      <c r="AY45" s="3">
        <v>13.508210999999999</v>
      </c>
      <c r="AZ45" s="3">
        <v>9.3373760000000008</v>
      </c>
      <c r="BA45" s="3">
        <v>8.7500870000000006</v>
      </c>
      <c r="BB45" s="3">
        <v>7.9469089999999998</v>
      </c>
      <c r="BC45" s="3">
        <v>10.051992</v>
      </c>
      <c r="BD45" s="3">
        <v>9.6856419999999996</v>
      </c>
      <c r="BE45" s="3">
        <v>8.5039599999999993</v>
      </c>
      <c r="BF45" s="3">
        <v>11.769042000000001</v>
      </c>
      <c r="BG45" s="3">
        <v>8.9901520000000001</v>
      </c>
      <c r="BH45" s="3">
        <v>9.8053500000000007</v>
      </c>
      <c r="BI45" s="3">
        <v>8.4650619999999996</v>
      </c>
      <c r="BJ45" s="3">
        <v>10.09094</v>
      </c>
      <c r="BK45" s="3">
        <v>8.2562359999999995</v>
      </c>
      <c r="BL45" s="3">
        <v>8.0058140000000009</v>
      </c>
      <c r="BM45" s="3">
        <v>10.158137</v>
      </c>
      <c r="BN45" s="3">
        <v>10.008108</v>
      </c>
      <c r="BO45" s="3">
        <v>12.055678</v>
      </c>
      <c r="BP45" s="3">
        <v>9.944922</v>
      </c>
      <c r="BQ45" s="3">
        <v>9.5490469999999998</v>
      </c>
      <c r="BR45" s="3">
        <v>8.9433120000000006</v>
      </c>
      <c r="BS45" s="3">
        <v>11.027851</v>
      </c>
      <c r="BT45" s="3">
        <v>8.344951</v>
      </c>
      <c r="BU45" s="3">
        <v>9.5724750000000007</v>
      </c>
      <c r="BV45" s="3">
        <v>12.455399999999999</v>
      </c>
      <c r="BW45" s="3">
        <v>8.2606110000000008</v>
      </c>
      <c r="BX45" s="3">
        <v>12.048904</v>
      </c>
      <c r="BY45" s="3">
        <v>7.775239</v>
      </c>
      <c r="BZ45" s="3">
        <v>9.0721589999999992</v>
      </c>
      <c r="CA45" s="3">
        <v>8.4610160000000008</v>
      </c>
      <c r="CB45" s="3">
        <v>8.2298489999999997</v>
      </c>
      <c r="CC45" s="3">
        <v>10.209857</v>
      </c>
      <c r="CD45" s="3">
        <v>8.96251</v>
      </c>
      <c r="CE45" s="3">
        <v>14.131228</v>
      </c>
      <c r="CF45" s="3">
        <v>10.563848</v>
      </c>
      <c r="CG45" s="3">
        <v>11.459749</v>
      </c>
      <c r="CH45" s="3">
        <v>10.274355999999999</v>
      </c>
      <c r="CI45" s="3">
        <v>10.241235</v>
      </c>
      <c r="CJ45" s="3">
        <v>8.0630830000000007</v>
      </c>
      <c r="CK45" s="3">
        <v>8.0808959999999992</v>
      </c>
      <c r="CL45" s="3">
        <v>10.398021</v>
      </c>
      <c r="CM45" s="3">
        <v>14.507770000000001</v>
      </c>
      <c r="CN45" s="3">
        <v>13.930249</v>
      </c>
      <c r="CO45" s="3">
        <v>8.781428</v>
      </c>
      <c r="CP45" s="3">
        <v>11.637646999999999</v>
      </c>
      <c r="CQ45" s="3">
        <v>11.083786999999999</v>
      </c>
      <c r="CR45" s="3">
        <v>11.968222000000001</v>
      </c>
      <c r="CS45" s="3">
        <v>8.5574399999999997</v>
      </c>
      <c r="CT45" s="3">
        <v>9.4016009999999994</v>
      </c>
      <c r="CU45" s="3">
        <v>15.159003999999999</v>
      </c>
      <c r="CV45" s="3">
        <v>8.8509930000000008</v>
      </c>
      <c r="CW45" s="3">
        <v>11.928539000000001</v>
      </c>
      <c r="CX45" s="3">
        <v>8.9918110000000002</v>
      </c>
      <c r="CY45" s="3">
        <v>8.8191199999999998</v>
      </c>
      <c r="CZ45" s="3">
        <v>9.1387350000000005</v>
      </c>
      <c r="DA45" s="3">
        <v>9.8485359999999993</v>
      </c>
      <c r="DB45" s="3">
        <v>8.6139150000000004</v>
      </c>
      <c r="DC45" s="3">
        <v>8.4170929999999995</v>
      </c>
      <c r="DD45" s="3">
        <v>13.868181</v>
      </c>
      <c r="DE45" s="3">
        <v>9.5552360000000007</v>
      </c>
      <c r="DF45" s="3">
        <v>10.497299</v>
      </c>
      <c r="DG45" s="3">
        <v>8.6397630000000003</v>
      </c>
      <c r="DH45" s="3">
        <v>9.7568319999999993</v>
      </c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D47" t="s">
        <v>11</v>
      </c>
      <c r="E47" t="s">
        <v>6</v>
      </c>
      <c r="F47">
        <f>COUNT(M47:GJ47)</f>
        <v>100</v>
      </c>
      <c r="G47" s="3">
        <f>AVERAGE(M47:GJ47)</f>
        <v>9.6424637699999973</v>
      </c>
      <c r="H47" s="3">
        <f>MAX(M47:GJ47)</f>
        <v>14.409964</v>
      </c>
      <c r="I47" s="3">
        <f>MIN(M47:GJ47)</f>
        <v>7.8783180000000002</v>
      </c>
      <c r="J47" s="3">
        <f>_xlfn.STDEV.P(M47:GJ47)</f>
        <v>1.2117867945059861</v>
      </c>
      <c r="K47" s="3">
        <f>_xlfn.VAR.S(M47:GJ47)</f>
        <v>1.4832598336758538</v>
      </c>
      <c r="M47" s="3">
        <v>8.8559219999999996</v>
      </c>
      <c r="N47" s="3">
        <v>9.4249379999999991</v>
      </c>
      <c r="O47" s="3">
        <v>8.9738249999999997</v>
      </c>
      <c r="P47" s="3">
        <v>9.2537959999999995</v>
      </c>
      <c r="Q47" s="3">
        <v>8.7147860000000001</v>
      </c>
      <c r="R47" s="3">
        <v>8.61402</v>
      </c>
      <c r="S47" s="3">
        <v>11.142548</v>
      </c>
      <c r="T47" s="3">
        <v>7.9457610000000001</v>
      </c>
      <c r="U47" s="3">
        <v>8.3118350000000003</v>
      </c>
      <c r="V47" s="3">
        <v>10.936461</v>
      </c>
      <c r="W47" s="3">
        <v>9.2095590000000005</v>
      </c>
      <c r="X47" s="3">
        <v>8.9431630000000002</v>
      </c>
      <c r="Y47" s="3">
        <v>8.1339919999999992</v>
      </c>
      <c r="Z47" s="3">
        <v>9.2504749999999998</v>
      </c>
      <c r="AA47" s="3">
        <v>8.2142189999999999</v>
      </c>
      <c r="AB47" s="3">
        <v>9.1091719999999992</v>
      </c>
      <c r="AC47" s="3">
        <v>9.4330060000000007</v>
      </c>
      <c r="AD47" s="3">
        <v>10.002093</v>
      </c>
      <c r="AE47" s="3">
        <v>9.1421030000000005</v>
      </c>
      <c r="AF47" s="3">
        <v>8.6651070000000008</v>
      </c>
      <c r="AG47" s="3">
        <v>10.033481999999999</v>
      </c>
      <c r="AH47" s="3">
        <v>9.030894</v>
      </c>
      <c r="AI47" s="3">
        <v>9.8598510000000008</v>
      </c>
      <c r="AJ47" s="3">
        <v>9.2163609999999991</v>
      </c>
      <c r="AK47" s="3">
        <v>9.1319459999999992</v>
      </c>
      <c r="AL47" s="3">
        <v>8.5541529999999995</v>
      </c>
      <c r="AM47" s="3">
        <v>12.873319</v>
      </c>
      <c r="AN47" s="3">
        <v>8.9326260000000008</v>
      </c>
      <c r="AO47" s="3">
        <v>10.29224</v>
      </c>
      <c r="AP47" s="3">
        <v>9.9326310000000007</v>
      </c>
      <c r="AQ47" s="3">
        <v>8.7474690000000006</v>
      </c>
      <c r="AR47" s="3">
        <v>9.9680649999999993</v>
      </c>
      <c r="AS47" s="3">
        <v>8.7811029999999999</v>
      </c>
      <c r="AT47" s="3">
        <v>8.8407180000000007</v>
      </c>
      <c r="AU47" s="3">
        <v>10.774478</v>
      </c>
      <c r="AV47" s="3">
        <v>10.813879999999999</v>
      </c>
      <c r="AW47" s="3">
        <v>10.339098999999999</v>
      </c>
      <c r="AX47" s="3">
        <v>8.5724260000000001</v>
      </c>
      <c r="AY47" s="3">
        <v>10.180833</v>
      </c>
      <c r="AZ47" s="3">
        <v>9.4066869999999998</v>
      </c>
      <c r="BA47" s="3">
        <v>10.854927</v>
      </c>
      <c r="BB47" s="3">
        <v>11.192710999999999</v>
      </c>
      <c r="BC47" s="3">
        <v>8.7876200000000004</v>
      </c>
      <c r="BD47" s="3">
        <v>10.537296</v>
      </c>
      <c r="BE47" s="3">
        <v>9.14785</v>
      </c>
      <c r="BF47" s="3">
        <v>9.4294759999999993</v>
      </c>
      <c r="BG47" s="3">
        <v>9.8367989999999992</v>
      </c>
      <c r="BH47" s="3">
        <v>10.384881999999999</v>
      </c>
      <c r="BI47" s="3">
        <v>8.7509029999999992</v>
      </c>
      <c r="BJ47" s="3">
        <v>9.2917109999999994</v>
      </c>
      <c r="BK47" s="3">
        <v>10.179322000000001</v>
      </c>
      <c r="BL47" s="3">
        <v>9.654522</v>
      </c>
      <c r="BM47" s="3">
        <v>9.5564140000000002</v>
      </c>
      <c r="BN47" s="3">
        <v>8.6221859999999992</v>
      </c>
      <c r="BO47" s="3">
        <v>8.5252499999999998</v>
      </c>
      <c r="BP47" s="3">
        <v>8.7886570000000006</v>
      </c>
      <c r="BQ47" s="3">
        <v>9.3993719999999996</v>
      </c>
      <c r="BR47" s="3">
        <v>10.70594</v>
      </c>
      <c r="BS47" s="3">
        <v>9.7883820000000004</v>
      </c>
      <c r="BT47" s="3">
        <v>10.735253</v>
      </c>
      <c r="BU47" s="3">
        <v>9.7761929999999992</v>
      </c>
      <c r="BV47" s="3">
        <v>11.626581</v>
      </c>
      <c r="BW47" s="3">
        <v>9.5239170000000009</v>
      </c>
      <c r="BX47" s="3">
        <v>8.4617109999999993</v>
      </c>
      <c r="BY47" s="3">
        <v>8.6005649999999996</v>
      </c>
      <c r="BZ47" s="3">
        <v>8.7538250000000009</v>
      </c>
      <c r="CA47" s="3">
        <v>8.6201640000000008</v>
      </c>
      <c r="CB47" s="3">
        <v>12.483938999999999</v>
      </c>
      <c r="CC47" s="3">
        <v>10.713450999999999</v>
      </c>
      <c r="CD47" s="3">
        <v>9.3717000000000006</v>
      </c>
      <c r="CE47" s="3">
        <v>7.9242410000000003</v>
      </c>
      <c r="CF47" s="3">
        <v>10.946796000000001</v>
      </c>
      <c r="CG47" s="3">
        <v>8.7488630000000001</v>
      </c>
      <c r="CH47" s="3">
        <v>7.8783180000000002</v>
      </c>
      <c r="CI47" s="3">
        <v>9.8656000000000006</v>
      </c>
      <c r="CJ47" s="3">
        <v>11.973746999999999</v>
      </c>
      <c r="CK47" s="3">
        <v>10.012708</v>
      </c>
      <c r="CL47" s="3">
        <v>9.0324930000000005</v>
      </c>
      <c r="CM47" s="3">
        <v>10.451677999999999</v>
      </c>
      <c r="CN47" s="3">
        <v>8.5123560000000005</v>
      </c>
      <c r="CO47" s="3">
        <v>11.172418</v>
      </c>
      <c r="CP47" s="3">
        <v>9.3559389999999993</v>
      </c>
      <c r="CQ47" s="3">
        <v>8.4735849999999999</v>
      </c>
      <c r="CR47" s="3">
        <v>10.301270000000001</v>
      </c>
      <c r="CS47" s="3">
        <v>13.294029999999999</v>
      </c>
      <c r="CT47" s="3">
        <v>8.7844379999999997</v>
      </c>
      <c r="CU47" s="3">
        <v>12.749647</v>
      </c>
      <c r="CV47" s="3">
        <v>9.4596300000000006</v>
      </c>
      <c r="CW47" s="3">
        <v>8.2365290000000009</v>
      </c>
      <c r="CX47" s="3">
        <v>10.895955000000001</v>
      </c>
      <c r="CY47" s="3">
        <v>8.5338239999999992</v>
      </c>
      <c r="CZ47" s="3">
        <v>10.898566000000001</v>
      </c>
      <c r="DA47" s="3">
        <v>14.409964</v>
      </c>
      <c r="DB47" s="3">
        <v>9.855791</v>
      </c>
      <c r="DC47" s="3">
        <v>9.0555520000000005</v>
      </c>
      <c r="DD47" s="3">
        <v>9.1322139999999994</v>
      </c>
      <c r="DE47" s="3">
        <v>9.0751500000000007</v>
      </c>
      <c r="DF47" s="3">
        <v>9.0407740000000008</v>
      </c>
      <c r="DG47" s="3">
        <v>8.1443329999999996</v>
      </c>
      <c r="DH47" s="3">
        <v>9.3694070000000007</v>
      </c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9" spans="2:207" x14ac:dyDescent="0.2">
      <c r="D49" s="1"/>
    </row>
    <row r="50" spans="2:207" x14ac:dyDescent="0.2">
      <c r="B50" s="2"/>
      <c r="G50" s="2"/>
      <c r="H50" s="3"/>
      <c r="I50" s="3"/>
      <c r="J50" s="3"/>
      <c r="K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/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/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G59" s="3"/>
      <c r="H59" s="3"/>
      <c r="I59" s="3"/>
      <c r="J59" s="3"/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2:207" x14ac:dyDescent="0.2">
      <c r="G60" s="3"/>
      <c r="H60" s="3"/>
      <c r="I60" s="3"/>
      <c r="J60" s="3"/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 spans="2:207" x14ac:dyDescent="0.2">
      <c r="G61" s="3"/>
      <c r="H61" s="3"/>
      <c r="I61" s="3"/>
      <c r="J61" s="3"/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 spans="2:207" x14ac:dyDescent="0.2">
      <c r="G62" s="3"/>
      <c r="H62" s="3"/>
      <c r="I62" s="3"/>
      <c r="J62" s="3"/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2026-03-05T19:41:35Z</dcterms:modified>
</cp:coreProperties>
</file>