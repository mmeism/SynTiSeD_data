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real/"/>
    </mc:Choice>
  </mc:AlternateContent>
  <xr:revisionPtr revIDLastSave="0" documentId="13_ncr:1_{B973BFD3-5FC8-0440-9489-92AC77E1D755}" xr6:coauthVersionLast="47" xr6:coauthVersionMax="47" xr10:uidLastSave="{00000000-0000-0000-0000-000000000000}"/>
  <bookViews>
    <workbookView xWindow="580" yWindow="100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5" i="1" l="1"/>
  <c r="J95" i="1"/>
  <c r="I95" i="1"/>
  <c r="H95" i="1"/>
  <c r="G95" i="1"/>
  <c r="F95" i="1"/>
  <c r="K93" i="1"/>
  <c r="J93" i="1"/>
  <c r="I93" i="1"/>
  <c r="H93" i="1"/>
  <c r="G93" i="1"/>
  <c r="F93" i="1"/>
  <c r="K91" i="1"/>
  <c r="J91" i="1"/>
  <c r="I91" i="1"/>
  <c r="H91" i="1"/>
  <c r="G91" i="1"/>
  <c r="F91" i="1"/>
  <c r="K89" i="1"/>
  <c r="J89" i="1"/>
  <c r="I89" i="1"/>
  <c r="H89" i="1"/>
  <c r="G89" i="1"/>
  <c r="F89" i="1"/>
  <c r="K87" i="1"/>
  <c r="J87" i="1"/>
  <c r="I87" i="1"/>
  <c r="H87" i="1"/>
  <c r="G87" i="1"/>
  <c r="F87" i="1"/>
  <c r="K83" i="1"/>
  <c r="J83" i="1"/>
  <c r="I83" i="1"/>
  <c r="H83" i="1"/>
  <c r="G83" i="1"/>
  <c r="F83" i="1"/>
  <c r="K81" i="1"/>
  <c r="J81" i="1"/>
  <c r="I81" i="1"/>
  <c r="H81" i="1"/>
  <c r="G81" i="1"/>
  <c r="F81" i="1"/>
  <c r="K79" i="1"/>
  <c r="J79" i="1"/>
  <c r="I79" i="1"/>
  <c r="H79" i="1"/>
  <c r="G79" i="1"/>
  <c r="F79" i="1"/>
  <c r="K77" i="1"/>
  <c r="J77" i="1"/>
  <c r="I77" i="1"/>
  <c r="H77" i="1"/>
  <c r="G77" i="1"/>
  <c r="F77" i="1"/>
  <c r="K75" i="1"/>
  <c r="J75" i="1"/>
  <c r="I75" i="1"/>
  <c r="H75" i="1"/>
  <c r="G75" i="1"/>
  <c r="F75" i="1"/>
  <c r="K71" i="1"/>
  <c r="J71" i="1"/>
  <c r="I71" i="1"/>
  <c r="H71" i="1"/>
  <c r="G71" i="1"/>
  <c r="F71" i="1"/>
  <c r="K69" i="1"/>
  <c r="J69" i="1"/>
  <c r="I69" i="1"/>
  <c r="H69" i="1"/>
  <c r="G69" i="1"/>
  <c r="F69" i="1"/>
  <c r="K67" i="1"/>
  <c r="J67" i="1"/>
  <c r="I67" i="1"/>
  <c r="H67" i="1"/>
  <c r="G67" i="1"/>
  <c r="F67" i="1"/>
  <c r="K65" i="1"/>
  <c r="J65" i="1"/>
  <c r="I65" i="1"/>
  <c r="H65" i="1"/>
  <c r="G65" i="1"/>
  <c r="F65" i="1"/>
  <c r="K63" i="1"/>
  <c r="J63" i="1"/>
  <c r="I63" i="1"/>
  <c r="H63" i="1"/>
  <c r="G63" i="1"/>
  <c r="F63" i="1"/>
  <c r="K59" i="1"/>
  <c r="J59" i="1"/>
  <c r="I59" i="1"/>
  <c r="H59" i="1"/>
  <c r="G59" i="1"/>
  <c r="F59" i="1"/>
  <c r="K57" i="1"/>
  <c r="J57" i="1"/>
  <c r="I57" i="1"/>
  <c r="H57" i="1"/>
  <c r="G57" i="1"/>
  <c r="F57" i="1"/>
  <c r="K55" i="1"/>
  <c r="J55" i="1"/>
  <c r="I55" i="1"/>
  <c r="H55" i="1"/>
  <c r="G55" i="1"/>
  <c r="F55" i="1"/>
  <c r="K53" i="1"/>
  <c r="J53" i="1"/>
  <c r="I53" i="1"/>
  <c r="H53" i="1"/>
  <c r="G53" i="1"/>
  <c r="F53" i="1"/>
  <c r="K51" i="1"/>
  <c r="J51" i="1"/>
  <c r="I51" i="1"/>
  <c r="H51" i="1"/>
  <c r="G51" i="1"/>
  <c r="F51" i="1"/>
  <c r="F15" i="1"/>
  <c r="G15" i="1"/>
  <c r="H15" i="1"/>
  <c r="I15" i="1"/>
  <c r="J15" i="1"/>
  <c r="K15" i="1"/>
  <c r="F17" i="1"/>
  <c r="G17" i="1"/>
  <c r="H17" i="1"/>
  <c r="I17" i="1"/>
  <c r="J17" i="1"/>
  <c r="K17" i="1"/>
  <c r="F19" i="1"/>
  <c r="G19" i="1"/>
  <c r="H19" i="1"/>
  <c r="I19" i="1"/>
  <c r="J19" i="1"/>
  <c r="K19" i="1"/>
  <c r="K47" i="1"/>
  <c r="J47" i="1"/>
  <c r="I47" i="1"/>
  <c r="H47" i="1"/>
  <c r="G47" i="1"/>
  <c r="F47" i="1"/>
  <c r="K45" i="1"/>
  <c r="J45" i="1"/>
  <c r="I45" i="1"/>
  <c r="H45" i="1"/>
  <c r="G45" i="1"/>
  <c r="F45" i="1"/>
  <c r="K43" i="1"/>
  <c r="J43" i="1"/>
  <c r="I43" i="1"/>
  <c r="H43" i="1"/>
  <c r="G43" i="1"/>
  <c r="F43" i="1"/>
  <c r="K41" i="1"/>
  <c r="J41" i="1"/>
  <c r="I41" i="1"/>
  <c r="H41" i="1"/>
  <c r="G41" i="1"/>
  <c r="F41" i="1"/>
  <c r="K39" i="1"/>
  <c r="J39" i="1"/>
  <c r="I39" i="1"/>
  <c r="H39" i="1"/>
  <c r="G39" i="1"/>
  <c r="F39" i="1"/>
  <c r="K35" i="1"/>
  <c r="J35" i="1"/>
  <c r="I35" i="1"/>
  <c r="H35" i="1"/>
  <c r="G35" i="1"/>
  <c r="F35" i="1"/>
  <c r="K33" i="1"/>
  <c r="J33" i="1"/>
  <c r="I33" i="1"/>
  <c r="H33" i="1"/>
  <c r="G33" i="1"/>
  <c r="F33" i="1"/>
  <c r="K31" i="1"/>
  <c r="J31" i="1"/>
  <c r="I31" i="1"/>
  <c r="H31" i="1"/>
  <c r="G31" i="1"/>
  <c r="F31" i="1"/>
  <c r="K29" i="1"/>
  <c r="J29" i="1"/>
  <c r="I29" i="1"/>
  <c r="H29" i="1"/>
  <c r="G29" i="1"/>
  <c r="F29" i="1"/>
  <c r="K27" i="1"/>
  <c r="J27" i="1"/>
  <c r="I27" i="1"/>
  <c r="H27" i="1"/>
  <c r="G27" i="1"/>
  <c r="F27" i="1"/>
  <c r="K23" i="1"/>
  <c r="J23" i="1"/>
  <c r="I23" i="1"/>
  <c r="H23" i="1"/>
  <c r="G23" i="1"/>
  <c r="F23" i="1"/>
  <c r="K21" i="1"/>
  <c r="J21" i="1"/>
  <c r="I21" i="1"/>
  <c r="H21" i="1"/>
  <c r="G21" i="1"/>
  <c r="F21" i="1"/>
  <c r="G9" i="1" l="1"/>
  <c r="G10" i="1"/>
  <c r="G7" i="1"/>
  <c r="G8" i="1"/>
  <c r="G11" i="1"/>
</calcChain>
</file>

<file path=xl/sharedStrings.xml><?xml version="1.0" encoding="utf-8"?>
<sst xmlns="http://schemas.openxmlformats.org/spreadsheetml/2006/main" count="138" uniqueCount="65">
  <si>
    <t>Konfig:</t>
  </si>
  <si>
    <t>MAE</t>
  </si>
  <si>
    <t>DAE</t>
  </si>
  <si>
    <t>RNN</t>
  </si>
  <si>
    <t>WindowGRU</t>
  </si>
  <si>
    <t>Seq2Seq</t>
  </si>
  <si>
    <t>Seq2Point</t>
  </si>
  <si>
    <t>für alle Algorithmen stardart NILM settings</t>
  </si>
  <si>
    <t>NILM Algorithms:</t>
  </si>
  <si>
    <t>Metric</t>
  </si>
  <si>
    <t>Number of exp</t>
  </si>
  <si>
    <t>Mean</t>
  </si>
  <si>
    <t>Max</t>
  </si>
  <si>
    <t>Min</t>
  </si>
  <si>
    <t>Standart deviation</t>
  </si>
  <si>
    <t>Variance</t>
  </si>
  <si>
    <t>Experiments</t>
  </si>
  <si>
    <t>start_time': '2020-01-04'</t>
  </si>
  <si>
    <t>end_time': '2020-01-17'</t>
  </si>
  <si>
    <t>start_time': '2020-04-01'</t>
  </si>
  <si>
    <t>end_time': '2020-04-14'</t>
  </si>
  <si>
    <t>train_real: (hh_14)</t>
  </si>
  <si>
    <t>train_real: (hh_04)</t>
  </si>
  <si>
    <t>train_real: (hh_15)</t>
  </si>
  <si>
    <t>start_time': '2020-02-01'</t>
  </si>
  <si>
    <t>end_time': '2020-02-14'</t>
  </si>
  <si>
    <t>device: washing machine</t>
  </si>
  <si>
    <t>buildings': 3</t>
  </si>
  <si>
    <t>start_time': '2019-12-04'</t>
  </si>
  <si>
    <t>start_time': '2019-12-17'</t>
  </si>
  <si>
    <t>reale Testdaten(hh_03):</t>
  </si>
  <si>
    <t>reale Testdaten(hh_05):</t>
  </si>
  <si>
    <t>buildings': 5</t>
  </si>
  <si>
    <t>start_time': '2019-10-01'</t>
  </si>
  <si>
    <t>end_time': '2019-10-14'</t>
  </si>
  <si>
    <t>buildings': 6</t>
  </si>
  <si>
    <t>start_time': '2019-11-10'</t>
  </si>
  <si>
    <t>end_time': '2019-11-23'</t>
  </si>
  <si>
    <t>reale Testdaten(hh_06):</t>
  </si>
  <si>
    <t>reale Testdaten(hh_09):</t>
  </si>
  <si>
    <t>buildings': 9</t>
  </si>
  <si>
    <t>start_time': '2019-09-07'</t>
  </si>
  <si>
    <t>end_time': '2019-09-20'</t>
  </si>
  <si>
    <t>buildings': 13</t>
  </si>
  <si>
    <t>reale Testdaten(hh_13):</t>
  </si>
  <si>
    <t>buildings': 19</t>
  </si>
  <si>
    <t>buildings': 20</t>
  </si>
  <si>
    <t>reale Testdaten(hh_20):</t>
  </si>
  <si>
    <t>reale Testdaten(hh_19):</t>
  </si>
  <si>
    <t>start_time': '2020-03-12'</t>
  </si>
  <si>
    <t>end_time': '2020-03-25'</t>
  </si>
  <si>
    <t>end_time': '2019-12-30'</t>
  </si>
  <si>
    <t>validierung: Validation from training data (15%)</t>
  </si>
  <si>
    <t>start_time': '2020-03-01'</t>
  </si>
  <si>
    <t>end_time': '2020-03-14'</t>
  </si>
  <si>
    <t>train_real: (hh_01):</t>
  </si>
  <si>
    <t>WindowGRU_total</t>
  </si>
  <si>
    <t>Seq2Point_total</t>
  </si>
  <si>
    <t>Seq2Seq_total</t>
  </si>
  <si>
    <t>DAE_total</t>
  </si>
  <si>
    <t>RNN_total</t>
  </si>
  <si>
    <t>train: real_dataset.h5</t>
  </si>
  <si>
    <t>test_real: test_dataset.h5</t>
  </si>
  <si>
    <t>test_dataset.h5</t>
  </si>
  <si>
    <t>MAE_total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</si>
</sst>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164" fontId="0" fillId="0" borderId="0" xfId="0" quotePrefix="1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95"/>
  <sheetViews>
    <sheetView tabSelected="1" workbookViewId="0">
      <selection activeCell="C11" sqref="C11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26</v>
      </c>
    </row>
    <row r="3" spans="1:207" x14ac:dyDescent="0.2">
      <c r="A3" t="s">
        <v>61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55</v>
      </c>
      <c r="B4" s="2" t="s">
        <v>53</v>
      </c>
      <c r="C4" s="2" t="s">
        <v>54</v>
      </c>
      <c r="E4" s="2"/>
      <c r="G4" s="2"/>
      <c r="H4" s="2"/>
      <c r="I4" s="2"/>
      <c r="J4" s="3"/>
      <c r="K4" s="2"/>
      <c r="L4" s="2"/>
    </row>
    <row r="5" spans="1:207" x14ac:dyDescent="0.2">
      <c r="A5" t="s">
        <v>22</v>
      </c>
      <c r="B5" s="2" t="s">
        <v>17</v>
      </c>
      <c r="C5" s="2" t="s">
        <v>18</v>
      </c>
      <c r="E5" s="2"/>
      <c r="G5" s="2"/>
      <c r="H5" s="2"/>
      <c r="I5" s="2"/>
      <c r="J5" s="3"/>
      <c r="K5" s="2"/>
      <c r="L5" s="2"/>
    </row>
    <row r="6" spans="1:207" x14ac:dyDescent="0.2">
      <c r="A6" t="s">
        <v>21</v>
      </c>
      <c r="B6" s="2" t="s">
        <v>19</v>
      </c>
      <c r="C6" s="2" t="s">
        <v>20</v>
      </c>
      <c r="E6" s="2"/>
      <c r="G6" s="5" t="s">
        <v>64</v>
      </c>
      <c r="H6" s="2"/>
      <c r="I6" s="2"/>
      <c r="J6" s="3"/>
      <c r="K6" s="2"/>
      <c r="L6" s="2"/>
    </row>
    <row r="7" spans="1:207" x14ac:dyDescent="0.2">
      <c r="A7" t="s">
        <v>23</v>
      </c>
      <c r="B7" s="2" t="s">
        <v>24</v>
      </c>
      <c r="C7" s="2" t="s">
        <v>25</v>
      </c>
      <c r="E7" s="2"/>
      <c r="F7" t="s">
        <v>60</v>
      </c>
      <c r="G7" s="3">
        <f>SUM(G15,G27,G39,G51,G63,G75,G87)/7</f>
        <v>25.45751923142857</v>
      </c>
      <c r="H7" s="4"/>
      <c r="I7" s="3"/>
      <c r="J7" s="3"/>
      <c r="K7" s="3"/>
      <c r="L7" s="2"/>
    </row>
    <row r="8" spans="1:207" x14ac:dyDescent="0.2">
      <c r="A8" t="s">
        <v>62</v>
      </c>
      <c r="B8" s="2"/>
      <c r="C8" s="2"/>
      <c r="E8" s="2"/>
      <c r="F8" t="s">
        <v>56</v>
      </c>
      <c r="G8" s="3">
        <f>SUM(G17,G29,G41,G53,G65,G77,G89)/7</f>
        <v>28.188565157142854</v>
      </c>
      <c r="H8" s="4"/>
      <c r="I8" s="3"/>
      <c r="J8" s="3"/>
      <c r="K8" s="3"/>
    </row>
    <row r="9" spans="1:207" x14ac:dyDescent="0.2">
      <c r="A9" t="s">
        <v>52</v>
      </c>
      <c r="E9" s="2"/>
      <c r="F9" t="s">
        <v>59</v>
      </c>
      <c r="G9" s="3">
        <f>SUM(G19,G31,G43,G55,G67,G79,G91)/7</f>
        <v>29.318811251428571</v>
      </c>
      <c r="H9" s="4"/>
      <c r="I9" s="3"/>
      <c r="J9" s="3"/>
      <c r="K9" s="3"/>
    </row>
    <row r="10" spans="1:207" x14ac:dyDescent="0.2">
      <c r="A10" t="s">
        <v>7</v>
      </c>
      <c r="B10" s="2"/>
      <c r="C10" s="2"/>
      <c r="D10" s="2"/>
      <c r="E10" s="2"/>
      <c r="F10" t="s">
        <v>58</v>
      </c>
      <c r="G10" s="3">
        <f>SUM(G21,G33,G45,G57,G69,G81,G93)/7</f>
        <v>23.858219222857144</v>
      </c>
      <c r="H10" s="4"/>
      <c r="I10" s="3"/>
      <c r="J10" s="3"/>
      <c r="K10" s="3"/>
    </row>
    <row r="11" spans="1:207" x14ac:dyDescent="0.2">
      <c r="F11" t="s">
        <v>57</v>
      </c>
      <c r="G11" s="3">
        <f>SUM(G23,G35,G47,G59,G71,G83,G95)/7</f>
        <v>24.048697790000002</v>
      </c>
      <c r="H11" s="4"/>
      <c r="I11" s="3"/>
      <c r="J11" s="3"/>
      <c r="K11" s="3"/>
    </row>
    <row r="13" spans="1:207" x14ac:dyDescent="0.2">
      <c r="B13" t="s">
        <v>63</v>
      </c>
      <c r="D13" s="1" t="s">
        <v>30</v>
      </c>
    </row>
    <row r="14" spans="1:207" x14ac:dyDescent="0.2">
      <c r="B14" s="2" t="s">
        <v>27</v>
      </c>
      <c r="D14" s="1" t="s">
        <v>8</v>
      </c>
      <c r="E14" s="1" t="s">
        <v>9</v>
      </c>
      <c r="F14" s="1" t="s">
        <v>10</v>
      </c>
      <c r="G14" s="1" t="s">
        <v>11</v>
      </c>
      <c r="H14" s="1" t="s">
        <v>12</v>
      </c>
      <c r="I14" s="1" t="s">
        <v>13</v>
      </c>
      <c r="J14" s="1" t="s">
        <v>14</v>
      </c>
      <c r="K14" s="1" t="s">
        <v>15</v>
      </c>
      <c r="L14" s="1"/>
      <c r="M14" s="1" t="s">
        <v>16</v>
      </c>
    </row>
    <row r="15" spans="1:207" x14ac:dyDescent="0.2">
      <c r="B15" s="2" t="s">
        <v>28</v>
      </c>
      <c r="D15" t="s">
        <v>3</v>
      </c>
      <c r="E15" t="s">
        <v>1</v>
      </c>
      <c r="F15">
        <f>COUNT(M15:GJ15)</f>
        <v>100</v>
      </c>
      <c r="G15" s="3">
        <f>AVERAGE(M15:GJ15)</f>
        <v>13.409853570000003</v>
      </c>
      <c r="H15" s="3">
        <f>MAX(M15:GJ15)</f>
        <v>20.030488999999999</v>
      </c>
      <c r="I15" s="3">
        <f>MIN(M15:GJ15)</f>
        <v>8.8964789999999994</v>
      </c>
      <c r="J15" s="3">
        <f>_xlfn.STDEV.P(M15:GJ15)</f>
        <v>2.5866885658515373</v>
      </c>
      <c r="K15" s="3">
        <f>_xlfn.VAR.S(M15:GJ15)</f>
        <v>6.7585431683909691</v>
      </c>
      <c r="M15" s="3">
        <v>15.792540000000001</v>
      </c>
      <c r="N15" s="3">
        <v>14.494717</v>
      </c>
      <c r="O15" s="3">
        <v>12.081713000000001</v>
      </c>
      <c r="P15" s="3">
        <v>10.781535999999999</v>
      </c>
      <c r="Q15" s="3">
        <v>16.623408999999999</v>
      </c>
      <c r="R15" s="3">
        <v>12.889127999999999</v>
      </c>
      <c r="S15" s="3">
        <v>19.524878000000001</v>
      </c>
      <c r="T15" s="3">
        <v>11.964040000000001</v>
      </c>
      <c r="U15" s="3">
        <v>16.111301000000001</v>
      </c>
      <c r="V15" s="3">
        <v>16.349298000000001</v>
      </c>
      <c r="W15" s="3">
        <v>14.993798</v>
      </c>
      <c r="X15" s="3">
        <v>12.564337</v>
      </c>
      <c r="Y15" s="3">
        <v>12.527082999999999</v>
      </c>
      <c r="Z15" s="3">
        <v>9.6549379999999996</v>
      </c>
      <c r="AA15" s="3">
        <v>16.056947999999998</v>
      </c>
      <c r="AB15" s="3">
        <v>17.458693</v>
      </c>
      <c r="AC15" s="3">
        <v>11.306334</v>
      </c>
      <c r="AD15" s="3">
        <v>12.184492000000001</v>
      </c>
      <c r="AE15" s="3">
        <v>17.068992999999999</v>
      </c>
      <c r="AF15" s="3">
        <v>14.077456</v>
      </c>
      <c r="AG15" s="3">
        <v>19.782430999999999</v>
      </c>
      <c r="AH15" s="3">
        <v>12.417555999999999</v>
      </c>
      <c r="AI15" s="3">
        <v>10.835159000000001</v>
      </c>
      <c r="AJ15" s="3">
        <v>9.0951430000000002</v>
      </c>
      <c r="AK15" s="3">
        <v>11.17065</v>
      </c>
      <c r="AL15" s="3">
        <v>11.232796</v>
      </c>
      <c r="AM15" s="3">
        <v>10.184927</v>
      </c>
      <c r="AN15" s="3">
        <v>11.213913</v>
      </c>
      <c r="AO15" s="3">
        <v>13.266496999999999</v>
      </c>
      <c r="AP15" s="3">
        <v>16.213522000000001</v>
      </c>
      <c r="AQ15" s="3">
        <v>14.995293999999999</v>
      </c>
      <c r="AR15" s="3">
        <v>12.533004999999999</v>
      </c>
      <c r="AS15" s="3">
        <v>12.027531</v>
      </c>
      <c r="AT15" s="3">
        <v>12.556751999999999</v>
      </c>
      <c r="AU15" s="3">
        <v>9.1472020000000001</v>
      </c>
      <c r="AV15" s="3">
        <v>20.030488999999999</v>
      </c>
      <c r="AW15" s="3">
        <v>10.299123</v>
      </c>
      <c r="AX15" s="3">
        <v>11.240275</v>
      </c>
      <c r="AY15" s="3">
        <v>9.6786549999999991</v>
      </c>
      <c r="AZ15" s="3">
        <v>15.207545</v>
      </c>
      <c r="BA15" s="3">
        <v>14.807670999999999</v>
      </c>
      <c r="BB15" s="3">
        <v>11.490140999999999</v>
      </c>
      <c r="BC15" s="3">
        <v>16.653926999999999</v>
      </c>
      <c r="BD15" s="3">
        <v>18.384184000000001</v>
      </c>
      <c r="BE15" s="3">
        <v>12.580295</v>
      </c>
      <c r="BF15" s="3">
        <v>17.627552000000001</v>
      </c>
      <c r="BG15" s="3">
        <v>17.385245999999999</v>
      </c>
      <c r="BH15" s="3">
        <v>16.880441999999999</v>
      </c>
      <c r="BI15" s="3">
        <v>13.540505</v>
      </c>
      <c r="BJ15" s="3">
        <v>16.182469999999999</v>
      </c>
      <c r="BK15" s="3">
        <v>14.193152</v>
      </c>
      <c r="BL15" s="3">
        <v>12.642109</v>
      </c>
      <c r="BM15" s="3">
        <v>10.196764</v>
      </c>
      <c r="BN15" s="3">
        <v>10.151586999999999</v>
      </c>
      <c r="BO15" s="3">
        <v>15.829864000000001</v>
      </c>
      <c r="BP15" s="3">
        <v>18.42174</v>
      </c>
      <c r="BQ15" s="3">
        <v>11.681889</v>
      </c>
      <c r="BR15" s="3">
        <v>11.171034000000001</v>
      </c>
      <c r="BS15" s="3">
        <v>10.322824000000001</v>
      </c>
      <c r="BT15" s="3">
        <v>13.018706999999999</v>
      </c>
      <c r="BU15" s="3">
        <v>15.869135</v>
      </c>
      <c r="BV15" s="3">
        <v>12.319818</v>
      </c>
      <c r="BW15" s="3">
        <v>12.337035999999999</v>
      </c>
      <c r="BX15" s="3">
        <v>14.403936</v>
      </c>
      <c r="BY15" s="3">
        <v>11.673349999999999</v>
      </c>
      <c r="BZ15" s="3">
        <v>14.063715999999999</v>
      </c>
      <c r="CA15" s="3">
        <v>15.392001</v>
      </c>
      <c r="CB15" s="3">
        <v>16.663889000000001</v>
      </c>
      <c r="CC15" s="3">
        <v>12.705308</v>
      </c>
      <c r="CD15" s="3">
        <v>17.100487000000001</v>
      </c>
      <c r="CE15" s="3">
        <v>13.338882999999999</v>
      </c>
      <c r="CF15" s="3">
        <v>13.060231</v>
      </c>
      <c r="CG15" s="3">
        <v>10.958576000000001</v>
      </c>
      <c r="CH15" s="3">
        <v>11.635983</v>
      </c>
      <c r="CI15" s="3">
        <v>14.285341000000001</v>
      </c>
      <c r="CJ15" s="3">
        <v>11.876416000000001</v>
      </c>
      <c r="CK15" s="3">
        <v>10.770842999999999</v>
      </c>
      <c r="CL15" s="3">
        <v>8.8964789999999994</v>
      </c>
      <c r="CM15" s="3">
        <v>16.164663000000001</v>
      </c>
      <c r="CN15" s="3">
        <v>11.090608</v>
      </c>
      <c r="CO15" s="3">
        <v>14.217665999999999</v>
      </c>
      <c r="CP15" s="3">
        <v>14.258372</v>
      </c>
      <c r="CQ15" s="3">
        <v>12.181486</v>
      </c>
      <c r="CR15" s="3">
        <v>13.483052000000001</v>
      </c>
      <c r="CS15" s="3">
        <v>15.237093</v>
      </c>
      <c r="CT15" s="3">
        <v>14.217279</v>
      </c>
      <c r="CU15" s="3">
        <v>12.063675</v>
      </c>
      <c r="CV15" s="3">
        <v>12.913568</v>
      </c>
      <c r="CW15" s="3">
        <v>10.252864000000001</v>
      </c>
      <c r="CX15" s="3">
        <v>13.995424</v>
      </c>
      <c r="CY15" s="3">
        <v>14.97747</v>
      </c>
      <c r="CZ15" s="3">
        <v>15.785712999999999</v>
      </c>
      <c r="DA15" s="3">
        <v>11.665851999999999</v>
      </c>
      <c r="DB15" s="3">
        <v>11.513318999999999</v>
      </c>
      <c r="DC15" s="3">
        <v>10.494085</v>
      </c>
      <c r="DD15" s="3">
        <v>10.802788</v>
      </c>
      <c r="DE15" s="3">
        <v>14.345724000000001</v>
      </c>
      <c r="DF15" s="3">
        <v>10.499150999999999</v>
      </c>
      <c r="DG15" s="3">
        <v>11.230810999999999</v>
      </c>
      <c r="DH15" s="3">
        <v>11.447066</v>
      </c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B16" s="2" t="s">
        <v>29</v>
      </c>
      <c r="G16" s="3"/>
      <c r="H16" s="3"/>
      <c r="I16" s="3"/>
      <c r="J16" s="3"/>
      <c r="K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D17" t="s">
        <v>4</v>
      </c>
      <c r="E17" t="s">
        <v>1</v>
      </c>
      <c r="F17">
        <f>COUNT(M17:GJ17)</f>
        <v>100</v>
      </c>
      <c r="G17" s="3">
        <f>AVERAGE(M17:GJ17)</f>
        <v>22.752518129999995</v>
      </c>
      <c r="H17" s="3">
        <f>MAX(M17:GJ17)</f>
        <v>31.692793000000002</v>
      </c>
      <c r="I17" s="3">
        <f>MIN(M17:GJ17)</f>
        <v>10.246613</v>
      </c>
      <c r="J17" s="3">
        <f>_xlfn.STDEV.P(M17:GJ17)</f>
        <v>5.0820276212918731</v>
      </c>
      <c r="K17" s="3">
        <f>_xlfn.VAR.S(M17:GJ17)</f>
        <v>26.087883579367233</v>
      </c>
      <c r="M17" s="3">
        <v>31.284314999999999</v>
      </c>
      <c r="N17" s="3">
        <v>28.049078000000002</v>
      </c>
      <c r="O17" s="3">
        <v>25.535053000000001</v>
      </c>
      <c r="P17" s="3">
        <v>26.115490000000001</v>
      </c>
      <c r="Q17" s="3">
        <v>17.644870999999998</v>
      </c>
      <c r="R17" s="3">
        <v>24.626362</v>
      </c>
      <c r="S17" s="3">
        <v>29.512108000000001</v>
      </c>
      <c r="T17" s="3">
        <v>23.059436999999999</v>
      </c>
      <c r="U17" s="3">
        <v>24.124120999999999</v>
      </c>
      <c r="V17" s="3">
        <v>28.306903999999999</v>
      </c>
      <c r="W17" s="3">
        <v>28.624110999999999</v>
      </c>
      <c r="X17" s="3">
        <v>24.337243999999998</v>
      </c>
      <c r="Y17" s="3">
        <v>26.156072999999999</v>
      </c>
      <c r="Z17" s="3">
        <v>28.139157999999998</v>
      </c>
      <c r="AA17" s="3">
        <v>30.062801</v>
      </c>
      <c r="AB17" s="3">
        <v>23.238707000000002</v>
      </c>
      <c r="AC17" s="3">
        <v>25.603546000000001</v>
      </c>
      <c r="AD17" s="3">
        <v>25.792849</v>
      </c>
      <c r="AE17" s="3">
        <v>15.002719000000001</v>
      </c>
      <c r="AF17" s="3">
        <v>20.550796999999999</v>
      </c>
      <c r="AG17" s="3">
        <v>24.779029999999999</v>
      </c>
      <c r="AH17" s="3">
        <v>26.962654000000001</v>
      </c>
      <c r="AI17" s="3">
        <v>24.543960999999999</v>
      </c>
      <c r="AJ17" s="3">
        <v>25.282184999999998</v>
      </c>
      <c r="AK17" s="3">
        <v>31.692793000000002</v>
      </c>
      <c r="AL17" s="3">
        <v>26.284137999999999</v>
      </c>
      <c r="AM17" s="3">
        <v>15.281376</v>
      </c>
      <c r="AN17" s="3">
        <v>22.195596999999999</v>
      </c>
      <c r="AO17" s="3">
        <v>11.699396999999999</v>
      </c>
      <c r="AP17" s="3">
        <v>16.778095</v>
      </c>
      <c r="AQ17" s="3">
        <v>21.593219999999999</v>
      </c>
      <c r="AR17" s="3">
        <v>14.410826999999999</v>
      </c>
      <c r="AS17" s="3">
        <v>12.758334</v>
      </c>
      <c r="AT17" s="3">
        <v>10.597094999999999</v>
      </c>
      <c r="AU17" s="3">
        <v>16.051511999999999</v>
      </c>
      <c r="AV17" s="3">
        <v>23.61692</v>
      </c>
      <c r="AW17" s="3">
        <v>28.180067000000001</v>
      </c>
      <c r="AX17" s="3">
        <v>26.963260999999999</v>
      </c>
      <c r="AY17" s="3">
        <v>22.157961</v>
      </c>
      <c r="AZ17" s="3">
        <v>23.586186999999999</v>
      </c>
      <c r="BA17" s="3">
        <v>27.515309999999999</v>
      </c>
      <c r="BB17" s="3">
        <v>26.961383999999999</v>
      </c>
      <c r="BC17" s="3">
        <v>16.589193000000002</v>
      </c>
      <c r="BD17" s="3">
        <v>25.011130999999999</v>
      </c>
      <c r="BE17" s="3">
        <v>17.669170000000001</v>
      </c>
      <c r="BF17" s="3">
        <v>25.822980999999999</v>
      </c>
      <c r="BG17" s="3">
        <v>21.239678999999999</v>
      </c>
      <c r="BH17" s="3">
        <v>23.775950999999999</v>
      </c>
      <c r="BI17" s="3">
        <v>24.559763</v>
      </c>
      <c r="BJ17" s="3">
        <v>20.352236000000001</v>
      </c>
      <c r="BK17" s="3">
        <v>18.873073999999999</v>
      </c>
      <c r="BL17" s="3">
        <v>26.834876999999999</v>
      </c>
      <c r="BM17" s="3">
        <v>31.43338</v>
      </c>
      <c r="BN17" s="3">
        <v>29.385000000000002</v>
      </c>
      <c r="BO17" s="3">
        <v>16.440394999999999</v>
      </c>
      <c r="BP17" s="3">
        <v>26.389859999999999</v>
      </c>
      <c r="BQ17" s="3">
        <v>26.907758999999999</v>
      </c>
      <c r="BR17" s="3">
        <v>24.409106999999999</v>
      </c>
      <c r="BS17" s="3">
        <v>25.422678000000001</v>
      </c>
      <c r="BT17" s="3">
        <v>21.852549</v>
      </c>
      <c r="BU17" s="3">
        <v>23.119109999999999</v>
      </c>
      <c r="BV17" s="3">
        <v>26.352827000000001</v>
      </c>
      <c r="BW17" s="3">
        <v>24.235465999999999</v>
      </c>
      <c r="BX17" s="3">
        <v>18.755873000000001</v>
      </c>
      <c r="BY17" s="3">
        <v>22.232697000000002</v>
      </c>
      <c r="BZ17" s="3">
        <v>24.657395999999999</v>
      </c>
      <c r="CA17" s="3">
        <v>24.506329000000001</v>
      </c>
      <c r="CB17" s="3">
        <v>24.425764000000001</v>
      </c>
      <c r="CC17" s="3">
        <v>13.776374000000001</v>
      </c>
      <c r="CD17" s="3">
        <v>24.781300000000002</v>
      </c>
      <c r="CE17" s="3">
        <v>23.544454999999999</v>
      </c>
      <c r="CF17" s="3">
        <v>26.299164000000001</v>
      </c>
      <c r="CG17" s="3">
        <v>30.843561000000001</v>
      </c>
      <c r="CH17" s="3">
        <v>26.045418000000002</v>
      </c>
      <c r="CI17" s="3">
        <v>26.025729999999999</v>
      </c>
      <c r="CJ17" s="3">
        <v>26.312301999999999</v>
      </c>
      <c r="CK17" s="3">
        <v>18.756689000000001</v>
      </c>
      <c r="CL17" s="3">
        <v>14.550470000000001</v>
      </c>
      <c r="CM17" s="3">
        <v>25.152452</v>
      </c>
      <c r="CN17" s="3">
        <v>13.587434</v>
      </c>
      <c r="CO17" s="3">
        <v>24.338093000000001</v>
      </c>
      <c r="CP17" s="3">
        <v>16.999162999999999</v>
      </c>
      <c r="CQ17" s="3">
        <v>10.477819999999999</v>
      </c>
      <c r="CR17" s="3">
        <v>21.113821000000002</v>
      </c>
      <c r="CS17" s="3">
        <v>24.598309</v>
      </c>
      <c r="CT17" s="3">
        <v>26.069489000000001</v>
      </c>
      <c r="CU17" s="3">
        <v>15.555164</v>
      </c>
      <c r="CV17" s="3">
        <v>22.562477000000001</v>
      </c>
      <c r="CW17" s="3">
        <v>10.246613</v>
      </c>
      <c r="CX17" s="3">
        <v>24.770782000000001</v>
      </c>
      <c r="CY17" s="3">
        <v>23.939879999999999</v>
      </c>
      <c r="CZ17" s="3">
        <v>26.135248000000001</v>
      </c>
      <c r="DA17" s="3">
        <v>16.10248</v>
      </c>
      <c r="DB17" s="3">
        <v>28.300011000000001</v>
      </c>
      <c r="DC17" s="3">
        <v>16.090707999999999</v>
      </c>
      <c r="DD17" s="3">
        <v>21.806581000000001</v>
      </c>
      <c r="DE17" s="3">
        <v>22.599367000000001</v>
      </c>
      <c r="DF17" s="3">
        <v>15.334593</v>
      </c>
      <c r="DG17" s="3">
        <v>19.290651</v>
      </c>
      <c r="DH17" s="3">
        <v>22.333921</v>
      </c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G18" s="3"/>
      <c r="H18" s="3"/>
      <c r="I18" s="3"/>
      <c r="J18" s="3"/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D19" t="s">
        <v>2</v>
      </c>
      <c r="E19" t="s">
        <v>1</v>
      </c>
      <c r="F19">
        <f>COUNT(M19:GJ19)</f>
        <v>100</v>
      </c>
      <c r="G19" s="3">
        <f>AVERAGE(M19:GJ19)</f>
        <v>25.437302909999993</v>
      </c>
      <c r="H19" s="3">
        <f>MAX(M19:GJ19)</f>
        <v>32.373660999999998</v>
      </c>
      <c r="I19" s="3">
        <f>MIN(M19:GJ19)</f>
        <v>21.903994000000001</v>
      </c>
      <c r="J19" s="3">
        <f>_xlfn.STDEV.P(M19:GJ19)</f>
        <v>1.5307569908396044</v>
      </c>
      <c r="K19" s="3">
        <f>_xlfn.VAR.S(M19:GJ19)</f>
        <v>2.3668858232366872</v>
      </c>
      <c r="M19" s="3">
        <v>25.049406000000001</v>
      </c>
      <c r="N19" s="3">
        <v>25.113911000000002</v>
      </c>
      <c r="O19" s="3">
        <v>27.698349</v>
      </c>
      <c r="P19" s="3">
        <v>27.901890000000002</v>
      </c>
      <c r="Q19" s="3">
        <v>23.928654000000002</v>
      </c>
      <c r="R19" s="3">
        <v>25.230367999999999</v>
      </c>
      <c r="S19" s="3">
        <v>27.443633999999999</v>
      </c>
      <c r="T19" s="3">
        <v>23.448851000000001</v>
      </c>
      <c r="U19" s="3">
        <v>28.294585999999999</v>
      </c>
      <c r="V19" s="3">
        <v>24.755103999999999</v>
      </c>
      <c r="W19" s="3">
        <v>24.906310999999999</v>
      </c>
      <c r="X19" s="3">
        <v>26.340765000000001</v>
      </c>
      <c r="Y19" s="3">
        <v>25.718803000000001</v>
      </c>
      <c r="Z19" s="3">
        <v>25.507652</v>
      </c>
      <c r="AA19" s="3">
        <v>26.699864999999999</v>
      </c>
      <c r="AB19" s="3">
        <v>26.39002</v>
      </c>
      <c r="AC19" s="3">
        <v>25.198536000000001</v>
      </c>
      <c r="AD19" s="3">
        <v>25.128695</v>
      </c>
      <c r="AE19" s="3">
        <v>24.740286000000001</v>
      </c>
      <c r="AF19" s="3">
        <v>24.566557</v>
      </c>
      <c r="AG19" s="3">
        <v>25.598759000000001</v>
      </c>
      <c r="AH19" s="3">
        <v>24.287662999999998</v>
      </c>
      <c r="AI19" s="3">
        <v>25.196949</v>
      </c>
      <c r="AJ19" s="3">
        <v>26.269369000000001</v>
      </c>
      <c r="AK19" s="3">
        <v>24.130355999999999</v>
      </c>
      <c r="AL19" s="3">
        <v>25.867228000000001</v>
      </c>
      <c r="AM19" s="3">
        <v>25.403770000000002</v>
      </c>
      <c r="AN19" s="3">
        <v>26.027021000000001</v>
      </c>
      <c r="AO19" s="3">
        <v>23.993179000000001</v>
      </c>
      <c r="AP19" s="3">
        <v>24.052188999999998</v>
      </c>
      <c r="AQ19" s="3">
        <v>26.236654000000001</v>
      </c>
      <c r="AR19" s="3">
        <v>27.136396000000001</v>
      </c>
      <c r="AS19" s="3">
        <v>23.346772999999999</v>
      </c>
      <c r="AT19" s="3">
        <v>26.066946000000002</v>
      </c>
      <c r="AU19" s="3">
        <v>25.394984999999998</v>
      </c>
      <c r="AV19" s="3">
        <v>27.278728000000001</v>
      </c>
      <c r="AW19" s="3">
        <v>25.986612000000001</v>
      </c>
      <c r="AX19" s="3">
        <v>24.334547000000001</v>
      </c>
      <c r="AY19" s="3">
        <v>25.346577</v>
      </c>
      <c r="AZ19" s="3">
        <v>27.383203999999999</v>
      </c>
      <c r="BA19" s="3">
        <v>32.373660999999998</v>
      </c>
      <c r="BB19" s="3">
        <v>26.319714000000001</v>
      </c>
      <c r="BC19" s="3">
        <v>24.660561000000001</v>
      </c>
      <c r="BD19" s="3">
        <v>24.322285000000001</v>
      </c>
      <c r="BE19" s="3">
        <v>26.326141</v>
      </c>
      <c r="BF19" s="3">
        <v>29.329522999999998</v>
      </c>
      <c r="BG19" s="3">
        <v>28.035542</v>
      </c>
      <c r="BH19" s="3">
        <v>28.019950999999999</v>
      </c>
      <c r="BI19" s="3">
        <v>26.983011000000001</v>
      </c>
      <c r="BJ19" s="3">
        <v>26.187125999999999</v>
      </c>
      <c r="BK19" s="3">
        <v>27.351866000000001</v>
      </c>
      <c r="BL19" s="3">
        <v>25.254754999999999</v>
      </c>
      <c r="BM19" s="3">
        <v>24.733861999999998</v>
      </c>
      <c r="BN19" s="3">
        <v>24.971575000000001</v>
      </c>
      <c r="BO19" s="3">
        <v>23.937614</v>
      </c>
      <c r="BP19" s="3">
        <v>25.772081</v>
      </c>
      <c r="BQ19" s="3">
        <v>24.762485999999999</v>
      </c>
      <c r="BR19" s="3">
        <v>25.444873999999999</v>
      </c>
      <c r="BS19" s="3">
        <v>25.001384999999999</v>
      </c>
      <c r="BT19" s="3">
        <v>23.953989</v>
      </c>
      <c r="BU19" s="3">
        <v>23.331890000000001</v>
      </c>
      <c r="BV19" s="3">
        <v>26.268583</v>
      </c>
      <c r="BW19" s="3">
        <v>27.960087000000001</v>
      </c>
      <c r="BX19" s="3">
        <v>24.362431999999998</v>
      </c>
      <c r="BY19" s="3">
        <v>24.120905</v>
      </c>
      <c r="BZ19" s="3">
        <v>25.822374</v>
      </c>
      <c r="CA19" s="3">
        <v>26.783588000000002</v>
      </c>
      <c r="CB19" s="3">
        <v>25.903123999999998</v>
      </c>
      <c r="CC19" s="3">
        <v>23.662071000000001</v>
      </c>
      <c r="CD19" s="3">
        <v>24.483494</v>
      </c>
      <c r="CE19" s="3">
        <v>23.660025000000001</v>
      </c>
      <c r="CF19" s="3">
        <v>26.372188999999999</v>
      </c>
      <c r="CG19" s="3">
        <v>23.730021000000001</v>
      </c>
      <c r="CH19" s="3">
        <v>27.116599999999998</v>
      </c>
      <c r="CI19" s="3">
        <v>27.40523</v>
      </c>
      <c r="CJ19" s="3">
        <v>25.376318000000001</v>
      </c>
      <c r="CK19" s="3">
        <v>24.968302000000001</v>
      </c>
      <c r="CL19" s="3">
        <v>24.801103999999999</v>
      </c>
      <c r="CM19" s="3">
        <v>26.591626999999999</v>
      </c>
      <c r="CN19" s="3">
        <v>24.654951000000001</v>
      </c>
      <c r="CO19" s="3">
        <v>24.427499999999998</v>
      </c>
      <c r="CP19" s="3">
        <v>24.279411</v>
      </c>
      <c r="CQ19" s="3">
        <v>24.395188999999998</v>
      </c>
      <c r="CR19" s="3">
        <v>25.474506000000002</v>
      </c>
      <c r="CS19" s="3">
        <v>24.320412000000001</v>
      </c>
      <c r="CT19" s="3">
        <v>22.162797999999999</v>
      </c>
      <c r="CU19" s="3">
        <v>24.469929</v>
      </c>
      <c r="CV19" s="3">
        <v>24.754255000000001</v>
      </c>
      <c r="CW19" s="3">
        <v>24.536066000000002</v>
      </c>
      <c r="CX19" s="3">
        <v>25.000879000000001</v>
      </c>
      <c r="CY19" s="3">
        <v>24.177226999999998</v>
      </c>
      <c r="CZ19" s="3">
        <v>25.656168000000001</v>
      </c>
      <c r="DA19" s="3">
        <v>25.399208000000002</v>
      </c>
      <c r="DB19" s="3">
        <v>24.520057999999999</v>
      </c>
      <c r="DC19" s="3">
        <v>26.908545</v>
      </c>
      <c r="DD19" s="3">
        <v>21.903994000000001</v>
      </c>
      <c r="DE19" s="3">
        <v>23.286079000000001</v>
      </c>
      <c r="DF19" s="3">
        <v>24.845324999999999</v>
      </c>
      <c r="DG19" s="3">
        <v>25.278497999999999</v>
      </c>
      <c r="DH19" s="3">
        <v>23.417179000000001</v>
      </c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G20" s="3"/>
      <c r="H20" s="3"/>
      <c r="I20" s="3"/>
      <c r="J20" s="3"/>
      <c r="K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D21" t="s">
        <v>5</v>
      </c>
      <c r="E21" t="s">
        <v>1</v>
      </c>
      <c r="F21">
        <f>COUNT(M21:GJ21)</f>
        <v>100</v>
      </c>
      <c r="G21" s="3">
        <f>AVERAGE(M21:GJ21)</f>
        <v>18.587307530000004</v>
      </c>
      <c r="H21" s="3">
        <f>MAX(M21:GJ21)</f>
        <v>26.443086999999998</v>
      </c>
      <c r="I21" s="3">
        <f>MIN(M21:GJ21)</f>
        <v>12.635122000000001</v>
      </c>
      <c r="J21" s="3">
        <f>_xlfn.STDEV.P(M21:GJ21)</f>
        <v>3.3100962799806926</v>
      </c>
      <c r="K21" s="3">
        <f>_xlfn.VAR.S(M21:GJ21)</f>
        <v>11.067411497719259</v>
      </c>
      <c r="M21" s="3">
        <v>25.095860999999999</v>
      </c>
      <c r="N21" s="3">
        <v>20.915095999999998</v>
      </c>
      <c r="O21" s="3">
        <v>13.459232999999999</v>
      </c>
      <c r="P21" s="3">
        <v>17.504711</v>
      </c>
      <c r="Q21" s="3">
        <v>23.465921000000002</v>
      </c>
      <c r="R21" s="3">
        <v>20.621496</v>
      </c>
      <c r="S21" s="3">
        <v>13.375873</v>
      </c>
      <c r="T21" s="3">
        <v>16.317011000000001</v>
      </c>
      <c r="U21" s="3">
        <v>13.993812</v>
      </c>
      <c r="V21" s="3">
        <v>15.013306999999999</v>
      </c>
      <c r="W21" s="3">
        <v>14.172404999999999</v>
      </c>
      <c r="X21" s="3">
        <v>12.635122000000001</v>
      </c>
      <c r="Y21" s="3">
        <v>18.263269000000001</v>
      </c>
      <c r="Z21" s="3">
        <v>23.073288000000002</v>
      </c>
      <c r="AA21" s="3">
        <v>17.594844999999999</v>
      </c>
      <c r="AB21" s="3">
        <v>15.538626000000001</v>
      </c>
      <c r="AC21" s="3">
        <v>14.980620999999999</v>
      </c>
      <c r="AD21" s="3">
        <v>22.547663</v>
      </c>
      <c r="AE21" s="3">
        <v>22.862352000000001</v>
      </c>
      <c r="AF21" s="3">
        <v>15.872934000000001</v>
      </c>
      <c r="AG21" s="3">
        <v>20.652394999999999</v>
      </c>
      <c r="AH21" s="3">
        <v>24.219242000000001</v>
      </c>
      <c r="AI21" s="3">
        <v>16.298428999999999</v>
      </c>
      <c r="AJ21" s="3">
        <v>17.391259999999999</v>
      </c>
      <c r="AK21" s="3">
        <v>19.471388000000001</v>
      </c>
      <c r="AL21" s="3">
        <v>16.462498</v>
      </c>
      <c r="AM21" s="3">
        <v>20.726341000000001</v>
      </c>
      <c r="AN21" s="3">
        <v>15.804106000000001</v>
      </c>
      <c r="AO21" s="3">
        <v>15.650957</v>
      </c>
      <c r="AP21" s="3">
        <v>17.96603</v>
      </c>
      <c r="AQ21" s="3">
        <v>18.805433000000001</v>
      </c>
      <c r="AR21" s="3">
        <v>21.836583999999998</v>
      </c>
      <c r="AS21" s="3">
        <v>16.284327999999999</v>
      </c>
      <c r="AT21" s="3">
        <v>22.53153</v>
      </c>
      <c r="AU21" s="3">
        <v>15.31324</v>
      </c>
      <c r="AV21" s="3">
        <v>19.606544</v>
      </c>
      <c r="AW21" s="3">
        <v>14.827465</v>
      </c>
      <c r="AX21" s="3">
        <v>15.707458000000001</v>
      </c>
      <c r="AY21" s="3">
        <v>17.963889999999999</v>
      </c>
      <c r="AZ21" s="3">
        <v>20.887201000000001</v>
      </c>
      <c r="BA21" s="3">
        <v>15.843427</v>
      </c>
      <c r="BB21" s="3">
        <v>16.817093</v>
      </c>
      <c r="BC21" s="3">
        <v>17.025991000000001</v>
      </c>
      <c r="BD21" s="3">
        <v>17.922799999999999</v>
      </c>
      <c r="BE21" s="3">
        <v>19.989922</v>
      </c>
      <c r="BF21" s="3">
        <v>21.540869000000001</v>
      </c>
      <c r="BG21" s="3">
        <v>18.762927999999999</v>
      </c>
      <c r="BH21" s="3">
        <v>26.443086999999998</v>
      </c>
      <c r="BI21" s="3">
        <v>20.236387000000001</v>
      </c>
      <c r="BJ21" s="3">
        <v>15.388802999999999</v>
      </c>
      <c r="BK21" s="3">
        <v>13.482101</v>
      </c>
      <c r="BL21" s="3">
        <v>23.662303999999999</v>
      </c>
      <c r="BM21" s="3">
        <v>19.137163000000001</v>
      </c>
      <c r="BN21" s="3">
        <v>23.209599000000001</v>
      </c>
      <c r="BO21" s="3">
        <v>20.341366000000001</v>
      </c>
      <c r="BP21" s="3">
        <v>23.377303999999999</v>
      </c>
      <c r="BQ21" s="3">
        <v>24.640502999999999</v>
      </c>
      <c r="BR21" s="3">
        <v>18.630997000000001</v>
      </c>
      <c r="BS21" s="3">
        <v>14.15643</v>
      </c>
      <c r="BT21" s="3">
        <v>14.524478999999999</v>
      </c>
      <c r="BU21" s="3">
        <v>15.794188</v>
      </c>
      <c r="BV21" s="3">
        <v>23.414535999999998</v>
      </c>
      <c r="BW21" s="3">
        <v>14.970217</v>
      </c>
      <c r="BX21" s="3">
        <v>18.461721000000001</v>
      </c>
      <c r="BY21" s="3">
        <v>19.59329</v>
      </c>
      <c r="BZ21" s="3">
        <v>15.561998000000001</v>
      </c>
      <c r="CA21" s="3">
        <v>22.335255</v>
      </c>
      <c r="CB21" s="3">
        <v>15.979968</v>
      </c>
      <c r="CC21" s="3">
        <v>17.324411000000001</v>
      </c>
      <c r="CD21" s="3">
        <v>16.949798999999999</v>
      </c>
      <c r="CE21" s="3">
        <v>21.45919</v>
      </c>
      <c r="CF21" s="3">
        <v>16.553711</v>
      </c>
      <c r="CG21" s="3">
        <v>16.657639</v>
      </c>
      <c r="CH21" s="3">
        <v>17.047203</v>
      </c>
      <c r="CI21" s="3">
        <v>19.085514</v>
      </c>
      <c r="CJ21" s="3">
        <v>16.777926999999998</v>
      </c>
      <c r="CK21" s="3">
        <v>25.066036</v>
      </c>
      <c r="CL21" s="3">
        <v>22.501148000000001</v>
      </c>
      <c r="CM21" s="3">
        <v>21.475124000000001</v>
      </c>
      <c r="CN21" s="3">
        <v>22.598887999999999</v>
      </c>
      <c r="CO21" s="3">
        <v>18.678391999999999</v>
      </c>
      <c r="CP21" s="3">
        <v>25.018957</v>
      </c>
      <c r="CQ21" s="3">
        <v>20.335346000000001</v>
      </c>
      <c r="CR21" s="3">
        <v>18.315128000000001</v>
      </c>
      <c r="CS21" s="3">
        <v>15.545588</v>
      </c>
      <c r="CT21" s="3">
        <v>17.194239</v>
      </c>
      <c r="CU21" s="3">
        <v>23.375402000000001</v>
      </c>
      <c r="CV21" s="3">
        <v>15.486641000000001</v>
      </c>
      <c r="CW21" s="3">
        <v>17.351842999999999</v>
      </c>
      <c r="CX21" s="3">
        <v>15.769356</v>
      </c>
      <c r="CY21" s="3">
        <v>15.83389</v>
      </c>
      <c r="CZ21" s="3">
        <v>20.860102000000001</v>
      </c>
      <c r="DA21" s="3">
        <v>15.373855000000001</v>
      </c>
      <c r="DB21" s="3">
        <v>20.52309</v>
      </c>
      <c r="DC21" s="3">
        <v>15.746618</v>
      </c>
      <c r="DD21" s="3">
        <v>24.720967999999999</v>
      </c>
      <c r="DE21" s="3">
        <v>14.680058000000001</v>
      </c>
      <c r="DF21" s="3">
        <v>16.972832</v>
      </c>
      <c r="DG21" s="3">
        <v>19.508431999999999</v>
      </c>
      <c r="DH21" s="3">
        <v>16.988935000000001</v>
      </c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G22" s="3"/>
      <c r="H22" s="3"/>
      <c r="I22" s="3"/>
      <c r="J22" s="3"/>
      <c r="K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 spans="2:207" x14ac:dyDescent="0.2">
      <c r="D23" t="s">
        <v>6</v>
      </c>
      <c r="E23" t="s">
        <v>1</v>
      </c>
      <c r="F23">
        <f>COUNT(M23:GJ23)</f>
        <v>100</v>
      </c>
      <c r="G23" s="3">
        <f>AVERAGE(M23:GJ23)</f>
        <v>13.459117170000003</v>
      </c>
      <c r="H23" s="3">
        <f>MAX(M23:GJ23)</f>
        <v>23.236431</v>
      </c>
      <c r="I23" s="3">
        <f>MIN(M23:GJ23)</f>
        <v>9.2307579999999998</v>
      </c>
      <c r="J23" s="3">
        <f>_xlfn.STDEV.P(M23:GJ23)</f>
        <v>2.9180537983528003</v>
      </c>
      <c r="K23" s="3">
        <f>_xlfn.VAR.S(M23:GJ23)</f>
        <v>8.6010484546274864</v>
      </c>
      <c r="M23" s="3">
        <v>12.194566</v>
      </c>
      <c r="N23" s="3">
        <v>11.009138999999999</v>
      </c>
      <c r="O23" s="3">
        <v>13.252798</v>
      </c>
      <c r="P23" s="3">
        <v>17.525423</v>
      </c>
      <c r="Q23" s="3">
        <v>12.708169</v>
      </c>
      <c r="R23" s="3">
        <v>10.072362</v>
      </c>
      <c r="S23" s="3">
        <v>12.315244</v>
      </c>
      <c r="T23" s="3">
        <v>13.22514</v>
      </c>
      <c r="U23" s="3">
        <v>15.534381</v>
      </c>
      <c r="V23" s="3">
        <v>12.042486999999999</v>
      </c>
      <c r="W23" s="3">
        <v>13.853376000000001</v>
      </c>
      <c r="X23" s="3">
        <v>16.887674000000001</v>
      </c>
      <c r="Y23" s="3">
        <v>16.595048999999999</v>
      </c>
      <c r="Z23" s="3">
        <v>12.950875999999999</v>
      </c>
      <c r="AA23" s="3">
        <v>12.357676</v>
      </c>
      <c r="AB23" s="3">
        <v>10.303576</v>
      </c>
      <c r="AC23" s="3">
        <v>11.261742999999999</v>
      </c>
      <c r="AD23" s="3">
        <v>16.576412000000001</v>
      </c>
      <c r="AE23" s="3">
        <v>15.577244</v>
      </c>
      <c r="AF23" s="3">
        <v>14.933449</v>
      </c>
      <c r="AG23" s="3">
        <v>15.899736000000001</v>
      </c>
      <c r="AH23" s="3">
        <v>15.223789</v>
      </c>
      <c r="AI23" s="3">
        <v>22.047104000000001</v>
      </c>
      <c r="AJ23" s="3">
        <v>9.6937999999999995</v>
      </c>
      <c r="AK23" s="3">
        <v>15.610471</v>
      </c>
      <c r="AL23" s="3">
        <v>10.724765</v>
      </c>
      <c r="AM23" s="3">
        <v>13.232908999999999</v>
      </c>
      <c r="AN23" s="3">
        <v>11.538622</v>
      </c>
      <c r="AO23" s="3">
        <v>18.359425000000002</v>
      </c>
      <c r="AP23" s="3">
        <v>12.149697</v>
      </c>
      <c r="AQ23" s="3">
        <v>14.655784000000001</v>
      </c>
      <c r="AR23" s="3">
        <v>14.796366000000001</v>
      </c>
      <c r="AS23" s="3">
        <v>11.592363000000001</v>
      </c>
      <c r="AT23" s="3">
        <v>23.236431</v>
      </c>
      <c r="AU23" s="3">
        <v>10.626378000000001</v>
      </c>
      <c r="AV23" s="3">
        <v>12.687837</v>
      </c>
      <c r="AW23" s="3">
        <v>16.308762000000002</v>
      </c>
      <c r="AX23" s="3">
        <v>14.12895</v>
      </c>
      <c r="AY23" s="3">
        <v>12.79044</v>
      </c>
      <c r="AZ23" s="3">
        <v>10.598724000000001</v>
      </c>
      <c r="BA23" s="3">
        <v>12.830511</v>
      </c>
      <c r="BB23" s="3">
        <v>11.068139</v>
      </c>
      <c r="BC23" s="3">
        <v>14.277725</v>
      </c>
      <c r="BD23" s="3">
        <v>15.315519999999999</v>
      </c>
      <c r="BE23" s="3">
        <v>20.728821</v>
      </c>
      <c r="BF23" s="3">
        <v>12.904135999999999</v>
      </c>
      <c r="BG23" s="3">
        <v>10.837978</v>
      </c>
      <c r="BH23" s="3">
        <v>14.974354999999999</v>
      </c>
      <c r="BI23" s="3">
        <v>9.2307579999999998</v>
      </c>
      <c r="BJ23" s="3">
        <v>11.272712</v>
      </c>
      <c r="BK23" s="3">
        <v>11.092176</v>
      </c>
      <c r="BL23" s="3">
        <v>14.43337</v>
      </c>
      <c r="BM23" s="3">
        <v>13.226760000000001</v>
      </c>
      <c r="BN23" s="3">
        <v>17.688707000000001</v>
      </c>
      <c r="BO23" s="3">
        <v>10.423235999999999</v>
      </c>
      <c r="BP23" s="3">
        <v>16.070661999999999</v>
      </c>
      <c r="BQ23" s="3">
        <v>9.85867</v>
      </c>
      <c r="BR23" s="3">
        <v>14.316409999999999</v>
      </c>
      <c r="BS23" s="3">
        <v>20.431266999999998</v>
      </c>
      <c r="BT23" s="3">
        <v>10.111546000000001</v>
      </c>
      <c r="BU23" s="3">
        <v>10.868606</v>
      </c>
      <c r="BV23" s="3">
        <v>13.030390000000001</v>
      </c>
      <c r="BW23" s="3">
        <v>15.392764</v>
      </c>
      <c r="BX23" s="3">
        <v>12.737012999999999</v>
      </c>
      <c r="BY23" s="3">
        <v>10.512846</v>
      </c>
      <c r="BZ23" s="3">
        <v>11.285484</v>
      </c>
      <c r="CA23" s="3">
        <v>9.7945779999999996</v>
      </c>
      <c r="CB23" s="3">
        <v>12.346807999999999</v>
      </c>
      <c r="CC23" s="3">
        <v>16.705338000000001</v>
      </c>
      <c r="CD23" s="3">
        <v>12.761478</v>
      </c>
      <c r="CE23" s="3">
        <v>15.456059</v>
      </c>
      <c r="CF23" s="3">
        <v>10.867288</v>
      </c>
      <c r="CG23" s="3">
        <v>14.81953</v>
      </c>
      <c r="CH23" s="3">
        <v>9.5308489999999999</v>
      </c>
      <c r="CI23" s="3">
        <v>18.773064000000002</v>
      </c>
      <c r="CJ23" s="3">
        <v>10.793129</v>
      </c>
      <c r="CK23" s="3">
        <v>13.393936</v>
      </c>
      <c r="CL23" s="3">
        <v>11.414434999999999</v>
      </c>
      <c r="CM23" s="3">
        <v>17.076730999999999</v>
      </c>
      <c r="CN23" s="3">
        <v>10.922763</v>
      </c>
      <c r="CO23" s="3">
        <v>9.8556550000000005</v>
      </c>
      <c r="CP23" s="3">
        <v>9.9680239999999998</v>
      </c>
      <c r="CQ23" s="3">
        <v>11.399768999999999</v>
      </c>
      <c r="CR23" s="3">
        <v>19.436571000000001</v>
      </c>
      <c r="CS23" s="3">
        <v>11.039718000000001</v>
      </c>
      <c r="CT23" s="3">
        <v>13.24559</v>
      </c>
      <c r="CU23" s="3">
        <v>12.979174</v>
      </c>
      <c r="CV23" s="3">
        <v>15.667790999999999</v>
      </c>
      <c r="CW23" s="3">
        <v>12.196607</v>
      </c>
      <c r="CX23" s="3">
        <v>12.120118</v>
      </c>
      <c r="CY23" s="3">
        <v>10.577567</v>
      </c>
      <c r="CZ23" s="3">
        <v>9.5760710000000007</v>
      </c>
      <c r="DA23" s="3">
        <v>13.323765</v>
      </c>
      <c r="DB23" s="3">
        <v>19.160826</v>
      </c>
      <c r="DC23" s="3">
        <v>11.764934999999999</v>
      </c>
      <c r="DD23" s="3">
        <v>13.669724</v>
      </c>
      <c r="DE23" s="3">
        <v>13.275083</v>
      </c>
      <c r="DF23" s="3">
        <v>12.738267</v>
      </c>
      <c r="DG23" s="3">
        <v>14.345160999999999</v>
      </c>
      <c r="DH23" s="3">
        <v>12.915616</v>
      </c>
      <c r="DI23" s="3"/>
      <c r="DJ23" s="3"/>
      <c r="DM23" s="3"/>
      <c r="DN23" s="3"/>
      <c r="DP23" s="3"/>
      <c r="DQ23" s="3"/>
      <c r="DR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5" spans="2:207" x14ac:dyDescent="0.2">
      <c r="D25" s="1"/>
    </row>
    <row r="26" spans="2:207" x14ac:dyDescent="0.2">
      <c r="B26" t="s">
        <v>63</v>
      </c>
      <c r="D26" s="1" t="s">
        <v>31</v>
      </c>
    </row>
    <row r="27" spans="2:207" x14ac:dyDescent="0.2">
      <c r="B27" s="2" t="s">
        <v>32</v>
      </c>
      <c r="D27" t="s">
        <v>3</v>
      </c>
      <c r="E27" t="s">
        <v>1</v>
      </c>
      <c r="F27">
        <f>COUNT(M27:GJ27)</f>
        <v>100</v>
      </c>
      <c r="G27" s="3">
        <f>AVERAGE(M27:GJ27)</f>
        <v>24.970357630000002</v>
      </c>
      <c r="H27" s="3">
        <f>MAX(M27:GJ27)</f>
        <v>30.935379000000001</v>
      </c>
      <c r="I27" s="3">
        <f>MIN(M27:GJ27)</f>
        <v>22.269831</v>
      </c>
      <c r="J27" s="3">
        <f>_xlfn.STDEV.P(M27:GJ27)</f>
        <v>1.7258468888322318</v>
      </c>
      <c r="K27" s="3">
        <f>_xlfn.VAR.S(M27:GJ27)</f>
        <v>3.0086338219110038</v>
      </c>
      <c r="M27" s="3">
        <v>24.166627999999999</v>
      </c>
      <c r="N27" s="3">
        <v>26.916395000000001</v>
      </c>
      <c r="O27" s="3">
        <v>27.212506999999999</v>
      </c>
      <c r="P27" s="3">
        <v>24.114515000000001</v>
      </c>
      <c r="Q27" s="3">
        <v>24.775791000000002</v>
      </c>
      <c r="R27" s="3">
        <v>24.923722999999999</v>
      </c>
      <c r="S27" s="3">
        <v>27.081648000000001</v>
      </c>
      <c r="T27" s="3">
        <v>26.415457</v>
      </c>
      <c r="U27" s="3">
        <v>28.644302</v>
      </c>
      <c r="V27" s="3">
        <v>25.830210000000001</v>
      </c>
      <c r="W27" s="3">
        <v>25.684926999999998</v>
      </c>
      <c r="X27" s="3">
        <v>25.384701</v>
      </c>
      <c r="Y27" s="3">
        <v>23.434833999999999</v>
      </c>
      <c r="Z27" s="3">
        <v>25.139709</v>
      </c>
      <c r="AA27" s="3">
        <v>29.363054000000002</v>
      </c>
      <c r="AB27" s="3">
        <v>24.770448999999999</v>
      </c>
      <c r="AC27" s="3">
        <v>24.410800999999999</v>
      </c>
      <c r="AD27" s="3">
        <v>24.971603000000002</v>
      </c>
      <c r="AE27" s="3">
        <v>26.190462</v>
      </c>
      <c r="AF27" s="3">
        <v>23.716179</v>
      </c>
      <c r="AG27" s="3">
        <v>29.074224000000001</v>
      </c>
      <c r="AH27" s="3">
        <v>22.675076000000001</v>
      </c>
      <c r="AI27" s="3">
        <v>23.685808000000002</v>
      </c>
      <c r="AJ27" s="3">
        <v>23.001593</v>
      </c>
      <c r="AK27" s="3">
        <v>24.305675999999998</v>
      </c>
      <c r="AL27" s="3">
        <v>23.735506000000001</v>
      </c>
      <c r="AM27" s="3">
        <v>24.209471000000001</v>
      </c>
      <c r="AN27" s="3">
        <v>24.676805000000002</v>
      </c>
      <c r="AO27" s="3">
        <v>25.391559999999998</v>
      </c>
      <c r="AP27" s="3">
        <v>25.797325000000001</v>
      </c>
      <c r="AQ27" s="3">
        <v>25.950520000000001</v>
      </c>
      <c r="AR27" s="3">
        <v>23.066866000000001</v>
      </c>
      <c r="AS27" s="3">
        <v>25.729752999999999</v>
      </c>
      <c r="AT27" s="3">
        <v>28.338936</v>
      </c>
      <c r="AU27" s="3">
        <v>23.081793000000001</v>
      </c>
      <c r="AV27" s="3">
        <v>29.176361</v>
      </c>
      <c r="AW27" s="3">
        <v>25.775393000000001</v>
      </c>
      <c r="AX27" s="3">
        <v>24.144289000000001</v>
      </c>
      <c r="AY27" s="3">
        <v>24.924113999999999</v>
      </c>
      <c r="AZ27" s="3">
        <v>23.226229</v>
      </c>
      <c r="BA27" s="3">
        <v>24.266994</v>
      </c>
      <c r="BB27" s="3">
        <v>24.081755000000001</v>
      </c>
      <c r="BC27" s="3">
        <v>24.364380000000001</v>
      </c>
      <c r="BD27" s="3">
        <v>23.428294999999999</v>
      </c>
      <c r="BE27" s="3">
        <v>24.154344999999999</v>
      </c>
      <c r="BF27" s="3">
        <v>22.269831</v>
      </c>
      <c r="BG27" s="3">
        <v>26.788724999999999</v>
      </c>
      <c r="BH27" s="3">
        <v>22.540490999999999</v>
      </c>
      <c r="BI27" s="3">
        <v>25.24823</v>
      </c>
      <c r="BJ27" s="3">
        <v>25.122335</v>
      </c>
      <c r="BK27" s="3">
        <v>25.960974</v>
      </c>
      <c r="BL27" s="3">
        <v>23.755672000000001</v>
      </c>
      <c r="BM27" s="3">
        <v>24.802669999999999</v>
      </c>
      <c r="BN27" s="3">
        <v>23.288070999999999</v>
      </c>
      <c r="BO27" s="3">
        <v>27.161283000000001</v>
      </c>
      <c r="BP27" s="3">
        <v>24.234528000000001</v>
      </c>
      <c r="BQ27" s="3">
        <v>23.632462</v>
      </c>
      <c r="BR27" s="3">
        <v>23.238937</v>
      </c>
      <c r="BS27" s="3">
        <v>24.851368000000001</v>
      </c>
      <c r="BT27" s="3">
        <v>24.520817000000001</v>
      </c>
      <c r="BU27" s="3">
        <v>24.377770999999999</v>
      </c>
      <c r="BV27" s="3">
        <v>23.476292000000001</v>
      </c>
      <c r="BW27" s="3">
        <v>24.337409999999998</v>
      </c>
      <c r="BX27" s="3">
        <v>30.083877999999999</v>
      </c>
      <c r="BY27" s="3">
        <v>23.301335999999999</v>
      </c>
      <c r="BZ27" s="3">
        <v>25.869726</v>
      </c>
      <c r="CA27" s="3">
        <v>24.229209999999998</v>
      </c>
      <c r="CB27" s="3">
        <v>29.544803999999999</v>
      </c>
      <c r="CC27" s="3">
        <v>23.610332</v>
      </c>
      <c r="CD27" s="3">
        <v>30.935379000000001</v>
      </c>
      <c r="CE27" s="3">
        <v>26.032757</v>
      </c>
      <c r="CF27" s="3">
        <v>23.091073999999999</v>
      </c>
      <c r="CG27" s="3">
        <v>22.495901</v>
      </c>
      <c r="CH27" s="3">
        <v>23.114629999999998</v>
      </c>
      <c r="CI27" s="3">
        <v>26.472099</v>
      </c>
      <c r="CJ27" s="3">
        <v>23.840199999999999</v>
      </c>
      <c r="CK27" s="3">
        <v>24.338021999999999</v>
      </c>
      <c r="CL27" s="3">
        <v>24.472021000000002</v>
      </c>
      <c r="CM27" s="3">
        <v>24.154613000000001</v>
      </c>
      <c r="CN27" s="3">
        <v>24.533369</v>
      </c>
      <c r="CO27" s="3">
        <v>25.653176999999999</v>
      </c>
      <c r="CP27" s="3">
        <v>23.778433</v>
      </c>
      <c r="CQ27" s="3">
        <v>25.391798000000001</v>
      </c>
      <c r="CR27" s="3">
        <v>26.464089999999999</v>
      </c>
      <c r="CS27" s="3">
        <v>23.307825000000001</v>
      </c>
      <c r="CT27" s="3">
        <v>26.498877</v>
      </c>
      <c r="CU27" s="3">
        <v>24.967701000000002</v>
      </c>
      <c r="CV27" s="3">
        <v>25.470607999999999</v>
      </c>
      <c r="CW27" s="3">
        <v>25.211894999999998</v>
      </c>
      <c r="CX27" s="3">
        <v>23.711348999999998</v>
      </c>
      <c r="CY27" s="3">
        <v>23.449622999999999</v>
      </c>
      <c r="CZ27" s="3">
        <v>23.835180000000001</v>
      </c>
      <c r="DA27" s="3">
        <v>25.24897</v>
      </c>
      <c r="DB27" s="3">
        <v>23.806721</v>
      </c>
      <c r="DC27" s="3">
        <v>24.063020999999999</v>
      </c>
      <c r="DD27" s="3">
        <v>24.101196000000002</v>
      </c>
      <c r="DE27" s="3">
        <v>23.802644999999998</v>
      </c>
      <c r="DF27" s="3">
        <v>24.385525000000001</v>
      </c>
      <c r="DG27" s="3">
        <v>25.388351</v>
      </c>
      <c r="DH27" s="3">
        <v>25.360598</v>
      </c>
      <c r="DI27" s="3"/>
      <c r="DJ27" s="3"/>
      <c r="DM27" s="3"/>
      <c r="DN27" s="3"/>
      <c r="DP27" s="3"/>
      <c r="DQ27" s="3"/>
      <c r="DR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33</v>
      </c>
      <c r="G28" s="3"/>
      <c r="H28" s="3"/>
      <c r="I28" s="3"/>
      <c r="J28" s="3"/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M28" s="3"/>
      <c r="DN28" s="3"/>
      <c r="DP28" s="3"/>
      <c r="DQ28" s="3"/>
      <c r="DR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B29" s="2" t="s">
        <v>34</v>
      </c>
      <c r="D29" t="s">
        <v>4</v>
      </c>
      <c r="E29" t="s">
        <v>1</v>
      </c>
      <c r="F29">
        <f>COUNT(M29:GJ29)</f>
        <v>100</v>
      </c>
      <c r="G29" s="3">
        <f>AVERAGE(M29:GJ29)</f>
        <v>30.960364329999994</v>
      </c>
      <c r="H29" s="3">
        <f>MAX(M29:GJ29)</f>
        <v>36.838005000000003</v>
      </c>
      <c r="I29" s="3">
        <f>MIN(M29:GJ29)</f>
        <v>24.317091000000001</v>
      </c>
      <c r="J29" s="3">
        <f>_xlfn.STDEV.P(M29:GJ29)</f>
        <v>2.8594673968891517</v>
      </c>
      <c r="K29" s="3">
        <f>_xlfn.VAR.S(M29:GJ29)</f>
        <v>8.2591452463353754</v>
      </c>
      <c r="M29" s="3">
        <v>35.179878000000002</v>
      </c>
      <c r="N29" s="3">
        <v>33.350872000000003</v>
      </c>
      <c r="O29" s="3">
        <v>34.343764999999998</v>
      </c>
      <c r="P29" s="3">
        <v>31.350075</v>
      </c>
      <c r="Q29" s="3">
        <v>31.280387999999999</v>
      </c>
      <c r="R29" s="3">
        <v>32.962451999999999</v>
      </c>
      <c r="S29" s="3">
        <v>35.128211999999998</v>
      </c>
      <c r="T29" s="3">
        <v>32.656222999999997</v>
      </c>
      <c r="U29" s="3">
        <v>33.566647000000003</v>
      </c>
      <c r="V29" s="3">
        <v>32.724437999999999</v>
      </c>
      <c r="W29" s="3">
        <v>30.809771000000001</v>
      </c>
      <c r="X29" s="3">
        <v>30.945049000000001</v>
      </c>
      <c r="Y29" s="3">
        <v>31.647831</v>
      </c>
      <c r="Z29" s="3">
        <v>35.233212000000002</v>
      </c>
      <c r="AA29" s="3">
        <v>36.838005000000003</v>
      </c>
      <c r="AB29" s="3">
        <v>31.089243</v>
      </c>
      <c r="AC29" s="3">
        <v>31.684273000000001</v>
      </c>
      <c r="AD29" s="3">
        <v>31.953952999999998</v>
      </c>
      <c r="AE29" s="3">
        <v>30.907436000000001</v>
      </c>
      <c r="AF29" s="3">
        <v>32.306930999999999</v>
      </c>
      <c r="AG29" s="3">
        <v>31.671761</v>
      </c>
      <c r="AH29" s="3">
        <v>33.827339000000002</v>
      </c>
      <c r="AI29" s="3">
        <v>34.351128000000003</v>
      </c>
      <c r="AJ29" s="3">
        <v>32.291058</v>
      </c>
      <c r="AK29" s="3">
        <v>32.829895</v>
      </c>
      <c r="AL29" s="3">
        <v>31.343094000000001</v>
      </c>
      <c r="AM29" s="3">
        <v>29.016762</v>
      </c>
      <c r="AN29" s="3">
        <v>26.83897</v>
      </c>
      <c r="AO29" s="3">
        <v>24.999096000000002</v>
      </c>
      <c r="AP29" s="3">
        <v>27.431063000000002</v>
      </c>
      <c r="AQ29" s="3">
        <v>28.444592</v>
      </c>
      <c r="AR29" s="3">
        <v>28.199795000000002</v>
      </c>
      <c r="AS29" s="3">
        <v>25.333345000000001</v>
      </c>
      <c r="AT29" s="3">
        <v>24.317091000000001</v>
      </c>
      <c r="AU29" s="3">
        <v>24.319223000000001</v>
      </c>
      <c r="AV29" s="3">
        <v>29.076398999999999</v>
      </c>
      <c r="AW29" s="3">
        <v>35.906390999999999</v>
      </c>
      <c r="AX29" s="3">
        <v>29.409652999999999</v>
      </c>
      <c r="AY29" s="3">
        <v>28.246169999999999</v>
      </c>
      <c r="AZ29" s="3">
        <v>31.214144000000001</v>
      </c>
      <c r="BA29" s="3">
        <v>36.611556999999998</v>
      </c>
      <c r="BB29" s="3">
        <v>30.419756</v>
      </c>
      <c r="BC29" s="3">
        <v>29.989025000000002</v>
      </c>
      <c r="BD29" s="3">
        <v>28.991426000000001</v>
      </c>
      <c r="BE29" s="3">
        <v>27.671499000000001</v>
      </c>
      <c r="BF29" s="3">
        <v>30.175215000000001</v>
      </c>
      <c r="BG29" s="3">
        <v>30.608847000000001</v>
      </c>
      <c r="BH29" s="3">
        <v>32.500824000000001</v>
      </c>
      <c r="BI29" s="3">
        <v>36.253864</v>
      </c>
      <c r="BJ29" s="3">
        <v>27.662848</v>
      </c>
      <c r="BK29" s="3">
        <v>28.182290999999999</v>
      </c>
      <c r="BL29" s="3">
        <v>33.864356999999998</v>
      </c>
      <c r="BM29" s="3">
        <v>34.163997999999999</v>
      </c>
      <c r="BN29" s="3">
        <v>35.645198999999998</v>
      </c>
      <c r="BO29" s="3">
        <v>29.200849999999999</v>
      </c>
      <c r="BP29" s="3">
        <v>35.313915000000001</v>
      </c>
      <c r="BQ29" s="3">
        <v>34.104312999999998</v>
      </c>
      <c r="BR29" s="3">
        <v>31.467694999999999</v>
      </c>
      <c r="BS29" s="3">
        <v>31.318968000000002</v>
      </c>
      <c r="BT29" s="3">
        <v>33.341991</v>
      </c>
      <c r="BU29" s="3">
        <v>29.122613999999999</v>
      </c>
      <c r="BV29" s="3">
        <v>32.743153</v>
      </c>
      <c r="BW29" s="3">
        <v>30.456168999999999</v>
      </c>
      <c r="BX29" s="3">
        <v>30.453035</v>
      </c>
      <c r="BY29" s="3">
        <v>28.963694</v>
      </c>
      <c r="BZ29" s="3">
        <v>32.880580999999999</v>
      </c>
      <c r="CA29" s="3">
        <v>34.25808</v>
      </c>
      <c r="CB29" s="3">
        <v>33.276276000000003</v>
      </c>
      <c r="CC29" s="3">
        <v>25.194980999999999</v>
      </c>
      <c r="CD29" s="3">
        <v>30.380108</v>
      </c>
      <c r="CE29" s="3">
        <v>31.358864000000001</v>
      </c>
      <c r="CF29" s="3">
        <v>32.044379999999997</v>
      </c>
      <c r="CG29" s="3">
        <v>34.293880000000001</v>
      </c>
      <c r="CH29" s="3">
        <v>32.951591000000001</v>
      </c>
      <c r="CI29" s="3">
        <v>32.766373000000002</v>
      </c>
      <c r="CJ29" s="3">
        <v>30.864767000000001</v>
      </c>
      <c r="CK29" s="3">
        <v>28.405645</v>
      </c>
      <c r="CL29" s="3">
        <v>28.337537999999999</v>
      </c>
      <c r="CM29" s="3">
        <v>32.517887000000002</v>
      </c>
      <c r="CN29" s="3">
        <v>29.136934</v>
      </c>
      <c r="CO29" s="3">
        <v>31.345011</v>
      </c>
      <c r="CP29" s="3">
        <v>29.792577999999999</v>
      </c>
      <c r="CQ29" s="3">
        <v>24.987379000000001</v>
      </c>
      <c r="CR29" s="3">
        <v>27.809093000000001</v>
      </c>
      <c r="CS29" s="3">
        <v>30.977609999999999</v>
      </c>
      <c r="CT29" s="3">
        <v>30.066859999999998</v>
      </c>
      <c r="CU29" s="3">
        <v>27.329449</v>
      </c>
      <c r="CV29" s="3">
        <v>29.600721</v>
      </c>
      <c r="CW29" s="3">
        <v>24.793346</v>
      </c>
      <c r="CX29" s="3">
        <v>30.015429000000001</v>
      </c>
      <c r="CY29" s="3">
        <v>31.726313000000001</v>
      </c>
      <c r="CZ29" s="3">
        <v>32.396949999999997</v>
      </c>
      <c r="DA29" s="3">
        <v>28.713740999999999</v>
      </c>
      <c r="DB29" s="3">
        <v>32.831116000000002</v>
      </c>
      <c r="DC29" s="3">
        <v>31.491561999999998</v>
      </c>
      <c r="DD29" s="3">
        <v>30.648548000000002</v>
      </c>
      <c r="DE29" s="3">
        <v>29.255033000000001</v>
      </c>
      <c r="DF29" s="3">
        <v>28.936485000000001</v>
      </c>
      <c r="DG29" s="3">
        <v>33.685378999999998</v>
      </c>
      <c r="DH29" s="3">
        <v>26.713218999999999</v>
      </c>
      <c r="DI29" s="3"/>
      <c r="DJ29" s="3"/>
      <c r="DM29" s="3"/>
      <c r="DN29" s="3"/>
      <c r="DP29" s="3"/>
      <c r="DQ29" s="3"/>
      <c r="DR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G30" s="3"/>
      <c r="H30" s="3"/>
      <c r="I30" s="3"/>
      <c r="J30" s="3"/>
      <c r="K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M30" s="3"/>
      <c r="DN30" s="3"/>
      <c r="DP30" s="3"/>
      <c r="DQ30" s="3"/>
      <c r="DR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D31" t="s">
        <v>2</v>
      </c>
      <c r="E31" t="s">
        <v>1</v>
      </c>
      <c r="F31">
        <f>COUNT(M31:GJ31)</f>
        <v>100</v>
      </c>
      <c r="G31" s="3">
        <f>AVERAGE(M31:GJ31)</f>
        <v>32.877775490000012</v>
      </c>
      <c r="H31" s="3">
        <f>MAX(M31:GJ31)</f>
        <v>40.539302999999997</v>
      </c>
      <c r="I31" s="3">
        <f>MIN(M31:GJ31)</f>
        <v>27.724705</v>
      </c>
      <c r="J31" s="3">
        <f>_xlfn.STDEV.P(M31:GJ31)</f>
        <v>2.4103522249565215</v>
      </c>
      <c r="K31" s="3">
        <f>_xlfn.VAR.S(M31:GJ31)</f>
        <v>5.8684826751038912</v>
      </c>
      <c r="M31" s="3">
        <v>35.139918999999999</v>
      </c>
      <c r="N31" s="3">
        <v>33.660854</v>
      </c>
      <c r="O31" s="3">
        <v>39.765087000000001</v>
      </c>
      <c r="P31" s="3">
        <v>40.539302999999997</v>
      </c>
      <c r="Q31" s="3">
        <v>33.811897000000002</v>
      </c>
      <c r="R31" s="3">
        <v>35.874656999999999</v>
      </c>
      <c r="S31" s="3">
        <v>35.560645999999998</v>
      </c>
      <c r="T31" s="3">
        <v>31.580803</v>
      </c>
      <c r="U31" s="3">
        <v>38.362864999999999</v>
      </c>
      <c r="V31" s="3">
        <v>34.126002999999997</v>
      </c>
      <c r="W31" s="3">
        <v>34.625031</v>
      </c>
      <c r="X31" s="3">
        <v>35.653911999999998</v>
      </c>
      <c r="Y31" s="3">
        <v>33.603000999999999</v>
      </c>
      <c r="Z31" s="3">
        <v>36.945090999999998</v>
      </c>
      <c r="AA31" s="3">
        <v>33.805073</v>
      </c>
      <c r="AB31" s="3">
        <v>35.202491999999999</v>
      </c>
      <c r="AC31" s="3">
        <v>34.587242000000003</v>
      </c>
      <c r="AD31" s="3">
        <v>34.780216000000003</v>
      </c>
      <c r="AE31" s="3">
        <v>35.944592</v>
      </c>
      <c r="AF31" s="3">
        <v>34.798565000000004</v>
      </c>
      <c r="AG31" s="3">
        <v>34.713389999999997</v>
      </c>
      <c r="AH31" s="3">
        <v>34.744053000000001</v>
      </c>
      <c r="AI31" s="3">
        <v>35.042701999999998</v>
      </c>
      <c r="AJ31" s="3">
        <v>34.379458999999997</v>
      </c>
      <c r="AK31" s="3">
        <v>31.351578</v>
      </c>
      <c r="AL31" s="3">
        <v>33.405476</v>
      </c>
      <c r="AM31" s="3">
        <v>33.005341000000001</v>
      </c>
      <c r="AN31" s="3">
        <v>31.330010999999999</v>
      </c>
      <c r="AO31" s="3">
        <v>29.369582999999999</v>
      </c>
      <c r="AP31" s="3">
        <v>32.262875000000001</v>
      </c>
      <c r="AQ31" s="3">
        <v>33.353844000000002</v>
      </c>
      <c r="AR31" s="3">
        <v>34.671219000000001</v>
      </c>
      <c r="AS31" s="3">
        <v>30.588932</v>
      </c>
      <c r="AT31" s="3">
        <v>33.914580999999998</v>
      </c>
      <c r="AU31" s="3">
        <v>34.493304999999999</v>
      </c>
      <c r="AV31" s="3">
        <v>33.641131999999999</v>
      </c>
      <c r="AW31" s="3">
        <v>34.742576999999997</v>
      </c>
      <c r="AX31" s="3">
        <v>32.904549000000003</v>
      </c>
      <c r="AY31" s="3">
        <v>35.356506000000003</v>
      </c>
      <c r="AZ31" s="3">
        <v>38.949432000000002</v>
      </c>
      <c r="BA31" s="3">
        <v>34.014285999999998</v>
      </c>
      <c r="BB31" s="3">
        <v>34.392100999999997</v>
      </c>
      <c r="BC31" s="3">
        <v>32.173217999999999</v>
      </c>
      <c r="BD31" s="3">
        <v>29.832640000000001</v>
      </c>
      <c r="BE31" s="3">
        <v>33.590794000000002</v>
      </c>
      <c r="BF31" s="3">
        <v>36.488464</v>
      </c>
      <c r="BG31" s="3">
        <v>34.077483999999998</v>
      </c>
      <c r="BH31" s="3">
        <v>32.821026000000003</v>
      </c>
      <c r="BI31" s="3">
        <v>33.874344000000001</v>
      </c>
      <c r="BJ31" s="3">
        <v>32.014305</v>
      </c>
      <c r="BK31" s="3">
        <v>32.178103999999998</v>
      </c>
      <c r="BL31" s="3">
        <v>33.036434</v>
      </c>
      <c r="BM31" s="3">
        <v>32.921154000000001</v>
      </c>
      <c r="BN31" s="3">
        <v>30.799358000000002</v>
      </c>
      <c r="BO31" s="3">
        <v>31.645723</v>
      </c>
      <c r="BP31" s="3">
        <v>33.254429000000002</v>
      </c>
      <c r="BQ31" s="3">
        <v>31.226092999999999</v>
      </c>
      <c r="BR31" s="3">
        <v>28.940866</v>
      </c>
      <c r="BS31" s="3">
        <v>32.293216999999999</v>
      </c>
      <c r="BT31" s="3">
        <v>31.181677000000001</v>
      </c>
      <c r="BU31" s="3">
        <v>32.154755000000002</v>
      </c>
      <c r="BV31" s="3">
        <v>34.15052</v>
      </c>
      <c r="BW31" s="3">
        <v>32.081550999999997</v>
      </c>
      <c r="BX31" s="3">
        <v>32.333305000000003</v>
      </c>
      <c r="BY31" s="3">
        <v>29.377441000000001</v>
      </c>
      <c r="BZ31" s="3">
        <v>31.363368999999999</v>
      </c>
      <c r="CA31" s="3">
        <v>34.685111999999997</v>
      </c>
      <c r="CB31" s="3">
        <v>32.593860999999997</v>
      </c>
      <c r="CC31" s="3">
        <v>31.23123</v>
      </c>
      <c r="CD31" s="3">
        <v>29.583981999999999</v>
      </c>
      <c r="CE31" s="3">
        <v>28.395648999999999</v>
      </c>
      <c r="CF31" s="3">
        <v>32.056609999999999</v>
      </c>
      <c r="CG31" s="3">
        <v>30.757641</v>
      </c>
      <c r="CH31" s="3">
        <v>34.373367000000002</v>
      </c>
      <c r="CI31" s="3">
        <v>36.067805999999997</v>
      </c>
      <c r="CJ31" s="3">
        <v>32.213894000000003</v>
      </c>
      <c r="CK31" s="3">
        <v>32.643036000000002</v>
      </c>
      <c r="CL31" s="3">
        <v>30.884964</v>
      </c>
      <c r="CM31" s="3">
        <v>32.605476000000003</v>
      </c>
      <c r="CN31" s="3">
        <v>32.738143999999998</v>
      </c>
      <c r="CO31" s="3">
        <v>31.074801999999998</v>
      </c>
      <c r="CP31" s="3">
        <v>29.058481</v>
      </c>
      <c r="CQ31" s="3">
        <v>29.421185999999999</v>
      </c>
      <c r="CR31" s="3">
        <v>30.185085000000001</v>
      </c>
      <c r="CS31" s="3">
        <v>31.651022000000001</v>
      </c>
      <c r="CT31" s="3">
        <v>29.732779000000001</v>
      </c>
      <c r="CU31" s="3">
        <v>33.334206000000002</v>
      </c>
      <c r="CV31" s="3">
        <v>27.724705</v>
      </c>
      <c r="CW31" s="3">
        <v>32.173546000000002</v>
      </c>
      <c r="CX31" s="3">
        <v>31.527760000000001</v>
      </c>
      <c r="CY31" s="3">
        <v>28.983146999999999</v>
      </c>
      <c r="CZ31" s="3">
        <v>33.533417</v>
      </c>
      <c r="DA31" s="3">
        <v>32.091473000000001</v>
      </c>
      <c r="DB31" s="3">
        <v>29.709537999999998</v>
      </c>
      <c r="DC31" s="3">
        <v>30.841170999999999</v>
      </c>
      <c r="DD31" s="3">
        <v>29.269760000000002</v>
      </c>
      <c r="DE31" s="3">
        <v>30.133778</v>
      </c>
      <c r="DF31" s="3">
        <v>30.824911</v>
      </c>
      <c r="DG31" s="3">
        <v>32.543629000000003</v>
      </c>
      <c r="DH31" s="3">
        <v>30.327929000000001</v>
      </c>
      <c r="DI31" s="3"/>
      <c r="DJ31" s="3"/>
      <c r="DM31" s="3"/>
      <c r="DN31" s="3"/>
      <c r="DP31" s="3"/>
      <c r="DQ31" s="3"/>
      <c r="DR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G32" s="3"/>
      <c r="H32" s="3"/>
      <c r="I32" s="3"/>
      <c r="J32" s="3"/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M32" s="3"/>
      <c r="DN32" s="3"/>
      <c r="DP32" s="3"/>
      <c r="DQ32" s="3"/>
      <c r="DR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D33" t="s">
        <v>5</v>
      </c>
      <c r="E33" t="s">
        <v>1</v>
      </c>
      <c r="F33">
        <f>COUNT(M33:GJ33)</f>
        <v>100</v>
      </c>
      <c r="G33" s="3">
        <f>AVERAGE(M33:GJ33)</f>
        <v>22.636884000000006</v>
      </c>
      <c r="H33" s="3">
        <f>MAX(M33:GJ33)</f>
        <v>25.891743000000002</v>
      </c>
      <c r="I33" s="3">
        <f>MIN(M33:GJ33)</f>
        <v>19.834536</v>
      </c>
      <c r="J33" s="3">
        <f>_xlfn.STDEV.P(M33:GJ33)</f>
        <v>1.3025202875249895</v>
      </c>
      <c r="K33" s="3">
        <f>_xlfn.VAR.S(M33:GJ33)</f>
        <v>1.7136960600143245</v>
      </c>
      <c r="M33" s="3">
        <v>23.213280000000001</v>
      </c>
      <c r="N33" s="3">
        <v>24.127499</v>
      </c>
      <c r="O33" s="3">
        <v>23.687231000000001</v>
      </c>
      <c r="P33" s="3">
        <v>23.547291000000001</v>
      </c>
      <c r="Q33" s="3">
        <v>22.481940999999999</v>
      </c>
      <c r="R33" s="3">
        <v>21.299547</v>
      </c>
      <c r="S33" s="3">
        <v>22.681355</v>
      </c>
      <c r="T33" s="3">
        <v>21.027840000000001</v>
      </c>
      <c r="U33" s="3">
        <v>25.482127999999999</v>
      </c>
      <c r="V33" s="3">
        <v>22.444582</v>
      </c>
      <c r="W33" s="3">
        <v>20.25967</v>
      </c>
      <c r="X33" s="3">
        <v>19.913824000000002</v>
      </c>
      <c r="Y33" s="3">
        <v>22.158459000000001</v>
      </c>
      <c r="Z33" s="3">
        <v>21.212782000000001</v>
      </c>
      <c r="AA33" s="3">
        <v>25.674561000000001</v>
      </c>
      <c r="AB33" s="3">
        <v>22.102335</v>
      </c>
      <c r="AC33" s="3">
        <v>24.350536000000002</v>
      </c>
      <c r="AD33" s="3">
        <v>21.320489999999999</v>
      </c>
      <c r="AE33" s="3">
        <v>22.457943</v>
      </c>
      <c r="AF33" s="3">
        <v>21.710545</v>
      </c>
      <c r="AG33" s="3">
        <v>21.997686000000002</v>
      </c>
      <c r="AH33" s="3">
        <v>21.011489999999998</v>
      </c>
      <c r="AI33" s="3">
        <v>21.325212000000001</v>
      </c>
      <c r="AJ33" s="3">
        <v>22.945024</v>
      </c>
      <c r="AK33" s="3">
        <v>21.908237</v>
      </c>
      <c r="AL33" s="3">
        <v>21.849077000000001</v>
      </c>
      <c r="AM33" s="3">
        <v>19.834536</v>
      </c>
      <c r="AN33" s="3">
        <v>20.844486</v>
      </c>
      <c r="AO33" s="3">
        <v>22.189769999999999</v>
      </c>
      <c r="AP33" s="3">
        <v>22.444016000000001</v>
      </c>
      <c r="AQ33" s="3">
        <v>22.313711000000001</v>
      </c>
      <c r="AR33" s="3">
        <v>20.598521999999999</v>
      </c>
      <c r="AS33" s="3">
        <v>23.533808000000001</v>
      </c>
      <c r="AT33" s="3">
        <v>22.794447000000002</v>
      </c>
      <c r="AU33" s="3">
        <v>23.571926000000001</v>
      </c>
      <c r="AV33" s="3">
        <v>22.843990000000002</v>
      </c>
      <c r="AW33" s="3">
        <v>21.983194000000001</v>
      </c>
      <c r="AX33" s="3">
        <v>22.380061999999999</v>
      </c>
      <c r="AY33" s="3">
        <v>22.990532000000002</v>
      </c>
      <c r="AZ33" s="3">
        <v>22.065649000000001</v>
      </c>
      <c r="BA33" s="3">
        <v>20.814791</v>
      </c>
      <c r="BB33" s="3">
        <v>22.695267000000001</v>
      </c>
      <c r="BC33" s="3">
        <v>23.547533000000001</v>
      </c>
      <c r="BD33" s="3">
        <v>25.407049000000001</v>
      </c>
      <c r="BE33" s="3">
        <v>22.402369</v>
      </c>
      <c r="BF33" s="3">
        <v>21.253782000000001</v>
      </c>
      <c r="BG33" s="3">
        <v>24.649515000000001</v>
      </c>
      <c r="BH33" s="3">
        <v>23.148192999999999</v>
      </c>
      <c r="BI33" s="3">
        <v>23.549254999999999</v>
      </c>
      <c r="BJ33" s="3">
        <v>22.986666</v>
      </c>
      <c r="BK33" s="3">
        <v>24.302886999999998</v>
      </c>
      <c r="BL33" s="3">
        <v>21.080628999999998</v>
      </c>
      <c r="BM33" s="3">
        <v>22.319037999999999</v>
      </c>
      <c r="BN33" s="3">
        <v>23.649505999999999</v>
      </c>
      <c r="BO33" s="3">
        <v>22.881703999999999</v>
      </c>
      <c r="BP33" s="3">
        <v>21.7745</v>
      </c>
      <c r="BQ33" s="3">
        <v>22.955786</v>
      </c>
      <c r="BR33" s="3">
        <v>20.711058000000001</v>
      </c>
      <c r="BS33" s="3">
        <v>21.908873</v>
      </c>
      <c r="BT33" s="3">
        <v>23.237385</v>
      </c>
      <c r="BU33" s="3">
        <v>23.808495000000001</v>
      </c>
      <c r="BV33" s="3">
        <v>21.249797999999998</v>
      </c>
      <c r="BW33" s="3">
        <v>22.694497999999999</v>
      </c>
      <c r="BX33" s="3">
        <v>22.029261000000002</v>
      </c>
      <c r="BY33" s="3">
        <v>23.719757000000001</v>
      </c>
      <c r="BZ33" s="3">
        <v>23.160318</v>
      </c>
      <c r="CA33" s="3">
        <v>24.436164999999999</v>
      </c>
      <c r="CB33" s="3">
        <v>22.420233</v>
      </c>
      <c r="CC33" s="3">
        <v>24.038229000000001</v>
      </c>
      <c r="CD33" s="3">
        <v>22.311005000000002</v>
      </c>
      <c r="CE33" s="3">
        <v>24.214877999999999</v>
      </c>
      <c r="CF33" s="3">
        <v>21.895178000000001</v>
      </c>
      <c r="CG33" s="3">
        <v>21.793036000000001</v>
      </c>
      <c r="CH33" s="3">
        <v>25.093924000000001</v>
      </c>
      <c r="CI33" s="3">
        <v>22.435452000000002</v>
      </c>
      <c r="CJ33" s="3">
        <v>23.690536000000002</v>
      </c>
      <c r="CK33" s="3">
        <v>23.296461000000001</v>
      </c>
      <c r="CL33" s="3">
        <v>23.784748</v>
      </c>
      <c r="CM33" s="3">
        <v>22.168882</v>
      </c>
      <c r="CN33" s="3">
        <v>21.407927000000001</v>
      </c>
      <c r="CO33" s="3">
        <v>21.359819000000002</v>
      </c>
      <c r="CP33" s="3">
        <v>22.810991000000001</v>
      </c>
      <c r="CQ33" s="3">
        <v>21.868521000000001</v>
      </c>
      <c r="CR33" s="3">
        <v>20.620073000000001</v>
      </c>
      <c r="CS33" s="3">
        <v>22.044235</v>
      </c>
      <c r="CT33" s="3">
        <v>24.764402</v>
      </c>
      <c r="CU33" s="3">
        <v>22.518022999999999</v>
      </c>
      <c r="CV33" s="3">
        <v>21.828990999999998</v>
      </c>
      <c r="CW33" s="3">
        <v>24.312488999999999</v>
      </c>
      <c r="CX33" s="3">
        <v>24.431270999999999</v>
      </c>
      <c r="CY33" s="3">
        <v>23.105219000000002</v>
      </c>
      <c r="CZ33" s="3">
        <v>21.146286</v>
      </c>
      <c r="DA33" s="3">
        <v>24.480077999999999</v>
      </c>
      <c r="DB33" s="3">
        <v>22.978014000000002</v>
      </c>
      <c r="DC33" s="3">
        <v>22.347172</v>
      </c>
      <c r="DD33" s="3">
        <v>25.891743000000002</v>
      </c>
      <c r="DE33" s="3">
        <v>20.853846000000001</v>
      </c>
      <c r="DF33" s="3">
        <v>21.267187</v>
      </c>
      <c r="DG33" s="3">
        <v>23.793495</v>
      </c>
      <c r="DH33" s="3">
        <v>23.762764000000001</v>
      </c>
      <c r="DI33" s="3"/>
      <c r="DJ33" s="3"/>
      <c r="DM33" s="3"/>
      <c r="DN33" s="3"/>
      <c r="DP33" s="3"/>
      <c r="DQ33" s="3"/>
      <c r="DR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G34" s="3"/>
      <c r="H34" s="3"/>
      <c r="I34" s="3"/>
      <c r="J34" s="3"/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M34" s="3"/>
      <c r="DN34" s="3"/>
      <c r="DP34" s="3"/>
      <c r="DQ34" s="3"/>
      <c r="DR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D35" t="s">
        <v>6</v>
      </c>
      <c r="E35" t="s">
        <v>1</v>
      </c>
      <c r="F35">
        <f>COUNT(M35:GJ35)</f>
        <v>100</v>
      </c>
      <c r="G35" s="3">
        <f>AVERAGE(M35:GJ35)</f>
        <v>23.734283960000006</v>
      </c>
      <c r="H35" s="3">
        <f>MAX(M35:GJ35)</f>
        <v>27.551076999999999</v>
      </c>
      <c r="I35" s="3">
        <f>MIN(M35:GJ35)</f>
        <v>18.495142000000001</v>
      </c>
      <c r="J35" s="3">
        <f>_xlfn.STDEV.P(M35:GJ35)</f>
        <v>1.6739084976824203</v>
      </c>
      <c r="K35" s="3">
        <f>_xlfn.VAR.S(M35:GJ35)</f>
        <v>2.8302723824377956</v>
      </c>
      <c r="M35" s="3">
        <v>24.642855000000001</v>
      </c>
      <c r="N35" s="3">
        <v>25.316015</v>
      </c>
      <c r="O35" s="3">
        <v>25.3596</v>
      </c>
      <c r="P35" s="3">
        <v>21.930304</v>
      </c>
      <c r="Q35" s="3">
        <v>22.589624000000001</v>
      </c>
      <c r="R35" s="3">
        <v>23.601147000000001</v>
      </c>
      <c r="S35" s="3">
        <v>25.682531000000001</v>
      </c>
      <c r="T35" s="3">
        <v>20.75658</v>
      </c>
      <c r="U35" s="3">
        <v>25.503602999999998</v>
      </c>
      <c r="V35" s="3">
        <v>22.659842999999999</v>
      </c>
      <c r="W35" s="3">
        <v>23.084880999999999</v>
      </c>
      <c r="X35" s="3">
        <v>26.212827999999998</v>
      </c>
      <c r="Y35" s="3">
        <v>20.119005000000001</v>
      </c>
      <c r="Z35" s="3">
        <v>23.335550000000001</v>
      </c>
      <c r="AA35" s="3">
        <v>22.184944000000002</v>
      </c>
      <c r="AB35" s="3">
        <v>23.861499999999999</v>
      </c>
      <c r="AC35" s="3">
        <v>25.311582999999999</v>
      </c>
      <c r="AD35" s="3">
        <v>24.575669999999999</v>
      </c>
      <c r="AE35" s="3">
        <v>21.887381000000001</v>
      </c>
      <c r="AF35" s="3">
        <v>27.551076999999999</v>
      </c>
      <c r="AG35" s="3">
        <v>24.795058999999998</v>
      </c>
      <c r="AH35" s="3">
        <v>22.189402000000001</v>
      </c>
      <c r="AI35" s="3">
        <v>24.600218000000002</v>
      </c>
      <c r="AJ35" s="3">
        <v>24.474167000000001</v>
      </c>
      <c r="AK35" s="3">
        <v>24.641718000000001</v>
      </c>
      <c r="AL35" s="3">
        <v>23.528407999999999</v>
      </c>
      <c r="AM35" s="3">
        <v>25.011316000000001</v>
      </c>
      <c r="AN35" s="3">
        <v>24.467141999999999</v>
      </c>
      <c r="AO35" s="3">
        <v>24.583628000000001</v>
      </c>
      <c r="AP35" s="3">
        <v>23.278766999999998</v>
      </c>
      <c r="AQ35" s="3">
        <v>21.729239</v>
      </c>
      <c r="AR35" s="3">
        <v>25.934839</v>
      </c>
      <c r="AS35" s="3">
        <v>20.081061999999999</v>
      </c>
      <c r="AT35" s="3">
        <v>25.996106999999999</v>
      </c>
      <c r="AU35" s="3">
        <v>23.349554000000001</v>
      </c>
      <c r="AV35" s="3">
        <v>23.321674000000002</v>
      </c>
      <c r="AW35" s="3">
        <v>24.495539000000001</v>
      </c>
      <c r="AX35" s="3">
        <v>19.933996</v>
      </c>
      <c r="AY35" s="3">
        <v>23.544329000000001</v>
      </c>
      <c r="AZ35" s="3">
        <v>22.306083999999998</v>
      </c>
      <c r="BA35" s="3">
        <v>25.289795000000002</v>
      </c>
      <c r="BB35" s="3">
        <v>21.847726999999999</v>
      </c>
      <c r="BC35" s="3">
        <v>25.679763999999999</v>
      </c>
      <c r="BD35" s="3">
        <v>23.435358000000001</v>
      </c>
      <c r="BE35" s="3">
        <v>25.529602000000001</v>
      </c>
      <c r="BF35" s="3">
        <v>21.656860000000002</v>
      </c>
      <c r="BG35" s="3">
        <v>21.348434000000001</v>
      </c>
      <c r="BH35" s="3">
        <v>23.952438000000001</v>
      </c>
      <c r="BI35" s="3">
        <v>24.782527999999999</v>
      </c>
      <c r="BJ35" s="3">
        <v>23.596253999999998</v>
      </c>
      <c r="BK35" s="3">
        <v>23.155381999999999</v>
      </c>
      <c r="BL35" s="3">
        <v>25.530802000000001</v>
      </c>
      <c r="BM35" s="3">
        <v>23.356103999999998</v>
      </c>
      <c r="BN35" s="3">
        <v>23.218857</v>
      </c>
      <c r="BO35" s="3">
        <v>23.782917000000001</v>
      </c>
      <c r="BP35" s="3">
        <v>22.448816000000001</v>
      </c>
      <c r="BQ35" s="3">
        <v>23.758050999999998</v>
      </c>
      <c r="BR35" s="3">
        <v>23.316727</v>
      </c>
      <c r="BS35" s="3">
        <v>25.642486999999999</v>
      </c>
      <c r="BT35" s="3">
        <v>22.546762000000001</v>
      </c>
      <c r="BU35" s="3">
        <v>24.349513999999999</v>
      </c>
      <c r="BV35" s="3">
        <v>25.678996999999999</v>
      </c>
      <c r="BW35" s="3">
        <v>25.092414999999999</v>
      </c>
      <c r="BX35" s="3">
        <v>22.243216</v>
      </c>
      <c r="BY35" s="3">
        <v>21.505697000000001</v>
      </c>
      <c r="BZ35" s="3">
        <v>23.702261</v>
      </c>
      <c r="CA35" s="3">
        <v>21.416649</v>
      </c>
      <c r="CB35" s="3">
        <v>25.681069999999998</v>
      </c>
      <c r="CC35" s="3">
        <v>22.192259</v>
      </c>
      <c r="CD35" s="3">
        <v>25.877310000000001</v>
      </c>
      <c r="CE35" s="3">
        <v>22.174016999999999</v>
      </c>
      <c r="CF35" s="3">
        <v>22.424147000000001</v>
      </c>
      <c r="CG35" s="3">
        <v>24.225297999999999</v>
      </c>
      <c r="CH35" s="3">
        <v>25.517084000000001</v>
      </c>
      <c r="CI35" s="3">
        <v>23.937788000000001</v>
      </c>
      <c r="CJ35" s="3">
        <v>22.365549000000001</v>
      </c>
      <c r="CK35" s="3">
        <v>25.084226999999998</v>
      </c>
      <c r="CL35" s="3">
        <v>24.555461999999999</v>
      </c>
      <c r="CM35" s="3">
        <v>22.855871</v>
      </c>
      <c r="CN35" s="3">
        <v>22.000554999999999</v>
      </c>
      <c r="CO35" s="3">
        <v>26.437569</v>
      </c>
      <c r="CP35" s="3">
        <v>25.063600999999998</v>
      </c>
      <c r="CQ35" s="3">
        <v>18.495142000000001</v>
      </c>
      <c r="CR35" s="3">
        <v>25.252388</v>
      </c>
      <c r="CS35" s="3">
        <v>24.254491999999999</v>
      </c>
      <c r="CT35" s="3">
        <v>24.739511</v>
      </c>
      <c r="CU35" s="3">
        <v>24.610878</v>
      </c>
      <c r="CV35" s="3">
        <v>21.756682999999999</v>
      </c>
      <c r="CW35" s="3">
        <v>24.336801999999999</v>
      </c>
      <c r="CX35" s="3">
        <v>22.903282000000001</v>
      </c>
      <c r="CY35" s="3">
        <v>25.766697000000001</v>
      </c>
      <c r="CZ35" s="3">
        <v>21.805306999999999</v>
      </c>
      <c r="DA35" s="3">
        <v>25.789642000000001</v>
      </c>
      <c r="DB35" s="3">
        <v>21.646839</v>
      </c>
      <c r="DC35" s="3">
        <v>26.190964000000001</v>
      </c>
      <c r="DD35" s="3">
        <v>23.396221000000001</v>
      </c>
      <c r="DE35" s="3">
        <v>23.138058000000001</v>
      </c>
      <c r="DF35" s="3">
        <v>23.188894000000001</v>
      </c>
      <c r="DG35" s="3">
        <v>26.240373999999999</v>
      </c>
      <c r="DH35" s="3">
        <v>23.231231999999999</v>
      </c>
      <c r="DI35" s="3"/>
      <c r="DJ35" s="3"/>
      <c r="DM35" s="3"/>
      <c r="DN35" s="3"/>
      <c r="DP35" s="3"/>
      <c r="DQ35" s="3"/>
      <c r="DR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 spans="2:207" x14ac:dyDescent="0.2">
      <c r="G36" s="3"/>
      <c r="H36" s="3"/>
      <c r="I36" s="3"/>
      <c r="J36" s="3"/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M36" s="3"/>
      <c r="DN36" s="3"/>
      <c r="DP36" s="3"/>
      <c r="DQ36" s="3"/>
      <c r="DR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</row>
    <row r="38" spans="2:207" x14ac:dyDescent="0.2">
      <c r="B38" t="s">
        <v>63</v>
      </c>
      <c r="D38" s="1" t="s">
        <v>38</v>
      </c>
    </row>
    <row r="39" spans="2:207" x14ac:dyDescent="0.2">
      <c r="B39" s="2" t="s">
        <v>35</v>
      </c>
      <c r="D39" t="s">
        <v>3</v>
      </c>
      <c r="E39" t="s">
        <v>1</v>
      </c>
      <c r="F39">
        <f>COUNT(M39:GJ39)</f>
        <v>100</v>
      </c>
      <c r="G39" s="3">
        <f>AVERAGE(M39:GJ39)</f>
        <v>22.77052209999999</v>
      </c>
      <c r="H39" s="3">
        <f>MAX(M39:GJ39)</f>
        <v>28.205212</v>
      </c>
      <c r="I39" s="3">
        <f>MIN(M39:GJ39)</f>
        <v>19.88381</v>
      </c>
      <c r="J39" s="3">
        <f>_xlfn.STDEV.P(M39:GJ39)</f>
        <v>1.5937427400375161</v>
      </c>
      <c r="K39" s="3">
        <f>_xlfn.VAR.S(M39:GJ39)</f>
        <v>2.565672647901303</v>
      </c>
      <c r="M39" s="3">
        <v>21.826499999999999</v>
      </c>
      <c r="N39" s="3">
        <v>24.15925</v>
      </c>
      <c r="O39" s="3">
        <v>23.410966999999999</v>
      </c>
      <c r="P39" s="3">
        <v>20.375710999999999</v>
      </c>
      <c r="Q39" s="3">
        <v>21.386586999999999</v>
      </c>
      <c r="R39" s="3">
        <v>21.376235999999999</v>
      </c>
      <c r="S39" s="3">
        <v>25.505198</v>
      </c>
      <c r="T39" s="3">
        <v>22.740919000000002</v>
      </c>
      <c r="U39" s="3">
        <v>25.817183</v>
      </c>
      <c r="V39" s="3">
        <v>21.306290000000001</v>
      </c>
      <c r="W39" s="3">
        <v>23.032902</v>
      </c>
      <c r="X39" s="3">
        <v>22.24502</v>
      </c>
      <c r="Y39" s="3">
        <v>19.88381</v>
      </c>
      <c r="Z39" s="3">
        <v>22.478933000000001</v>
      </c>
      <c r="AA39" s="3">
        <v>26.266607</v>
      </c>
      <c r="AB39" s="3">
        <v>22.175049000000001</v>
      </c>
      <c r="AC39" s="3">
        <v>22.129206</v>
      </c>
      <c r="AD39" s="3">
        <v>22.670784000000001</v>
      </c>
      <c r="AE39" s="3">
        <v>23.971323000000002</v>
      </c>
      <c r="AF39" s="3">
        <v>22.377790000000001</v>
      </c>
      <c r="AG39" s="3">
        <v>27.291492000000002</v>
      </c>
      <c r="AH39" s="3">
        <v>21.527252000000001</v>
      </c>
      <c r="AI39" s="3">
        <v>22.71059</v>
      </c>
      <c r="AJ39" s="3">
        <v>21.113665000000001</v>
      </c>
      <c r="AK39" s="3">
        <v>21.728418000000001</v>
      </c>
      <c r="AL39" s="3">
        <v>22.244475999999999</v>
      </c>
      <c r="AM39" s="3">
        <v>21.458939000000001</v>
      </c>
      <c r="AN39" s="3">
        <v>22.338177000000002</v>
      </c>
      <c r="AO39" s="3">
        <v>22.099491</v>
      </c>
      <c r="AP39" s="3">
        <v>23.977050999999999</v>
      </c>
      <c r="AQ39" s="3">
        <v>23.650229</v>
      </c>
      <c r="AR39" s="3">
        <v>20.211136</v>
      </c>
      <c r="AS39" s="3">
        <v>23.239452</v>
      </c>
      <c r="AT39" s="3">
        <v>24.747565999999999</v>
      </c>
      <c r="AU39" s="3">
        <v>21.902536000000001</v>
      </c>
      <c r="AV39" s="3">
        <v>27.736643000000001</v>
      </c>
      <c r="AW39" s="3">
        <v>22.413239999999998</v>
      </c>
      <c r="AX39" s="3">
        <v>20.742439000000001</v>
      </c>
      <c r="AY39" s="3">
        <v>22.367844000000002</v>
      </c>
      <c r="AZ39" s="3">
        <v>21.835571000000002</v>
      </c>
      <c r="BA39" s="3">
        <v>21.816813</v>
      </c>
      <c r="BB39" s="3">
        <v>21.811665000000001</v>
      </c>
      <c r="BC39" s="3">
        <v>22.906117999999999</v>
      </c>
      <c r="BD39" s="3">
        <v>22.715475000000001</v>
      </c>
      <c r="BE39" s="3">
        <v>22.489504</v>
      </c>
      <c r="BF39" s="3">
        <v>20.100539999999999</v>
      </c>
      <c r="BG39" s="3">
        <v>23.631245</v>
      </c>
      <c r="BH39" s="3">
        <v>22.615407999999999</v>
      </c>
      <c r="BI39" s="3">
        <v>22.805235</v>
      </c>
      <c r="BJ39" s="3">
        <v>23.642793999999999</v>
      </c>
      <c r="BK39" s="3">
        <v>24.370674000000001</v>
      </c>
      <c r="BL39" s="3">
        <v>21.561074999999999</v>
      </c>
      <c r="BM39" s="3">
        <v>22.579167999999999</v>
      </c>
      <c r="BN39" s="3">
        <v>21.296759000000002</v>
      </c>
      <c r="BO39" s="3">
        <v>25.289026</v>
      </c>
      <c r="BP39" s="3">
        <v>22.452541</v>
      </c>
      <c r="BQ39" s="3">
        <v>22.543243</v>
      </c>
      <c r="BR39" s="3">
        <v>20.375629</v>
      </c>
      <c r="BS39" s="3">
        <v>22.610664</v>
      </c>
      <c r="BT39" s="3">
        <v>23.374084</v>
      </c>
      <c r="BU39" s="3">
        <v>21.898586000000002</v>
      </c>
      <c r="BV39" s="3">
        <v>21.416869999999999</v>
      </c>
      <c r="BW39" s="3">
        <v>21.013477000000002</v>
      </c>
      <c r="BX39" s="3">
        <v>27.737300999999999</v>
      </c>
      <c r="BY39" s="3">
        <v>21.047167000000002</v>
      </c>
      <c r="BZ39" s="3">
        <v>24.234836999999999</v>
      </c>
      <c r="CA39" s="3">
        <v>22.27177</v>
      </c>
      <c r="CB39" s="3">
        <v>26.907838999999999</v>
      </c>
      <c r="CC39" s="3">
        <v>21.923041999999999</v>
      </c>
      <c r="CD39" s="3">
        <v>28.205212</v>
      </c>
      <c r="CE39" s="3">
        <v>23.675041</v>
      </c>
      <c r="CF39" s="3">
        <v>21.980806000000001</v>
      </c>
      <c r="CG39" s="3">
        <v>21.754273999999999</v>
      </c>
      <c r="CH39" s="3">
        <v>22.139925000000002</v>
      </c>
      <c r="CI39" s="3">
        <v>23.738230000000001</v>
      </c>
      <c r="CJ39" s="3">
        <v>22.975829999999998</v>
      </c>
      <c r="CK39" s="3">
        <v>21.806228999999998</v>
      </c>
      <c r="CL39" s="3">
        <v>21.911795000000001</v>
      </c>
      <c r="CM39" s="3">
        <v>22.695761000000001</v>
      </c>
      <c r="CN39" s="3">
        <v>22.998991</v>
      </c>
      <c r="CO39" s="3">
        <v>23.282623000000001</v>
      </c>
      <c r="CP39" s="3">
        <v>21.501563999999998</v>
      </c>
      <c r="CQ39" s="3">
        <v>22.284362999999999</v>
      </c>
      <c r="CR39" s="3">
        <v>23.018999000000001</v>
      </c>
      <c r="CS39" s="3">
        <v>22.487303000000001</v>
      </c>
      <c r="CT39" s="3">
        <v>24.109729999999999</v>
      </c>
      <c r="CU39" s="3">
        <v>23.418482000000001</v>
      </c>
      <c r="CV39" s="3">
        <v>21.783531</v>
      </c>
      <c r="CW39" s="3">
        <v>22.951495999999999</v>
      </c>
      <c r="CX39" s="3">
        <v>22.596703000000002</v>
      </c>
      <c r="CY39" s="3">
        <v>22.152132000000002</v>
      </c>
      <c r="CZ39" s="3">
        <v>22.642320999999999</v>
      </c>
      <c r="DA39" s="3">
        <v>22.912448999999999</v>
      </c>
      <c r="DB39" s="3">
        <v>23.272684000000002</v>
      </c>
      <c r="DC39" s="3">
        <v>22.141791999999999</v>
      </c>
      <c r="DD39" s="3">
        <v>21.618010999999999</v>
      </c>
      <c r="DE39" s="3">
        <v>22.179165000000001</v>
      </c>
      <c r="DF39" s="3">
        <v>22.708624</v>
      </c>
      <c r="DG39" s="3">
        <v>22.713153999999999</v>
      </c>
      <c r="DH39" s="3">
        <v>23.483968999999998</v>
      </c>
      <c r="DI39" s="3"/>
      <c r="DJ39" s="3"/>
      <c r="DM39" s="3"/>
      <c r="DN39" s="3"/>
      <c r="DP39" s="3"/>
      <c r="DQ39" s="3"/>
      <c r="DR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36</v>
      </c>
      <c r="G40" s="3"/>
      <c r="H40" s="3"/>
      <c r="I40" s="3"/>
      <c r="J40" s="3"/>
      <c r="K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M40" s="3"/>
      <c r="DN40" s="3"/>
      <c r="DP40" s="3"/>
      <c r="DQ40" s="3"/>
      <c r="DR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B41" s="2" t="s">
        <v>37</v>
      </c>
      <c r="D41" t="s">
        <v>4</v>
      </c>
      <c r="E41" t="s">
        <v>1</v>
      </c>
      <c r="F41">
        <f>COUNT(M41:GJ41)</f>
        <v>100</v>
      </c>
      <c r="G41" s="3">
        <f>AVERAGE(M41:GJ41)</f>
        <v>27.560616150000008</v>
      </c>
      <c r="H41" s="3">
        <f>MAX(M41:GJ41)</f>
        <v>37.807442000000002</v>
      </c>
      <c r="I41" s="3">
        <f>MIN(M41:GJ41)</f>
        <v>17.806978000000001</v>
      </c>
      <c r="J41" s="3">
        <f>_xlfn.STDEV.P(M41:GJ41)</f>
        <v>3.7859626428617776</v>
      </c>
      <c r="K41" s="3">
        <f>_xlfn.VAR.S(M41:GJ41)</f>
        <v>14.478296094085737</v>
      </c>
      <c r="M41" s="3">
        <v>33.439064000000002</v>
      </c>
      <c r="N41" s="3">
        <v>30.089839999999999</v>
      </c>
      <c r="O41" s="3">
        <v>34.188125999999997</v>
      </c>
      <c r="P41" s="3">
        <v>26.710847999999999</v>
      </c>
      <c r="Q41" s="3">
        <v>23.721153000000001</v>
      </c>
      <c r="R41" s="3">
        <v>27.626183999999999</v>
      </c>
      <c r="S41" s="3">
        <v>33.399608999999998</v>
      </c>
      <c r="T41" s="3">
        <v>27.796983999999998</v>
      </c>
      <c r="U41" s="3">
        <v>26.852474000000001</v>
      </c>
      <c r="V41" s="3">
        <v>28.822752000000001</v>
      </c>
      <c r="W41" s="3">
        <v>30.626805999999998</v>
      </c>
      <c r="X41" s="3">
        <v>27.795826000000002</v>
      </c>
      <c r="Y41" s="3">
        <v>30.777820999999999</v>
      </c>
      <c r="Z41" s="3">
        <v>29.061630000000001</v>
      </c>
      <c r="AA41" s="3">
        <v>34.993679</v>
      </c>
      <c r="AB41" s="3">
        <v>28.242540000000002</v>
      </c>
      <c r="AC41" s="3">
        <v>31.708169999999999</v>
      </c>
      <c r="AD41" s="3">
        <v>32.930649000000003</v>
      </c>
      <c r="AE41" s="3">
        <v>22.031233</v>
      </c>
      <c r="AF41" s="3">
        <v>23.801487000000002</v>
      </c>
      <c r="AG41" s="3">
        <v>26.217552000000001</v>
      </c>
      <c r="AH41" s="3">
        <v>30.502316</v>
      </c>
      <c r="AI41" s="3">
        <v>29.311019999999999</v>
      </c>
      <c r="AJ41" s="3">
        <v>30.088179</v>
      </c>
      <c r="AK41" s="3">
        <v>37.807442000000002</v>
      </c>
      <c r="AL41" s="3">
        <v>27.917776</v>
      </c>
      <c r="AM41" s="3">
        <v>25.931975999999999</v>
      </c>
      <c r="AN41" s="3">
        <v>27.040389999999999</v>
      </c>
      <c r="AO41" s="3">
        <v>20.351952000000001</v>
      </c>
      <c r="AP41" s="3">
        <v>22.017427000000001</v>
      </c>
      <c r="AQ41" s="3">
        <v>26.255649999999999</v>
      </c>
      <c r="AR41" s="3">
        <v>22.025649999999999</v>
      </c>
      <c r="AS41" s="3">
        <v>18.959381</v>
      </c>
      <c r="AT41" s="3">
        <v>18.928961000000001</v>
      </c>
      <c r="AU41" s="3">
        <v>22.809618</v>
      </c>
      <c r="AV41" s="3">
        <v>27.2819</v>
      </c>
      <c r="AW41" s="3">
        <v>32.079062999999998</v>
      </c>
      <c r="AX41" s="3">
        <v>26.459436</v>
      </c>
      <c r="AY41" s="3">
        <v>25.396833000000001</v>
      </c>
      <c r="AZ41" s="3">
        <v>31.433838000000002</v>
      </c>
      <c r="BA41" s="3">
        <v>30.868288</v>
      </c>
      <c r="BB41" s="3">
        <v>30.625962999999999</v>
      </c>
      <c r="BC41" s="3">
        <v>25.455164</v>
      </c>
      <c r="BD41" s="3">
        <v>26.378778000000001</v>
      </c>
      <c r="BE41" s="3">
        <v>24.569178000000001</v>
      </c>
      <c r="BF41" s="3">
        <v>29.693237</v>
      </c>
      <c r="BG41" s="3">
        <v>28.394248999999999</v>
      </c>
      <c r="BH41" s="3">
        <v>29.883697999999999</v>
      </c>
      <c r="BI41" s="3">
        <v>30.091825</v>
      </c>
      <c r="BJ41" s="3">
        <v>26.989258</v>
      </c>
      <c r="BK41" s="3">
        <v>25.530315000000002</v>
      </c>
      <c r="BL41" s="3">
        <v>34.911076000000001</v>
      </c>
      <c r="BM41" s="3">
        <v>34.331347999999998</v>
      </c>
      <c r="BN41" s="3">
        <v>30.195305000000001</v>
      </c>
      <c r="BO41" s="3">
        <v>23.629809999999999</v>
      </c>
      <c r="BP41" s="3">
        <v>29.314374999999998</v>
      </c>
      <c r="BQ41" s="3">
        <v>30.768924999999999</v>
      </c>
      <c r="BR41" s="3">
        <v>26.345023999999999</v>
      </c>
      <c r="BS41" s="3">
        <v>29.408867000000001</v>
      </c>
      <c r="BT41" s="3">
        <v>27.071688000000002</v>
      </c>
      <c r="BU41" s="3">
        <v>26.620380000000001</v>
      </c>
      <c r="BV41" s="3">
        <v>33.492424</v>
      </c>
      <c r="BW41" s="3">
        <v>28.391000999999999</v>
      </c>
      <c r="BX41" s="3">
        <v>26.094200000000001</v>
      </c>
      <c r="BY41" s="3">
        <v>26.601799</v>
      </c>
      <c r="BZ41" s="3">
        <v>28.49682</v>
      </c>
      <c r="CA41" s="3">
        <v>27.053370999999999</v>
      </c>
      <c r="CB41" s="3">
        <v>27.962526</v>
      </c>
      <c r="CC41" s="3">
        <v>23.785426999999999</v>
      </c>
      <c r="CD41" s="3">
        <v>27.197680999999999</v>
      </c>
      <c r="CE41" s="3">
        <v>26.939723999999998</v>
      </c>
      <c r="CF41" s="3">
        <v>28.776865000000001</v>
      </c>
      <c r="CG41" s="3">
        <v>34.765560000000001</v>
      </c>
      <c r="CH41" s="3">
        <v>27.644407000000001</v>
      </c>
      <c r="CI41" s="3">
        <v>29.809570000000001</v>
      </c>
      <c r="CJ41" s="3">
        <v>27.721554000000001</v>
      </c>
      <c r="CK41" s="3">
        <v>24.444230999999998</v>
      </c>
      <c r="CL41" s="3">
        <v>27.413924999999999</v>
      </c>
      <c r="CM41" s="3">
        <v>26.555712</v>
      </c>
      <c r="CN41" s="3">
        <v>24.233350999999999</v>
      </c>
      <c r="CO41" s="3">
        <v>26.90484</v>
      </c>
      <c r="CP41" s="3">
        <v>22.004953</v>
      </c>
      <c r="CQ41" s="3">
        <v>17.806978000000001</v>
      </c>
      <c r="CR41" s="3">
        <v>24.210875000000001</v>
      </c>
      <c r="CS41" s="3">
        <v>31.700607000000002</v>
      </c>
      <c r="CT41" s="3">
        <v>29.759862999999999</v>
      </c>
      <c r="CU41" s="3">
        <v>22.317049000000001</v>
      </c>
      <c r="CV41" s="3">
        <v>28.169049999999999</v>
      </c>
      <c r="CW41" s="3">
        <v>20.448004000000001</v>
      </c>
      <c r="CX41" s="3">
        <v>27.645541999999999</v>
      </c>
      <c r="CY41" s="3">
        <v>28.980720999999999</v>
      </c>
      <c r="CZ41" s="3">
        <v>31.052498</v>
      </c>
      <c r="DA41" s="3">
        <v>21.009982999999998</v>
      </c>
      <c r="DB41" s="3">
        <v>29.146933000000001</v>
      </c>
      <c r="DC41" s="3">
        <v>22.619371000000001</v>
      </c>
      <c r="DD41" s="3">
        <v>26.326460000000001</v>
      </c>
      <c r="DE41" s="3">
        <v>24.614096</v>
      </c>
      <c r="DF41" s="3">
        <v>25.026585000000001</v>
      </c>
      <c r="DG41" s="3">
        <v>27.552417999999999</v>
      </c>
      <c r="DH41" s="3">
        <v>26.874655000000001</v>
      </c>
      <c r="DI41" s="3"/>
      <c r="DJ41" s="3"/>
      <c r="DM41" s="3"/>
      <c r="DN41" s="3"/>
      <c r="DP41" s="3"/>
      <c r="DQ41" s="3"/>
      <c r="DR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G42" s="3"/>
      <c r="H42" s="3"/>
      <c r="I42" s="3"/>
      <c r="J42" s="3"/>
      <c r="K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M42" s="3"/>
      <c r="DN42" s="3"/>
      <c r="DP42" s="3"/>
      <c r="DQ42" s="3"/>
      <c r="DR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D43" t="s">
        <v>2</v>
      </c>
      <c r="E43" t="s">
        <v>1</v>
      </c>
      <c r="F43">
        <f>COUNT(M43:GJ43)</f>
        <v>100</v>
      </c>
      <c r="G43" s="3">
        <f>AVERAGE(M43:GJ43)</f>
        <v>26.444861719999992</v>
      </c>
      <c r="H43" s="3">
        <f>MAX(M43:GJ43)</f>
        <v>29.769328999999999</v>
      </c>
      <c r="I43" s="3">
        <f>MIN(M43:GJ43)</f>
        <v>23.352943</v>
      </c>
      <c r="J43" s="3">
        <f>_xlfn.STDEV.P(M43:GJ43)</f>
        <v>1.401887917181827</v>
      </c>
      <c r="K43" s="3">
        <f>_xlfn.VAR.S(M43:GJ43)</f>
        <v>1.985141143778183</v>
      </c>
      <c r="M43" s="3">
        <v>26.538069</v>
      </c>
      <c r="N43" s="3">
        <v>25.800633999999999</v>
      </c>
      <c r="O43" s="3">
        <v>29.718934999999998</v>
      </c>
      <c r="P43" s="3">
        <v>28.695437999999999</v>
      </c>
      <c r="Q43" s="3">
        <v>25.356085</v>
      </c>
      <c r="R43" s="3">
        <v>26.049645999999999</v>
      </c>
      <c r="S43" s="3">
        <v>27.406706</v>
      </c>
      <c r="T43" s="3">
        <v>24.783352000000001</v>
      </c>
      <c r="U43" s="3">
        <v>29.539186000000001</v>
      </c>
      <c r="V43" s="3">
        <v>25.861440999999999</v>
      </c>
      <c r="W43" s="3">
        <v>26.540026000000001</v>
      </c>
      <c r="X43" s="3">
        <v>26.452529999999999</v>
      </c>
      <c r="Y43" s="3">
        <v>25.690308000000002</v>
      </c>
      <c r="Z43" s="3">
        <v>27.689222000000001</v>
      </c>
      <c r="AA43" s="3">
        <v>27.043251000000001</v>
      </c>
      <c r="AB43" s="3">
        <v>27.684669</v>
      </c>
      <c r="AC43" s="3">
        <v>25.791649</v>
      </c>
      <c r="AD43" s="3">
        <v>26.095009000000001</v>
      </c>
      <c r="AE43" s="3">
        <v>26.114702000000001</v>
      </c>
      <c r="AF43" s="3">
        <v>25.48638</v>
      </c>
      <c r="AG43" s="3">
        <v>25.333410000000001</v>
      </c>
      <c r="AH43" s="3">
        <v>27.007635000000001</v>
      </c>
      <c r="AI43" s="3">
        <v>25.533842</v>
      </c>
      <c r="AJ43" s="3">
        <v>26.156036</v>
      </c>
      <c r="AK43" s="3">
        <v>24.758967999999999</v>
      </c>
      <c r="AL43" s="3">
        <v>27.162512</v>
      </c>
      <c r="AM43" s="3">
        <v>26.701256000000001</v>
      </c>
      <c r="AN43" s="3">
        <v>27.417379</v>
      </c>
      <c r="AO43" s="3">
        <v>24.183447000000001</v>
      </c>
      <c r="AP43" s="3">
        <v>25.686178000000002</v>
      </c>
      <c r="AQ43" s="3">
        <v>28.542248000000001</v>
      </c>
      <c r="AR43" s="3">
        <v>28.594683</v>
      </c>
      <c r="AS43" s="3">
        <v>24.710142000000001</v>
      </c>
      <c r="AT43" s="3">
        <v>26.992027</v>
      </c>
      <c r="AU43" s="3">
        <v>25.476026999999998</v>
      </c>
      <c r="AV43" s="3">
        <v>28.062301999999999</v>
      </c>
      <c r="AW43" s="3">
        <v>27.237206</v>
      </c>
      <c r="AX43" s="3">
        <v>26.25675</v>
      </c>
      <c r="AY43" s="3">
        <v>25.920200000000001</v>
      </c>
      <c r="AZ43" s="3">
        <v>29.769328999999999</v>
      </c>
      <c r="BA43" s="3">
        <v>29.428013</v>
      </c>
      <c r="BB43" s="3">
        <v>26.04637</v>
      </c>
      <c r="BC43" s="3">
        <v>26.433202999999999</v>
      </c>
      <c r="BD43" s="3">
        <v>25.634142000000001</v>
      </c>
      <c r="BE43" s="3">
        <v>28.188848</v>
      </c>
      <c r="BF43" s="3">
        <v>29.501431</v>
      </c>
      <c r="BG43" s="3">
        <v>29.384212000000002</v>
      </c>
      <c r="BH43" s="3">
        <v>28.404646</v>
      </c>
      <c r="BI43" s="3">
        <v>28.124928000000001</v>
      </c>
      <c r="BJ43" s="3">
        <v>28.119126999999999</v>
      </c>
      <c r="BK43" s="3">
        <v>27.82395</v>
      </c>
      <c r="BL43" s="3">
        <v>26.287958</v>
      </c>
      <c r="BM43" s="3">
        <v>27.392610999999999</v>
      </c>
      <c r="BN43" s="3">
        <v>25.847024999999999</v>
      </c>
      <c r="BO43" s="3">
        <v>25.961210000000001</v>
      </c>
      <c r="BP43" s="3">
        <v>27.517637000000001</v>
      </c>
      <c r="BQ43" s="3">
        <v>25.840890999999999</v>
      </c>
      <c r="BR43" s="3">
        <v>26.157800999999999</v>
      </c>
      <c r="BS43" s="3">
        <v>27.338867</v>
      </c>
      <c r="BT43" s="3">
        <v>26.149342999999998</v>
      </c>
      <c r="BU43" s="3">
        <v>25.436803999999999</v>
      </c>
      <c r="BV43" s="3">
        <v>26.072077</v>
      </c>
      <c r="BW43" s="3">
        <v>27.726997000000001</v>
      </c>
      <c r="BX43" s="3">
        <v>24.996182999999998</v>
      </c>
      <c r="BY43" s="3">
        <v>24.488976999999998</v>
      </c>
      <c r="BZ43" s="3">
        <v>26.843374000000001</v>
      </c>
      <c r="CA43" s="3">
        <v>26.335453000000001</v>
      </c>
      <c r="CB43" s="3">
        <v>25.976106999999999</v>
      </c>
      <c r="CC43" s="3">
        <v>25.802166</v>
      </c>
      <c r="CD43" s="3">
        <v>25.256191000000001</v>
      </c>
      <c r="CE43" s="3">
        <v>24.000783999999999</v>
      </c>
      <c r="CF43" s="3">
        <v>27.566668</v>
      </c>
      <c r="CG43" s="3">
        <v>25.726284</v>
      </c>
      <c r="CH43" s="3">
        <v>27.943617</v>
      </c>
      <c r="CI43" s="3">
        <v>28.723030000000001</v>
      </c>
      <c r="CJ43" s="3">
        <v>26.578491</v>
      </c>
      <c r="CK43" s="3">
        <v>26.412721999999999</v>
      </c>
      <c r="CL43" s="3">
        <v>25.528849000000001</v>
      </c>
      <c r="CM43" s="3">
        <v>26.079658999999999</v>
      </c>
      <c r="CN43" s="3">
        <v>25.965256</v>
      </c>
      <c r="CO43" s="3">
        <v>25.476402</v>
      </c>
      <c r="CP43" s="3">
        <v>26.069662000000001</v>
      </c>
      <c r="CQ43" s="3">
        <v>25.593409999999999</v>
      </c>
      <c r="CR43" s="3">
        <v>25.225603</v>
      </c>
      <c r="CS43" s="3">
        <v>26.194008</v>
      </c>
      <c r="CT43" s="3">
        <v>23.352943</v>
      </c>
      <c r="CU43" s="3">
        <v>24.660298999999998</v>
      </c>
      <c r="CV43" s="3">
        <v>24.036345000000001</v>
      </c>
      <c r="CW43" s="3">
        <v>25.108452</v>
      </c>
      <c r="CX43" s="3">
        <v>27.466813999999999</v>
      </c>
      <c r="CY43" s="3">
        <v>25.051265999999998</v>
      </c>
      <c r="CZ43" s="3">
        <v>26.459361999999999</v>
      </c>
      <c r="DA43" s="3">
        <v>25.930458000000002</v>
      </c>
      <c r="DB43" s="3">
        <v>25.268875000000001</v>
      </c>
      <c r="DC43" s="3">
        <v>27.314993000000001</v>
      </c>
      <c r="DD43" s="3">
        <v>23.563286000000002</v>
      </c>
      <c r="DE43" s="3">
        <v>25.326703999999999</v>
      </c>
      <c r="DF43" s="3">
        <v>25.656130000000001</v>
      </c>
      <c r="DG43" s="3">
        <v>27.676850999999999</v>
      </c>
      <c r="DH43" s="3">
        <v>24.173591999999999</v>
      </c>
      <c r="DI43" s="3"/>
      <c r="DJ43" s="3"/>
      <c r="DM43" s="3"/>
      <c r="DN43" s="3"/>
      <c r="DP43" s="3"/>
      <c r="DQ43" s="3"/>
      <c r="DR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G44" s="3"/>
      <c r="H44" s="3"/>
      <c r="I44" s="3"/>
      <c r="J44" s="3"/>
      <c r="K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M44" s="3"/>
      <c r="DN44" s="3"/>
      <c r="DP44" s="3"/>
      <c r="DQ44" s="3"/>
      <c r="DR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D45" t="s">
        <v>5</v>
      </c>
      <c r="E45" t="s">
        <v>1</v>
      </c>
      <c r="F45">
        <f>COUNT(M45:GJ45)</f>
        <v>100</v>
      </c>
      <c r="G45" s="3">
        <f>AVERAGE(M45:GJ45)</f>
        <v>17.630059540000001</v>
      </c>
      <c r="H45" s="3">
        <f>MAX(M45:GJ45)</f>
        <v>21.758068000000002</v>
      </c>
      <c r="I45" s="3">
        <f>MIN(M45:GJ45)</f>
        <v>13.498929</v>
      </c>
      <c r="J45" s="3">
        <f>_xlfn.STDEV.P(M45:GJ45)</f>
        <v>1.9911338251065918</v>
      </c>
      <c r="K45" s="3">
        <f>_xlfn.VAR.S(M45:GJ45)</f>
        <v>4.0046605146299319</v>
      </c>
      <c r="M45" s="3">
        <v>21.587177000000001</v>
      </c>
      <c r="N45" s="3">
        <v>15.125277000000001</v>
      </c>
      <c r="O45" s="3">
        <v>19.897770000000001</v>
      </c>
      <c r="P45" s="3">
        <v>16.598735999999999</v>
      </c>
      <c r="Q45" s="3">
        <v>16.61478</v>
      </c>
      <c r="R45" s="3">
        <v>16.904174999999999</v>
      </c>
      <c r="S45" s="3">
        <v>17.068926000000001</v>
      </c>
      <c r="T45" s="3">
        <v>15.966313</v>
      </c>
      <c r="U45" s="3">
        <v>18.990062999999999</v>
      </c>
      <c r="V45" s="3">
        <v>18.854422</v>
      </c>
      <c r="W45" s="3">
        <v>16.276522</v>
      </c>
      <c r="X45" s="3">
        <v>17.720552000000001</v>
      </c>
      <c r="Y45" s="3">
        <v>19.364737000000002</v>
      </c>
      <c r="Z45" s="3">
        <v>15.543958999999999</v>
      </c>
      <c r="AA45" s="3">
        <v>20.305531999999999</v>
      </c>
      <c r="AB45" s="3">
        <v>14.691825</v>
      </c>
      <c r="AC45" s="3">
        <v>13.498929</v>
      </c>
      <c r="AD45" s="3">
        <v>17.025164</v>
      </c>
      <c r="AE45" s="3">
        <v>17.913429000000001</v>
      </c>
      <c r="AF45" s="3">
        <v>14.898638999999999</v>
      </c>
      <c r="AG45" s="3">
        <v>17.269293000000001</v>
      </c>
      <c r="AH45" s="3">
        <v>18.951875999999999</v>
      </c>
      <c r="AI45" s="3">
        <v>18.598236</v>
      </c>
      <c r="AJ45" s="3">
        <v>16.194344000000001</v>
      </c>
      <c r="AK45" s="3">
        <v>19.925073999999999</v>
      </c>
      <c r="AL45" s="3">
        <v>17.028597000000001</v>
      </c>
      <c r="AM45" s="3">
        <v>14.40671</v>
      </c>
      <c r="AN45" s="3">
        <v>19.163719</v>
      </c>
      <c r="AO45" s="3">
        <v>14.576976</v>
      </c>
      <c r="AP45" s="3">
        <v>17.525185</v>
      </c>
      <c r="AQ45" s="3">
        <v>15.272294</v>
      </c>
      <c r="AR45" s="3">
        <v>15.70565</v>
      </c>
      <c r="AS45" s="3">
        <v>20.536835</v>
      </c>
      <c r="AT45" s="3">
        <v>21.194973000000001</v>
      </c>
      <c r="AU45" s="3">
        <v>19.351284</v>
      </c>
      <c r="AV45" s="3">
        <v>15.162983000000001</v>
      </c>
      <c r="AW45" s="3">
        <v>19.693034999999998</v>
      </c>
      <c r="AX45" s="3">
        <v>14.794914</v>
      </c>
      <c r="AY45" s="3">
        <v>16.187548</v>
      </c>
      <c r="AZ45" s="3">
        <v>15.705132000000001</v>
      </c>
      <c r="BA45" s="3">
        <v>20.056906000000001</v>
      </c>
      <c r="BB45" s="3">
        <v>19.985849000000002</v>
      </c>
      <c r="BC45" s="3">
        <v>19.411695000000002</v>
      </c>
      <c r="BD45" s="3">
        <v>18.364388000000002</v>
      </c>
      <c r="BE45" s="3">
        <v>20.743718999999999</v>
      </c>
      <c r="BF45" s="3">
        <v>14.327375</v>
      </c>
      <c r="BG45" s="3">
        <v>18.211303999999998</v>
      </c>
      <c r="BH45" s="3">
        <v>17.827203999999998</v>
      </c>
      <c r="BI45" s="3">
        <v>18.343519000000001</v>
      </c>
      <c r="BJ45" s="3">
        <v>17.507223</v>
      </c>
      <c r="BK45" s="3">
        <v>16.775037999999999</v>
      </c>
      <c r="BL45" s="3">
        <v>14.289764999999999</v>
      </c>
      <c r="BM45" s="3">
        <v>16.891425999999999</v>
      </c>
      <c r="BN45" s="3">
        <v>19.093222000000001</v>
      </c>
      <c r="BO45" s="3">
        <v>16.663221</v>
      </c>
      <c r="BP45" s="3">
        <v>19.080079999999999</v>
      </c>
      <c r="BQ45" s="3">
        <v>21.322357</v>
      </c>
      <c r="BR45" s="3">
        <v>14.414493</v>
      </c>
      <c r="BS45" s="3">
        <v>17.358371999999999</v>
      </c>
      <c r="BT45" s="3">
        <v>16.118361</v>
      </c>
      <c r="BU45" s="3">
        <v>15.315547</v>
      </c>
      <c r="BV45" s="3">
        <v>18.117920000000002</v>
      </c>
      <c r="BW45" s="3">
        <v>19.501328999999998</v>
      </c>
      <c r="BX45" s="3">
        <v>19.36252</v>
      </c>
      <c r="BY45" s="3">
        <v>17.137936</v>
      </c>
      <c r="BZ45" s="3">
        <v>16.695126999999999</v>
      </c>
      <c r="CA45" s="3">
        <v>19.087952000000001</v>
      </c>
      <c r="CB45" s="3">
        <v>17.365594999999999</v>
      </c>
      <c r="CC45" s="3">
        <v>20.842108</v>
      </c>
      <c r="CD45" s="3">
        <v>19.637985</v>
      </c>
      <c r="CE45" s="3">
        <v>15.700989999999999</v>
      </c>
      <c r="CF45" s="3">
        <v>17.896954999999998</v>
      </c>
      <c r="CG45" s="3">
        <v>17.936489000000002</v>
      </c>
      <c r="CH45" s="3">
        <v>21.758068000000002</v>
      </c>
      <c r="CI45" s="3">
        <v>15.796479</v>
      </c>
      <c r="CJ45" s="3">
        <v>18.394750999999999</v>
      </c>
      <c r="CK45" s="3">
        <v>15.630058999999999</v>
      </c>
      <c r="CL45" s="3">
        <v>16.036791000000001</v>
      </c>
      <c r="CM45" s="3">
        <v>17.994710999999999</v>
      </c>
      <c r="CN45" s="3">
        <v>16.534186999999999</v>
      </c>
      <c r="CO45" s="3">
        <v>16.730018999999999</v>
      </c>
      <c r="CP45" s="3">
        <v>21.167767000000001</v>
      </c>
      <c r="CQ45" s="3">
        <v>15.369166999999999</v>
      </c>
      <c r="CR45" s="3">
        <v>19.017696000000001</v>
      </c>
      <c r="CS45" s="3">
        <v>16.991240000000001</v>
      </c>
      <c r="CT45" s="3">
        <v>16.291996000000001</v>
      </c>
      <c r="CU45" s="3">
        <v>18.576933</v>
      </c>
      <c r="CV45" s="3">
        <v>19.224415</v>
      </c>
      <c r="CW45" s="3">
        <v>20.917908000000001</v>
      </c>
      <c r="CX45" s="3">
        <v>18.631820999999999</v>
      </c>
      <c r="CY45" s="3">
        <v>15.584028</v>
      </c>
      <c r="CZ45" s="3">
        <v>14.75325</v>
      </c>
      <c r="DA45" s="3">
        <v>21.051926000000002</v>
      </c>
      <c r="DB45" s="3">
        <v>15.204407</v>
      </c>
      <c r="DC45" s="3">
        <v>16.761483999999999</v>
      </c>
      <c r="DD45" s="3">
        <v>18.429924</v>
      </c>
      <c r="DE45" s="3">
        <v>17.839034999999999</v>
      </c>
      <c r="DF45" s="3">
        <v>16.78059</v>
      </c>
      <c r="DG45" s="3">
        <v>20.292020999999998</v>
      </c>
      <c r="DH45" s="3">
        <v>17.769725999999999</v>
      </c>
      <c r="DI45" s="3"/>
      <c r="DJ45" s="3"/>
      <c r="DM45" s="3"/>
      <c r="DN45" s="3"/>
      <c r="DP45" s="3"/>
      <c r="DQ45" s="3"/>
      <c r="DR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G46" s="3"/>
      <c r="H46" s="3"/>
      <c r="I46" s="3"/>
      <c r="J46" s="3"/>
      <c r="K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M46" s="3"/>
      <c r="DN46" s="3"/>
      <c r="DP46" s="3"/>
      <c r="DQ46" s="3"/>
      <c r="DR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D47" t="s">
        <v>6</v>
      </c>
      <c r="E47" t="s">
        <v>1</v>
      </c>
      <c r="F47">
        <f>COUNT(M47:GJ47)</f>
        <v>100</v>
      </c>
      <c r="G47" s="3">
        <f>AVERAGE(M47:GJ47)</f>
        <v>20.627766990000001</v>
      </c>
      <c r="H47" s="3">
        <f>MAX(M47:GJ47)</f>
        <v>25.214703</v>
      </c>
      <c r="I47" s="3">
        <f>MIN(M47:GJ47)</f>
        <v>13.348347</v>
      </c>
      <c r="J47" s="3">
        <f>_xlfn.STDEV.P(M47:GJ47)</f>
        <v>2.8816156848432346</v>
      </c>
      <c r="K47" s="3">
        <f>_xlfn.VAR.S(M47:GJ47)</f>
        <v>8.3875848031662326</v>
      </c>
      <c r="M47" s="3">
        <v>19.554129</v>
      </c>
      <c r="N47" s="3">
        <v>22.427965</v>
      </c>
      <c r="O47" s="3">
        <v>23.482765000000001</v>
      </c>
      <c r="P47" s="3">
        <v>21.084161999999999</v>
      </c>
      <c r="Q47" s="3">
        <v>18.587796999999998</v>
      </c>
      <c r="R47" s="3">
        <v>20.783871000000001</v>
      </c>
      <c r="S47" s="3">
        <v>18.492778999999999</v>
      </c>
      <c r="T47" s="3">
        <v>17.347622000000001</v>
      </c>
      <c r="U47" s="3">
        <v>20.859379000000001</v>
      </c>
      <c r="V47" s="3">
        <v>17.506262</v>
      </c>
      <c r="W47" s="3">
        <v>19.026655000000002</v>
      </c>
      <c r="X47" s="3">
        <v>20.485696999999998</v>
      </c>
      <c r="Y47" s="3">
        <v>19.229282000000001</v>
      </c>
      <c r="Z47" s="3">
        <v>18.362787000000001</v>
      </c>
      <c r="AA47" s="3">
        <v>19.202508999999999</v>
      </c>
      <c r="AB47" s="3">
        <v>22.743715000000002</v>
      </c>
      <c r="AC47" s="3">
        <v>23.069033000000001</v>
      </c>
      <c r="AD47" s="3">
        <v>22.343952000000002</v>
      </c>
      <c r="AE47" s="3">
        <v>15.247121999999999</v>
      </c>
      <c r="AF47" s="3">
        <v>23.371948</v>
      </c>
      <c r="AG47" s="3">
        <v>24.726278000000001</v>
      </c>
      <c r="AH47" s="3">
        <v>17.473927</v>
      </c>
      <c r="AI47" s="3">
        <v>20.294588000000001</v>
      </c>
      <c r="AJ47" s="3">
        <v>16.599035000000001</v>
      </c>
      <c r="AK47" s="3">
        <v>22.254593</v>
      </c>
      <c r="AL47" s="3">
        <v>19.728705999999999</v>
      </c>
      <c r="AM47" s="3">
        <v>24.133392000000001</v>
      </c>
      <c r="AN47" s="3">
        <v>25.214703</v>
      </c>
      <c r="AO47" s="3">
        <v>23.853007999999999</v>
      </c>
      <c r="AP47" s="3">
        <v>22.164798999999999</v>
      </c>
      <c r="AQ47" s="3">
        <v>15.978099</v>
      </c>
      <c r="AR47" s="3">
        <v>20.780142000000001</v>
      </c>
      <c r="AS47" s="3">
        <v>15.775164999999999</v>
      </c>
      <c r="AT47" s="3">
        <v>21.482126000000001</v>
      </c>
      <c r="AU47" s="3">
        <v>20.757511000000001</v>
      </c>
      <c r="AV47" s="3">
        <v>23.147117999999999</v>
      </c>
      <c r="AW47" s="3">
        <v>19.720181</v>
      </c>
      <c r="AX47" s="3">
        <v>21.019297000000002</v>
      </c>
      <c r="AY47" s="3">
        <v>20.338519999999999</v>
      </c>
      <c r="AZ47" s="3">
        <v>18.033747000000002</v>
      </c>
      <c r="BA47" s="3">
        <v>24.732706</v>
      </c>
      <c r="BB47" s="3">
        <v>21.319991999999999</v>
      </c>
      <c r="BC47" s="3">
        <v>23.690280999999999</v>
      </c>
      <c r="BD47" s="3">
        <v>17.422588000000001</v>
      </c>
      <c r="BE47" s="3">
        <v>22.764323999999998</v>
      </c>
      <c r="BF47" s="3">
        <v>14.631266</v>
      </c>
      <c r="BG47" s="3">
        <v>17.337906</v>
      </c>
      <c r="BH47" s="3">
        <v>18.242794</v>
      </c>
      <c r="BI47" s="3">
        <v>17.191641000000001</v>
      </c>
      <c r="BJ47" s="3">
        <v>23.292223</v>
      </c>
      <c r="BK47" s="3">
        <v>17.839556000000002</v>
      </c>
      <c r="BL47" s="3">
        <v>20.864864000000001</v>
      </c>
      <c r="BM47" s="3">
        <v>22.440994</v>
      </c>
      <c r="BN47" s="3">
        <v>20.929912999999999</v>
      </c>
      <c r="BO47" s="3">
        <v>23.121828000000001</v>
      </c>
      <c r="BP47" s="3">
        <v>23.223896</v>
      </c>
      <c r="BQ47" s="3">
        <v>20.420895000000002</v>
      </c>
      <c r="BR47" s="3">
        <v>15.203162000000001</v>
      </c>
      <c r="BS47" s="3">
        <v>21.561496999999999</v>
      </c>
      <c r="BT47" s="3">
        <v>22.036165</v>
      </c>
      <c r="BU47" s="3">
        <v>23.459892</v>
      </c>
      <c r="BV47" s="3">
        <v>24.145706000000001</v>
      </c>
      <c r="BW47" s="3">
        <v>24.173088</v>
      </c>
      <c r="BX47" s="3">
        <v>20.00667</v>
      </c>
      <c r="BY47" s="3">
        <v>17.946031999999999</v>
      </c>
      <c r="BZ47" s="3">
        <v>23.758065999999999</v>
      </c>
      <c r="CA47" s="3">
        <v>22.021349000000001</v>
      </c>
      <c r="CB47" s="3">
        <v>24.229043999999998</v>
      </c>
      <c r="CC47" s="3">
        <v>15.499041</v>
      </c>
      <c r="CD47" s="3">
        <v>22.022825000000001</v>
      </c>
      <c r="CE47" s="3">
        <v>14.680469</v>
      </c>
      <c r="CF47" s="3">
        <v>19.271322000000001</v>
      </c>
      <c r="CG47" s="3">
        <v>18.916197</v>
      </c>
      <c r="CH47" s="3">
        <v>16.538163999999998</v>
      </c>
      <c r="CI47" s="3">
        <v>24.107555000000001</v>
      </c>
      <c r="CJ47" s="3">
        <v>16.239363000000001</v>
      </c>
      <c r="CK47" s="3">
        <v>23.882245999999999</v>
      </c>
      <c r="CL47" s="3">
        <v>23.885334</v>
      </c>
      <c r="CM47" s="3">
        <v>21.500978</v>
      </c>
      <c r="CN47" s="3">
        <v>20.319248000000002</v>
      </c>
      <c r="CO47" s="3">
        <v>23.035149000000001</v>
      </c>
      <c r="CP47" s="3">
        <v>23.090098999999999</v>
      </c>
      <c r="CQ47" s="3">
        <v>13.348347</v>
      </c>
      <c r="CR47" s="3">
        <v>22.255776999999998</v>
      </c>
      <c r="CS47" s="3">
        <v>25.127110999999999</v>
      </c>
      <c r="CT47" s="3">
        <v>21.983936</v>
      </c>
      <c r="CU47" s="3">
        <v>21.561014</v>
      </c>
      <c r="CV47" s="3">
        <v>22.862793</v>
      </c>
      <c r="CW47" s="3">
        <v>23.015463</v>
      </c>
      <c r="CX47" s="3">
        <v>18.828384</v>
      </c>
      <c r="CY47" s="3">
        <v>24.843471999999998</v>
      </c>
      <c r="CZ47" s="3">
        <v>20.630376999999999</v>
      </c>
      <c r="DA47" s="3">
        <v>23.585068</v>
      </c>
      <c r="DB47" s="3">
        <v>16.442902</v>
      </c>
      <c r="DC47" s="3">
        <v>22.961379999999998</v>
      </c>
      <c r="DD47" s="3">
        <v>14.655965999999999</v>
      </c>
      <c r="DE47" s="3">
        <v>21.820800999999999</v>
      </c>
      <c r="DF47" s="3">
        <v>19.437109</v>
      </c>
      <c r="DG47" s="3">
        <v>18.825088999999998</v>
      </c>
      <c r="DH47" s="3">
        <v>22.911016</v>
      </c>
      <c r="DI47" s="3"/>
      <c r="DJ47" s="3"/>
      <c r="DM47" s="3"/>
      <c r="DN47" s="3"/>
      <c r="DP47" s="3"/>
      <c r="DQ47" s="3"/>
      <c r="DR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8" spans="2:207" x14ac:dyDescent="0.2">
      <c r="M48" s="3"/>
      <c r="N48" s="3"/>
    </row>
    <row r="49" spans="2:207" x14ac:dyDescent="0.2">
      <c r="D49" s="1"/>
    </row>
    <row r="50" spans="2:207" x14ac:dyDescent="0.2">
      <c r="B50" t="s">
        <v>63</v>
      </c>
      <c r="D50" s="1" t="s">
        <v>39</v>
      </c>
    </row>
    <row r="51" spans="2:207" x14ac:dyDescent="0.2">
      <c r="B51" s="2" t="s">
        <v>40</v>
      </c>
      <c r="D51" t="s">
        <v>3</v>
      </c>
      <c r="E51" t="s">
        <v>1</v>
      </c>
      <c r="F51">
        <f>COUNT(M51:GJ51)</f>
        <v>100</v>
      </c>
      <c r="G51" s="3">
        <f>AVERAGE(M51:GJ51)</f>
        <v>24.978682800000012</v>
      </c>
      <c r="H51" s="3">
        <f>MAX(M51:GJ51)</f>
        <v>31.819064999999998</v>
      </c>
      <c r="I51" s="3">
        <f>MIN(M51:GJ51)</f>
        <v>22.742536999999999</v>
      </c>
      <c r="J51" s="3">
        <f>_xlfn.STDEV.P(M51:GJ51)</f>
        <v>1.7553430790325406</v>
      </c>
      <c r="K51" s="3">
        <f>_xlfn.VAR.S(M51:GJ51)</f>
        <v>3.1123528536438791</v>
      </c>
      <c r="M51" s="3">
        <v>23.040558000000001</v>
      </c>
      <c r="N51" s="3">
        <v>27.114262</v>
      </c>
      <c r="O51" s="3">
        <v>24.797059999999998</v>
      </c>
      <c r="P51" s="3">
        <v>24.074276000000001</v>
      </c>
      <c r="Q51" s="3">
        <v>25.422148</v>
      </c>
      <c r="R51" s="3">
        <v>24.705825999999998</v>
      </c>
      <c r="S51" s="3">
        <v>28.831095000000001</v>
      </c>
      <c r="T51" s="3">
        <v>24.341162000000001</v>
      </c>
      <c r="U51" s="3">
        <v>26.67737</v>
      </c>
      <c r="V51" s="3">
        <v>26.167866</v>
      </c>
      <c r="W51" s="3">
        <v>26.262678000000001</v>
      </c>
      <c r="X51" s="3">
        <v>24.883503000000001</v>
      </c>
      <c r="Y51" s="3">
        <v>24.751179</v>
      </c>
      <c r="Z51" s="3">
        <v>22.909775</v>
      </c>
      <c r="AA51" s="3">
        <v>27.439661000000001</v>
      </c>
      <c r="AB51" s="3">
        <v>23.285323999999999</v>
      </c>
      <c r="AC51" s="3">
        <v>24.156054000000001</v>
      </c>
      <c r="AD51" s="3">
        <v>24.286182</v>
      </c>
      <c r="AE51" s="3">
        <v>27.941638999999999</v>
      </c>
      <c r="AF51" s="3">
        <v>23.933046000000001</v>
      </c>
      <c r="AG51" s="3">
        <v>30.370667000000001</v>
      </c>
      <c r="AH51" s="3">
        <v>23.434747999999999</v>
      </c>
      <c r="AI51" s="3">
        <v>23.259875999999998</v>
      </c>
      <c r="AJ51" s="3">
        <v>23.776945000000001</v>
      </c>
      <c r="AK51" s="3">
        <v>25.549990000000001</v>
      </c>
      <c r="AL51" s="3">
        <v>22.742536999999999</v>
      </c>
      <c r="AM51" s="3">
        <v>24.213106</v>
      </c>
      <c r="AN51" s="3">
        <v>23.406237000000001</v>
      </c>
      <c r="AO51" s="3">
        <v>25.635307000000001</v>
      </c>
      <c r="AP51" s="3">
        <v>25.610443</v>
      </c>
      <c r="AQ51" s="3">
        <v>26.986753</v>
      </c>
      <c r="AR51" s="3">
        <v>24.158358</v>
      </c>
      <c r="AS51" s="3">
        <v>24.070167999999999</v>
      </c>
      <c r="AT51" s="3">
        <v>25.981266000000002</v>
      </c>
      <c r="AU51" s="3">
        <v>23.729762999999998</v>
      </c>
      <c r="AV51" s="3">
        <v>28.401402000000001</v>
      </c>
      <c r="AW51" s="3">
        <v>27.112760999999999</v>
      </c>
      <c r="AX51" s="3">
        <v>24.654648000000002</v>
      </c>
      <c r="AY51" s="3">
        <v>22.973071999999998</v>
      </c>
      <c r="AZ51" s="3">
        <v>24.117298000000002</v>
      </c>
      <c r="BA51" s="3">
        <v>23.682541000000001</v>
      </c>
      <c r="BB51" s="3">
        <v>23.290115</v>
      </c>
      <c r="BC51" s="3">
        <v>22.899501999999998</v>
      </c>
      <c r="BD51" s="3">
        <v>23.201554999999999</v>
      </c>
      <c r="BE51" s="3">
        <v>23.624200999999999</v>
      </c>
      <c r="BF51" s="3">
        <v>24.956762000000001</v>
      </c>
      <c r="BG51" s="3">
        <v>28.446297000000001</v>
      </c>
      <c r="BH51" s="3">
        <v>24.606058000000001</v>
      </c>
      <c r="BI51" s="3">
        <v>25.449131000000001</v>
      </c>
      <c r="BJ51" s="3">
        <v>24.849224</v>
      </c>
      <c r="BK51" s="3">
        <v>25.845483999999999</v>
      </c>
      <c r="BL51" s="3">
        <v>24.329062</v>
      </c>
      <c r="BM51" s="3">
        <v>24.147665</v>
      </c>
      <c r="BN51" s="3">
        <v>24.493147</v>
      </c>
      <c r="BO51" s="3">
        <v>27.431885000000001</v>
      </c>
      <c r="BP51" s="3">
        <v>23.654018000000001</v>
      </c>
      <c r="BQ51" s="3">
        <v>24.985363</v>
      </c>
      <c r="BR51" s="3">
        <v>24.544353000000001</v>
      </c>
      <c r="BS51" s="3">
        <v>23.093427999999999</v>
      </c>
      <c r="BT51" s="3">
        <v>24.238941000000001</v>
      </c>
      <c r="BU51" s="3">
        <v>23.791869999999999</v>
      </c>
      <c r="BV51" s="3">
        <v>24.100569</v>
      </c>
      <c r="BW51" s="3">
        <v>24.722988000000001</v>
      </c>
      <c r="BX51" s="3">
        <v>28.169627999999999</v>
      </c>
      <c r="BY51" s="3">
        <v>24.311743</v>
      </c>
      <c r="BZ51" s="3">
        <v>24.797944999999999</v>
      </c>
      <c r="CA51" s="3">
        <v>25.092445000000001</v>
      </c>
      <c r="CB51" s="3">
        <v>28.861205999999999</v>
      </c>
      <c r="CC51" s="3">
        <v>24.357119000000001</v>
      </c>
      <c r="CD51" s="3">
        <v>31.819064999999998</v>
      </c>
      <c r="CE51" s="3">
        <v>26.861227</v>
      </c>
      <c r="CF51" s="3">
        <v>23.186240999999999</v>
      </c>
      <c r="CG51" s="3">
        <v>23.983484000000001</v>
      </c>
      <c r="CH51" s="3">
        <v>24.199998999999998</v>
      </c>
      <c r="CI51" s="3">
        <v>29.061572999999999</v>
      </c>
      <c r="CJ51" s="3">
        <v>23.352405999999998</v>
      </c>
      <c r="CK51" s="3">
        <v>23.122554999999998</v>
      </c>
      <c r="CL51" s="3">
        <v>23.612649999999999</v>
      </c>
      <c r="CM51" s="3">
        <v>23.246234999999999</v>
      </c>
      <c r="CN51" s="3">
        <v>26.490386999999998</v>
      </c>
      <c r="CO51" s="3">
        <v>25.427240000000001</v>
      </c>
      <c r="CP51" s="3">
        <v>23.393298999999999</v>
      </c>
      <c r="CQ51" s="3">
        <v>23.964386000000001</v>
      </c>
      <c r="CR51" s="3">
        <v>27.544499999999999</v>
      </c>
      <c r="CS51" s="3">
        <v>24.176943000000001</v>
      </c>
      <c r="CT51" s="3">
        <v>25.560645999999998</v>
      </c>
      <c r="CU51" s="3">
        <v>24.860150999999998</v>
      </c>
      <c r="CV51" s="3">
        <v>24.828184</v>
      </c>
      <c r="CW51" s="3">
        <v>23.773523000000001</v>
      </c>
      <c r="CX51" s="3">
        <v>22.935362000000001</v>
      </c>
      <c r="CY51" s="3">
        <v>24.579704</v>
      </c>
      <c r="CZ51" s="3">
        <v>23.761011</v>
      </c>
      <c r="DA51" s="3">
        <v>24.051718000000001</v>
      </c>
      <c r="DB51" s="3">
        <v>24.320986000000001</v>
      </c>
      <c r="DC51" s="3">
        <v>23.882491999999999</v>
      </c>
      <c r="DD51" s="3">
        <v>25.389171999999999</v>
      </c>
      <c r="DE51" s="3">
        <v>24.048721</v>
      </c>
      <c r="DF51" s="3">
        <v>25.042155999999999</v>
      </c>
      <c r="DG51" s="3">
        <v>26.527245000000001</v>
      </c>
      <c r="DH51" s="3">
        <v>25.684764999999999</v>
      </c>
      <c r="DI51" s="3"/>
      <c r="DJ51" s="3"/>
      <c r="DM51" s="3"/>
      <c r="DN51" s="3"/>
      <c r="DP51" s="3"/>
      <c r="DQ51" s="3"/>
      <c r="DR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 t="s">
        <v>41</v>
      </c>
      <c r="G52" s="3"/>
      <c r="H52" s="3"/>
      <c r="I52" s="3"/>
      <c r="J52" s="3"/>
      <c r="K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M52" s="3"/>
      <c r="DN52" s="3"/>
      <c r="DP52" s="3"/>
      <c r="DQ52" s="3"/>
      <c r="DR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B53" s="2" t="s">
        <v>42</v>
      </c>
      <c r="D53" t="s">
        <v>4</v>
      </c>
      <c r="E53" t="s">
        <v>1</v>
      </c>
      <c r="F53">
        <f>COUNT(M53:GJ53)</f>
        <v>100</v>
      </c>
      <c r="G53" s="3">
        <f>AVERAGE(M53:GJ53)</f>
        <v>27.246286249999994</v>
      </c>
      <c r="H53" s="3">
        <f>MAX(M53:GJ53)</f>
        <v>31.198395000000001</v>
      </c>
      <c r="I53" s="3">
        <f>MIN(M53:GJ53)</f>
        <v>24.049175000000002</v>
      </c>
      <c r="J53" s="3">
        <f>_xlfn.STDEV.P(M53:GJ53)</f>
        <v>1.6135990820097499</v>
      </c>
      <c r="K53" s="3">
        <f>_xlfn.VAR.S(M53:GJ53)</f>
        <v>2.6300020176390988</v>
      </c>
      <c r="M53" s="3">
        <v>29.286652</v>
      </c>
      <c r="N53" s="3">
        <v>26.392122000000001</v>
      </c>
      <c r="O53" s="3">
        <v>30.059290000000001</v>
      </c>
      <c r="P53" s="3">
        <v>27.569306999999998</v>
      </c>
      <c r="Q53" s="3">
        <v>28.356417</v>
      </c>
      <c r="R53" s="3">
        <v>26.188385</v>
      </c>
      <c r="S53" s="3">
        <v>27.433326999999998</v>
      </c>
      <c r="T53" s="3">
        <v>24.433935000000002</v>
      </c>
      <c r="U53" s="3">
        <v>24.597261</v>
      </c>
      <c r="V53" s="3">
        <v>27.60453</v>
      </c>
      <c r="W53" s="3">
        <v>24.593267000000001</v>
      </c>
      <c r="X53" s="3">
        <v>27.130393999999999</v>
      </c>
      <c r="Y53" s="3">
        <v>28.214956000000001</v>
      </c>
      <c r="Z53" s="3">
        <v>26.632549000000001</v>
      </c>
      <c r="AA53" s="3">
        <v>29.432129</v>
      </c>
      <c r="AB53" s="3">
        <v>26.733931999999999</v>
      </c>
      <c r="AC53" s="3">
        <v>26.659344000000001</v>
      </c>
      <c r="AD53" s="3">
        <v>25.164860000000001</v>
      </c>
      <c r="AE53" s="3">
        <v>25.164604000000001</v>
      </c>
      <c r="AF53" s="3">
        <v>28.849377</v>
      </c>
      <c r="AG53" s="3">
        <v>26.736301000000001</v>
      </c>
      <c r="AH53" s="3">
        <v>26.745100000000001</v>
      </c>
      <c r="AI53" s="3">
        <v>26.940289</v>
      </c>
      <c r="AJ53" s="3">
        <v>27.469110000000001</v>
      </c>
      <c r="AK53" s="3">
        <v>25.601185000000001</v>
      </c>
      <c r="AL53" s="3">
        <v>28.628344999999999</v>
      </c>
      <c r="AM53" s="3">
        <v>25.446432000000001</v>
      </c>
      <c r="AN53" s="3">
        <v>26.299759000000002</v>
      </c>
      <c r="AO53" s="3">
        <v>24.049175000000002</v>
      </c>
      <c r="AP53" s="3">
        <v>29.202670999999999</v>
      </c>
      <c r="AQ53" s="3">
        <v>27.339157</v>
      </c>
      <c r="AR53" s="3">
        <v>28.794198999999999</v>
      </c>
      <c r="AS53" s="3">
        <v>26.750845000000002</v>
      </c>
      <c r="AT53" s="3">
        <v>28.764446</v>
      </c>
      <c r="AU53" s="3">
        <v>26.673825999999998</v>
      </c>
      <c r="AV53" s="3">
        <v>28.795484999999999</v>
      </c>
      <c r="AW53" s="3">
        <v>26.951929</v>
      </c>
      <c r="AX53" s="3">
        <v>28.531922999999999</v>
      </c>
      <c r="AY53" s="3">
        <v>24.665257</v>
      </c>
      <c r="AZ53" s="3">
        <v>29.025103000000001</v>
      </c>
      <c r="BA53" s="3">
        <v>27.806705000000001</v>
      </c>
      <c r="BB53" s="3">
        <v>29.324414999999998</v>
      </c>
      <c r="BC53" s="3">
        <v>27.475581999999999</v>
      </c>
      <c r="BD53" s="3">
        <v>25.236052000000001</v>
      </c>
      <c r="BE53" s="3">
        <v>30.857102999999999</v>
      </c>
      <c r="BF53" s="3">
        <v>26.826567000000001</v>
      </c>
      <c r="BG53" s="3">
        <v>26.388259999999999</v>
      </c>
      <c r="BH53" s="3">
        <v>25.909314999999999</v>
      </c>
      <c r="BI53" s="3">
        <v>28.171655999999999</v>
      </c>
      <c r="BJ53" s="3">
        <v>25.902381999999999</v>
      </c>
      <c r="BK53" s="3">
        <v>24.174288000000001</v>
      </c>
      <c r="BL53" s="3">
        <v>31.198395000000001</v>
      </c>
      <c r="BM53" s="3">
        <v>28.675474000000001</v>
      </c>
      <c r="BN53" s="3">
        <v>30.04204</v>
      </c>
      <c r="BO53" s="3">
        <v>25.852961000000001</v>
      </c>
      <c r="BP53" s="3">
        <v>27.583508999999999</v>
      </c>
      <c r="BQ53" s="3">
        <v>27.082241</v>
      </c>
      <c r="BR53" s="3">
        <v>26.334136999999998</v>
      </c>
      <c r="BS53" s="3">
        <v>27.354305</v>
      </c>
      <c r="BT53" s="3">
        <v>24.494841000000001</v>
      </c>
      <c r="BU53" s="3">
        <v>27.150663000000002</v>
      </c>
      <c r="BV53" s="3">
        <v>28.108699999999999</v>
      </c>
      <c r="BW53" s="3">
        <v>27.184215999999999</v>
      </c>
      <c r="BX53" s="3">
        <v>26.191659999999999</v>
      </c>
      <c r="BY53" s="3">
        <v>25.274822</v>
      </c>
      <c r="BZ53" s="3">
        <v>25.990580000000001</v>
      </c>
      <c r="CA53" s="3">
        <v>26.549212000000001</v>
      </c>
      <c r="CB53" s="3">
        <v>25.678661000000002</v>
      </c>
      <c r="CC53" s="3">
        <v>27.568391999999999</v>
      </c>
      <c r="CD53" s="3">
        <v>26.483162</v>
      </c>
      <c r="CE53" s="3">
        <v>25.574007000000002</v>
      </c>
      <c r="CF53" s="3">
        <v>27.373923999999999</v>
      </c>
      <c r="CG53" s="3">
        <v>27.882126</v>
      </c>
      <c r="CH53" s="3">
        <v>26.081181999999998</v>
      </c>
      <c r="CI53" s="3">
        <v>26.724399999999999</v>
      </c>
      <c r="CJ53" s="3">
        <v>27.345388</v>
      </c>
      <c r="CK53" s="3">
        <v>27.415766000000001</v>
      </c>
      <c r="CL53" s="3">
        <v>30.718160999999998</v>
      </c>
      <c r="CM53" s="3">
        <v>25.929860999999999</v>
      </c>
      <c r="CN53" s="3">
        <v>29.656199999999998</v>
      </c>
      <c r="CO53" s="3">
        <v>27.213867</v>
      </c>
      <c r="CP53" s="3">
        <v>27.854445999999999</v>
      </c>
      <c r="CQ53" s="3">
        <v>27.980663</v>
      </c>
      <c r="CR53" s="3">
        <v>27.723085000000001</v>
      </c>
      <c r="CS53" s="3">
        <v>28.265394000000001</v>
      </c>
      <c r="CT53" s="3">
        <v>31.119287</v>
      </c>
      <c r="CU53" s="3">
        <v>27.287441000000001</v>
      </c>
      <c r="CV53" s="3">
        <v>27.494661000000001</v>
      </c>
      <c r="CW53" s="3">
        <v>26.702244</v>
      </c>
      <c r="CX53" s="3">
        <v>30.375488000000001</v>
      </c>
      <c r="CY53" s="3">
        <v>28.02047</v>
      </c>
      <c r="CZ53" s="3">
        <v>28.488440000000001</v>
      </c>
      <c r="DA53" s="3">
        <v>24.795372</v>
      </c>
      <c r="DB53" s="3">
        <v>25.3249</v>
      </c>
      <c r="DC53" s="3">
        <v>30.37529</v>
      </c>
      <c r="DD53" s="3">
        <v>28.055603000000001</v>
      </c>
      <c r="DE53" s="3">
        <v>25.431342999999998</v>
      </c>
      <c r="DF53" s="3">
        <v>27.695792999999998</v>
      </c>
      <c r="DG53" s="3">
        <v>26.327839000000001</v>
      </c>
      <c r="DH53" s="3">
        <v>26.618513</v>
      </c>
      <c r="DI53" s="3"/>
      <c r="DJ53" s="3"/>
      <c r="DM53" s="3"/>
      <c r="DN53" s="3"/>
      <c r="DP53" s="3"/>
      <c r="DQ53" s="3"/>
      <c r="DR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G54" s="3"/>
      <c r="H54" s="3"/>
      <c r="I54" s="3"/>
      <c r="J54" s="3"/>
      <c r="K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M54" s="3"/>
      <c r="DN54" s="3"/>
      <c r="DP54" s="3"/>
      <c r="DQ54" s="3"/>
      <c r="DR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D55" t="s">
        <v>2</v>
      </c>
      <c r="E55" t="s">
        <v>1</v>
      </c>
      <c r="F55">
        <f>COUNT(M55:GJ55)</f>
        <v>100</v>
      </c>
      <c r="G55" s="3">
        <f>AVERAGE(M55:GJ55)</f>
        <v>25.584556169999999</v>
      </c>
      <c r="H55" s="3">
        <f>MAX(M55:GJ55)</f>
        <v>29.878197</v>
      </c>
      <c r="I55" s="3">
        <f>MIN(M55:GJ55)</f>
        <v>22.650465000000001</v>
      </c>
      <c r="J55" s="3">
        <f>_xlfn.STDEV.P(M55:GJ55)</f>
        <v>1.2736222899561949</v>
      </c>
      <c r="K55" s="3">
        <f>_xlfn.VAR.S(M55:GJ55)</f>
        <v>1.6384987247204665</v>
      </c>
      <c r="M55" s="3">
        <v>25.212485999999998</v>
      </c>
      <c r="N55" s="3">
        <v>23.980974</v>
      </c>
      <c r="O55" s="3">
        <v>27.514800999999999</v>
      </c>
      <c r="P55" s="3">
        <v>26.914722000000001</v>
      </c>
      <c r="Q55" s="3">
        <v>23.901243000000001</v>
      </c>
      <c r="R55" s="3">
        <v>25.547118999999999</v>
      </c>
      <c r="S55" s="3">
        <v>26.870004999999999</v>
      </c>
      <c r="T55" s="3">
        <v>22.650465000000001</v>
      </c>
      <c r="U55" s="3">
        <v>27.751099</v>
      </c>
      <c r="V55" s="3">
        <v>24.292908000000001</v>
      </c>
      <c r="W55" s="3">
        <v>25.296203999999999</v>
      </c>
      <c r="X55" s="3">
        <v>24.690131999999998</v>
      </c>
      <c r="Y55" s="3">
        <v>24.342631999999998</v>
      </c>
      <c r="Z55" s="3">
        <v>25.522345999999999</v>
      </c>
      <c r="AA55" s="3">
        <v>24.810858</v>
      </c>
      <c r="AB55" s="3">
        <v>25.348585</v>
      </c>
      <c r="AC55" s="3">
        <v>23.804096000000001</v>
      </c>
      <c r="AD55" s="3">
        <v>24.832397</v>
      </c>
      <c r="AE55" s="3">
        <v>24.921921000000001</v>
      </c>
      <c r="AF55" s="3">
        <v>24.842623</v>
      </c>
      <c r="AG55" s="3">
        <v>23.371979</v>
      </c>
      <c r="AH55" s="3">
        <v>26.121518999999999</v>
      </c>
      <c r="AI55" s="3">
        <v>24.921101</v>
      </c>
      <c r="AJ55" s="3">
        <v>25.331579000000001</v>
      </c>
      <c r="AK55" s="3">
        <v>23.748881999999998</v>
      </c>
      <c r="AL55" s="3">
        <v>27.053692000000002</v>
      </c>
      <c r="AM55" s="3">
        <v>25.958659999999998</v>
      </c>
      <c r="AN55" s="3">
        <v>26.789622999999999</v>
      </c>
      <c r="AO55" s="3">
        <v>24.031548000000001</v>
      </c>
      <c r="AP55" s="3">
        <v>25.244306999999999</v>
      </c>
      <c r="AQ55" s="3">
        <v>26.838201999999999</v>
      </c>
      <c r="AR55" s="3">
        <v>27.189323000000002</v>
      </c>
      <c r="AS55" s="3">
        <v>24.717535000000002</v>
      </c>
      <c r="AT55" s="3">
        <v>26.833752</v>
      </c>
      <c r="AU55" s="3">
        <v>24.825136000000001</v>
      </c>
      <c r="AV55" s="3">
        <v>27.210917999999999</v>
      </c>
      <c r="AW55" s="3">
        <v>24.998626999999999</v>
      </c>
      <c r="AX55" s="3">
        <v>26.579232999999999</v>
      </c>
      <c r="AY55" s="3">
        <v>25.98996</v>
      </c>
      <c r="AZ55" s="3">
        <v>28.331202000000001</v>
      </c>
      <c r="BA55" s="3">
        <v>26.030905000000001</v>
      </c>
      <c r="BB55" s="3">
        <v>25.036732000000001</v>
      </c>
      <c r="BC55" s="3">
        <v>25.239661999999999</v>
      </c>
      <c r="BD55" s="3">
        <v>24.656825999999999</v>
      </c>
      <c r="BE55" s="3">
        <v>25.761126999999998</v>
      </c>
      <c r="BF55" s="3">
        <v>29.878197</v>
      </c>
      <c r="BG55" s="3">
        <v>26.900784000000002</v>
      </c>
      <c r="BH55" s="3">
        <v>26.94997</v>
      </c>
      <c r="BI55" s="3">
        <v>27.252324999999999</v>
      </c>
      <c r="BJ55" s="3">
        <v>26.744067999999999</v>
      </c>
      <c r="BK55" s="3">
        <v>27.699867000000001</v>
      </c>
      <c r="BL55" s="3">
        <v>25.487314000000001</v>
      </c>
      <c r="BM55" s="3">
        <v>27.306602000000002</v>
      </c>
      <c r="BN55" s="3">
        <v>24.442132999999998</v>
      </c>
      <c r="BO55" s="3">
        <v>24.165966000000001</v>
      </c>
      <c r="BP55" s="3">
        <v>25.800753</v>
      </c>
      <c r="BQ55" s="3">
        <v>25.336991999999999</v>
      </c>
      <c r="BR55" s="3">
        <v>25.686444999999999</v>
      </c>
      <c r="BS55" s="3">
        <v>26.699705000000002</v>
      </c>
      <c r="BT55" s="3">
        <v>25.384239000000001</v>
      </c>
      <c r="BU55" s="3">
        <v>25.098389000000001</v>
      </c>
      <c r="BV55" s="3">
        <v>25.350771000000002</v>
      </c>
      <c r="BW55" s="3">
        <v>28.213840000000001</v>
      </c>
      <c r="BX55" s="3">
        <v>26.060082999999999</v>
      </c>
      <c r="BY55" s="3">
        <v>24.396039999999999</v>
      </c>
      <c r="BZ55" s="3">
        <v>26.508457</v>
      </c>
      <c r="CA55" s="3">
        <v>27.150713</v>
      </c>
      <c r="CB55" s="3">
        <v>25.819133999999998</v>
      </c>
      <c r="CC55" s="3">
        <v>25.424982</v>
      </c>
      <c r="CD55" s="3">
        <v>23.97514</v>
      </c>
      <c r="CE55" s="3">
        <v>23.128810999999999</v>
      </c>
      <c r="CF55" s="3">
        <v>26.064533000000001</v>
      </c>
      <c r="CG55" s="3">
        <v>24.947264000000001</v>
      </c>
      <c r="CH55" s="3">
        <v>27.120215999999999</v>
      </c>
      <c r="CI55" s="3">
        <v>25.821176999999999</v>
      </c>
      <c r="CJ55" s="3">
        <v>26.207356999999998</v>
      </c>
      <c r="CK55" s="3">
        <v>25.134771000000001</v>
      </c>
      <c r="CL55" s="3">
        <v>25.914843000000001</v>
      </c>
      <c r="CM55" s="3">
        <v>26.993721000000001</v>
      </c>
      <c r="CN55" s="3">
        <v>25.539829000000001</v>
      </c>
      <c r="CO55" s="3">
        <v>23.360498</v>
      </c>
      <c r="CP55" s="3">
        <v>24.298016000000001</v>
      </c>
      <c r="CQ55" s="3">
        <v>24.728247</v>
      </c>
      <c r="CR55" s="3">
        <v>26.309173999999999</v>
      </c>
      <c r="CS55" s="3">
        <v>25.419167000000002</v>
      </c>
      <c r="CT55" s="3">
        <v>22.997356</v>
      </c>
      <c r="CU55" s="3">
        <v>25.928370000000001</v>
      </c>
      <c r="CV55" s="3">
        <v>23.763535000000001</v>
      </c>
      <c r="CW55" s="3">
        <v>25.156358999999998</v>
      </c>
      <c r="CX55" s="3">
        <v>26.708062999999999</v>
      </c>
      <c r="CY55" s="3">
        <v>25.010871999999999</v>
      </c>
      <c r="CZ55" s="3">
        <v>25.768139000000001</v>
      </c>
      <c r="DA55" s="3">
        <v>24.789576</v>
      </c>
      <c r="DB55" s="3">
        <v>25.029178999999999</v>
      </c>
      <c r="DC55" s="3">
        <v>26.198286</v>
      </c>
      <c r="DD55" s="3">
        <v>23.693356999999999</v>
      </c>
      <c r="DE55" s="3">
        <v>24.828309999999998</v>
      </c>
      <c r="DF55" s="3">
        <v>25.461359000000002</v>
      </c>
      <c r="DG55" s="3">
        <v>26.332118999999999</v>
      </c>
      <c r="DH55" s="3">
        <v>26.210557999999999</v>
      </c>
      <c r="DI55" s="3"/>
      <c r="DJ55" s="3"/>
      <c r="DM55" s="3"/>
      <c r="DN55" s="3"/>
      <c r="DP55" s="3"/>
      <c r="DQ55" s="3"/>
      <c r="DR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G56" s="3"/>
      <c r="H56" s="3"/>
      <c r="I56" s="3"/>
      <c r="J56" s="3"/>
      <c r="K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M56" s="3"/>
      <c r="DN56" s="3"/>
      <c r="DP56" s="3"/>
      <c r="DQ56" s="3"/>
      <c r="DR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D57" t="s">
        <v>5</v>
      </c>
      <c r="E57" t="s">
        <v>1</v>
      </c>
      <c r="F57">
        <f>COUNT(M57:GJ57)</f>
        <v>100</v>
      </c>
      <c r="G57" s="3">
        <f>AVERAGE(M57:GJ57)</f>
        <v>29.687462479999986</v>
      </c>
      <c r="H57" s="3">
        <f>MAX(M57:GJ57)</f>
        <v>32.990788000000002</v>
      </c>
      <c r="I57" s="3">
        <f>MIN(M57:GJ57)</f>
        <v>25.975474999999999</v>
      </c>
      <c r="J57" s="3">
        <f>_xlfn.STDEV.P(M57:GJ57)</f>
        <v>1.2846687254179927</v>
      </c>
      <c r="K57" s="3">
        <f>_xlfn.VAR.S(M57:GJ57)</f>
        <v>1.6670441758253436</v>
      </c>
      <c r="M57" s="3">
        <v>26.537367</v>
      </c>
      <c r="N57" s="3">
        <v>31.126646000000001</v>
      </c>
      <c r="O57" s="3">
        <v>27.977792999999998</v>
      </c>
      <c r="P57" s="3">
        <v>27.876277999999999</v>
      </c>
      <c r="Q57" s="3">
        <v>31.201359</v>
      </c>
      <c r="R57" s="3">
        <v>30.471924000000001</v>
      </c>
      <c r="S57" s="3">
        <v>26.993525000000002</v>
      </c>
      <c r="T57" s="3">
        <v>31.712996</v>
      </c>
      <c r="U57" s="3">
        <v>30.261680999999999</v>
      </c>
      <c r="V57" s="3">
        <v>29.006630000000001</v>
      </c>
      <c r="W57" s="3">
        <v>28.336127999999999</v>
      </c>
      <c r="X57" s="3">
        <v>27.446743000000001</v>
      </c>
      <c r="Y57" s="3">
        <v>31.965906</v>
      </c>
      <c r="Z57" s="3">
        <v>30.163664000000001</v>
      </c>
      <c r="AA57" s="3">
        <v>29.352184000000001</v>
      </c>
      <c r="AB57" s="3">
        <v>30.232081999999998</v>
      </c>
      <c r="AC57" s="3">
        <v>30.045017000000001</v>
      </c>
      <c r="AD57" s="3">
        <v>30.723724000000001</v>
      </c>
      <c r="AE57" s="3">
        <v>28.561623000000001</v>
      </c>
      <c r="AF57" s="3">
        <v>29.296023999999999</v>
      </c>
      <c r="AG57" s="3">
        <v>29.487774000000002</v>
      </c>
      <c r="AH57" s="3">
        <v>28.774529000000001</v>
      </c>
      <c r="AI57" s="3">
        <v>28.408899000000002</v>
      </c>
      <c r="AJ57" s="3">
        <v>30.646265</v>
      </c>
      <c r="AK57" s="3">
        <v>29.640787</v>
      </c>
      <c r="AL57" s="3">
        <v>30.986754999999999</v>
      </c>
      <c r="AM57" s="3">
        <v>28.083228999999999</v>
      </c>
      <c r="AN57" s="3">
        <v>29.310669000000001</v>
      </c>
      <c r="AO57" s="3">
        <v>30.589293999999999</v>
      </c>
      <c r="AP57" s="3">
        <v>31.465081999999999</v>
      </c>
      <c r="AQ57" s="3">
        <v>27.673100999999999</v>
      </c>
      <c r="AR57" s="3">
        <v>30.028351000000001</v>
      </c>
      <c r="AS57" s="3">
        <v>31.806387000000001</v>
      </c>
      <c r="AT57" s="3">
        <v>25.975474999999999</v>
      </c>
      <c r="AU57" s="3">
        <v>28.000647000000001</v>
      </c>
      <c r="AV57" s="3">
        <v>31.669298000000001</v>
      </c>
      <c r="AW57" s="3">
        <v>29.079432000000001</v>
      </c>
      <c r="AX57" s="3">
        <v>30.385570999999999</v>
      </c>
      <c r="AY57" s="3">
        <v>32.405155000000001</v>
      </c>
      <c r="AZ57" s="3">
        <v>30.190598999999999</v>
      </c>
      <c r="BA57" s="3">
        <v>28.968423999999999</v>
      </c>
      <c r="BB57" s="3">
        <v>27.351935999999998</v>
      </c>
      <c r="BC57" s="3">
        <v>30.589017999999999</v>
      </c>
      <c r="BD57" s="3">
        <v>28.194372000000001</v>
      </c>
      <c r="BE57" s="3">
        <v>30.559519000000002</v>
      </c>
      <c r="BF57" s="3">
        <v>28.802032000000001</v>
      </c>
      <c r="BG57" s="3">
        <v>30.210038999999998</v>
      </c>
      <c r="BH57" s="3">
        <v>30.04101</v>
      </c>
      <c r="BI57" s="3">
        <v>28.172653</v>
      </c>
      <c r="BJ57" s="3">
        <v>30.376781000000001</v>
      </c>
      <c r="BK57" s="3">
        <v>30.761952999999998</v>
      </c>
      <c r="BL57" s="3">
        <v>30.474862999999999</v>
      </c>
      <c r="BM57" s="3">
        <v>29.286740999999999</v>
      </c>
      <c r="BN57" s="3">
        <v>30.525293000000001</v>
      </c>
      <c r="BO57" s="3">
        <v>30.520942999999999</v>
      </c>
      <c r="BP57" s="3">
        <v>29.650434000000001</v>
      </c>
      <c r="BQ57" s="3">
        <v>27.866299000000001</v>
      </c>
      <c r="BR57" s="3">
        <v>29.318947000000001</v>
      </c>
      <c r="BS57" s="3">
        <v>30.099613000000002</v>
      </c>
      <c r="BT57" s="3">
        <v>29.001691999999998</v>
      </c>
      <c r="BU57" s="3">
        <v>28.531918000000001</v>
      </c>
      <c r="BV57" s="3">
        <v>29.618407999999999</v>
      </c>
      <c r="BW57" s="3">
        <v>29.360984999999999</v>
      </c>
      <c r="BX57" s="3">
        <v>29.113227999999999</v>
      </c>
      <c r="BY57" s="3">
        <v>29.341555</v>
      </c>
      <c r="BZ57" s="3">
        <v>30.726488</v>
      </c>
      <c r="CA57" s="3">
        <v>30.244973999999999</v>
      </c>
      <c r="CB57" s="3">
        <v>30.662552000000002</v>
      </c>
      <c r="CC57" s="3">
        <v>32.990788000000002</v>
      </c>
      <c r="CD57" s="3">
        <v>30.025691999999999</v>
      </c>
      <c r="CE57" s="3">
        <v>28.922632</v>
      </c>
      <c r="CF57" s="3">
        <v>30.761827</v>
      </c>
      <c r="CG57" s="3">
        <v>29.975368</v>
      </c>
      <c r="CH57" s="3">
        <v>28.029620999999999</v>
      </c>
      <c r="CI57" s="3">
        <v>28.021478999999999</v>
      </c>
      <c r="CJ57" s="3">
        <v>31.681562</v>
      </c>
      <c r="CK57" s="3">
        <v>31.502200999999999</v>
      </c>
      <c r="CL57" s="3">
        <v>30.631792000000001</v>
      </c>
      <c r="CM57" s="3">
        <v>30.253171999999999</v>
      </c>
      <c r="CN57" s="3">
        <v>28.963456999999998</v>
      </c>
      <c r="CO57" s="3">
        <v>30.212795</v>
      </c>
      <c r="CP57" s="3">
        <v>29.245056000000002</v>
      </c>
      <c r="CQ57" s="3">
        <v>30.430653</v>
      </c>
      <c r="CR57" s="3">
        <v>29.534310999999999</v>
      </c>
      <c r="CS57" s="3">
        <v>28.511935999999999</v>
      </c>
      <c r="CT57" s="3">
        <v>29.658042999999999</v>
      </c>
      <c r="CU57" s="3">
        <v>31.67305</v>
      </c>
      <c r="CV57" s="3">
        <v>28.915344000000001</v>
      </c>
      <c r="CW57" s="3">
        <v>29.106566999999998</v>
      </c>
      <c r="CX57" s="3">
        <v>28.787939000000001</v>
      </c>
      <c r="CY57" s="3">
        <v>30.559069000000001</v>
      </c>
      <c r="CZ57" s="3">
        <v>30.563545000000001</v>
      </c>
      <c r="DA57" s="3">
        <v>29.015049000000001</v>
      </c>
      <c r="DB57" s="3">
        <v>30.901011</v>
      </c>
      <c r="DC57" s="3">
        <v>30.289635000000001</v>
      </c>
      <c r="DD57" s="3">
        <v>29.619150000000001</v>
      </c>
      <c r="DE57" s="3">
        <v>29.881979000000001</v>
      </c>
      <c r="DF57" s="3">
        <v>30.139208</v>
      </c>
      <c r="DG57" s="3">
        <v>28.301569000000001</v>
      </c>
      <c r="DH57" s="3">
        <v>29.371485</v>
      </c>
      <c r="DI57" s="3"/>
      <c r="DJ57" s="3"/>
      <c r="DM57" s="3"/>
      <c r="DN57" s="3"/>
      <c r="DP57" s="3"/>
      <c r="DQ57" s="3"/>
      <c r="DR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G58" s="3"/>
      <c r="H58" s="3"/>
      <c r="I58" s="3"/>
      <c r="J58" s="3"/>
      <c r="K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M58" s="3"/>
      <c r="DN58" s="3"/>
      <c r="DP58" s="3"/>
      <c r="DQ58" s="3"/>
      <c r="DR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D59" t="s">
        <v>6</v>
      </c>
      <c r="E59" t="s">
        <v>1</v>
      </c>
      <c r="F59">
        <f>COUNT(M59:GJ59)</f>
        <v>100</v>
      </c>
      <c r="G59" s="3">
        <f>AVERAGE(M59:GJ59)</f>
        <v>26.759210349999993</v>
      </c>
      <c r="H59" s="3">
        <f>MAX(M59:GJ59)</f>
        <v>32.230311999999998</v>
      </c>
      <c r="I59" s="3">
        <f>MIN(M59:GJ59)</f>
        <v>23.286719999999999</v>
      </c>
      <c r="J59" s="3">
        <f>_xlfn.STDEV.P(M59:GJ59)</f>
        <v>2.1398699095455989</v>
      </c>
      <c r="K59" s="3">
        <f>_xlfn.VAR.S(M59:GJ59)</f>
        <v>4.6252961916956457</v>
      </c>
      <c r="M59" s="3">
        <v>24.044865000000001</v>
      </c>
      <c r="N59" s="3">
        <v>24.904986999999998</v>
      </c>
      <c r="O59" s="3">
        <v>24.695779999999999</v>
      </c>
      <c r="P59" s="3">
        <v>25.277335999999998</v>
      </c>
      <c r="Q59" s="3">
        <v>29.312850999999998</v>
      </c>
      <c r="R59" s="3">
        <v>24.189046999999999</v>
      </c>
      <c r="S59" s="3">
        <v>25.670453999999999</v>
      </c>
      <c r="T59" s="3">
        <v>30.449674999999999</v>
      </c>
      <c r="U59" s="3">
        <v>29.792930999999999</v>
      </c>
      <c r="V59" s="3">
        <v>28.969138999999998</v>
      </c>
      <c r="W59" s="3">
        <v>27.840409999999999</v>
      </c>
      <c r="X59" s="3">
        <v>25.409420000000001</v>
      </c>
      <c r="Y59" s="3">
        <v>26.999659999999999</v>
      </c>
      <c r="Z59" s="3">
        <v>26.894992999999999</v>
      </c>
      <c r="AA59" s="3">
        <v>30.105581000000001</v>
      </c>
      <c r="AB59" s="3">
        <v>25.118936999999999</v>
      </c>
      <c r="AC59" s="3">
        <v>27.980124</v>
      </c>
      <c r="AD59" s="3">
        <v>25.936743</v>
      </c>
      <c r="AE59" s="3">
        <v>31.277552</v>
      </c>
      <c r="AF59" s="3">
        <v>26.037614999999999</v>
      </c>
      <c r="AG59" s="3">
        <v>25.094844999999999</v>
      </c>
      <c r="AH59" s="3">
        <v>27.725489</v>
      </c>
      <c r="AI59" s="3">
        <v>26.360112999999998</v>
      </c>
      <c r="AJ59" s="3">
        <v>28.793081000000001</v>
      </c>
      <c r="AK59" s="3">
        <v>24.974343999999999</v>
      </c>
      <c r="AL59" s="3">
        <v>24.580449999999999</v>
      </c>
      <c r="AM59" s="3">
        <v>24.697179999999999</v>
      </c>
      <c r="AN59" s="3">
        <v>24.396647999999999</v>
      </c>
      <c r="AO59" s="3">
        <v>25.388719999999999</v>
      </c>
      <c r="AP59" s="3">
        <v>25.810265000000001</v>
      </c>
      <c r="AQ59" s="3">
        <v>29.310445999999999</v>
      </c>
      <c r="AR59" s="3">
        <v>25.488126999999999</v>
      </c>
      <c r="AS59" s="3">
        <v>29.712225</v>
      </c>
      <c r="AT59" s="3">
        <v>27.709105000000001</v>
      </c>
      <c r="AU59" s="3">
        <v>30.011959000000001</v>
      </c>
      <c r="AV59" s="3">
        <v>25.689938000000001</v>
      </c>
      <c r="AW59" s="3">
        <v>26.301463999999999</v>
      </c>
      <c r="AX59" s="3">
        <v>26.779564000000001</v>
      </c>
      <c r="AY59" s="3">
        <v>27.269058000000001</v>
      </c>
      <c r="AZ59" s="3">
        <v>30.636178999999998</v>
      </c>
      <c r="BA59" s="3">
        <v>25.167486</v>
      </c>
      <c r="BB59" s="3">
        <v>28.376448</v>
      </c>
      <c r="BC59" s="3">
        <v>25.112438000000001</v>
      </c>
      <c r="BD59" s="3">
        <v>32.230311999999998</v>
      </c>
      <c r="BE59" s="3">
        <v>27.090713999999998</v>
      </c>
      <c r="BF59" s="3">
        <v>30.189117</v>
      </c>
      <c r="BG59" s="3">
        <v>27.021587</v>
      </c>
      <c r="BH59" s="3">
        <v>28.496565</v>
      </c>
      <c r="BI59" s="3">
        <v>28.802879000000001</v>
      </c>
      <c r="BJ59" s="3">
        <v>23.293393999999999</v>
      </c>
      <c r="BK59" s="3">
        <v>26.225838</v>
      </c>
      <c r="BL59" s="3">
        <v>27.225739000000001</v>
      </c>
      <c r="BM59" s="3">
        <v>25.544139999999999</v>
      </c>
      <c r="BN59" s="3">
        <v>25.667849</v>
      </c>
      <c r="BO59" s="3">
        <v>25.656683000000001</v>
      </c>
      <c r="BP59" s="3">
        <v>26.554789</v>
      </c>
      <c r="BQ59" s="3">
        <v>24.549026000000001</v>
      </c>
      <c r="BR59" s="3">
        <v>29.376353999999999</v>
      </c>
      <c r="BS59" s="3">
        <v>28.509083</v>
      </c>
      <c r="BT59" s="3">
        <v>28.154411</v>
      </c>
      <c r="BU59" s="3">
        <v>24.154824999999999</v>
      </c>
      <c r="BV59" s="3">
        <v>25.574871000000002</v>
      </c>
      <c r="BW59" s="3">
        <v>23.286719999999999</v>
      </c>
      <c r="BX59" s="3">
        <v>26.255147999999998</v>
      </c>
      <c r="BY59" s="3">
        <v>28.582863</v>
      </c>
      <c r="BZ59" s="3">
        <v>23.879152000000001</v>
      </c>
      <c r="CA59" s="3">
        <v>24.841775999999999</v>
      </c>
      <c r="CB59" s="3">
        <v>25.580276000000001</v>
      </c>
      <c r="CC59" s="3">
        <v>29.809350999999999</v>
      </c>
      <c r="CD59" s="3">
        <v>27.135529999999999</v>
      </c>
      <c r="CE59" s="3">
        <v>30.950035</v>
      </c>
      <c r="CF59" s="3">
        <v>26.173262000000001</v>
      </c>
      <c r="CG59" s="3">
        <v>28.209425</v>
      </c>
      <c r="CH59" s="3">
        <v>29.522504999999999</v>
      </c>
      <c r="CI59" s="3">
        <v>23.908213</v>
      </c>
      <c r="CJ59" s="3">
        <v>27.953823</v>
      </c>
      <c r="CK59" s="3">
        <v>25.314791</v>
      </c>
      <c r="CL59" s="3">
        <v>24.246887000000001</v>
      </c>
      <c r="CM59" s="3">
        <v>26.485227999999999</v>
      </c>
      <c r="CN59" s="3">
        <v>26.177648999999999</v>
      </c>
      <c r="CO59" s="3">
        <v>24.391718000000001</v>
      </c>
      <c r="CP59" s="3">
        <v>23.317447999999999</v>
      </c>
      <c r="CQ59" s="3">
        <v>28.187155000000001</v>
      </c>
      <c r="CR59" s="3">
        <v>27.564603999999999</v>
      </c>
      <c r="CS59" s="3">
        <v>27.867661999999999</v>
      </c>
      <c r="CT59" s="3">
        <v>25.472211999999999</v>
      </c>
      <c r="CU59" s="3">
        <v>24.07424</v>
      </c>
      <c r="CV59" s="3">
        <v>23.431781999999998</v>
      </c>
      <c r="CW59" s="3">
        <v>24.994855999999999</v>
      </c>
      <c r="CX59" s="3">
        <v>29.661182</v>
      </c>
      <c r="CY59" s="3">
        <v>24.789024000000001</v>
      </c>
      <c r="CZ59" s="3">
        <v>27.788499999999999</v>
      </c>
      <c r="DA59" s="3">
        <v>25.220797000000001</v>
      </c>
      <c r="DB59" s="3">
        <v>30.865936000000001</v>
      </c>
      <c r="DC59" s="3">
        <v>25.376833000000001</v>
      </c>
      <c r="DD59" s="3">
        <v>30.238873999999999</v>
      </c>
      <c r="DE59" s="3">
        <v>26.523624000000002</v>
      </c>
      <c r="DF59" s="3">
        <v>25.998522000000001</v>
      </c>
      <c r="DG59" s="3">
        <v>27.617723000000002</v>
      </c>
      <c r="DH59" s="3">
        <v>23.613861</v>
      </c>
      <c r="DI59" s="3"/>
      <c r="DJ59" s="3"/>
      <c r="DM59" s="3"/>
      <c r="DN59" s="3"/>
      <c r="DP59" s="3"/>
      <c r="DQ59" s="3"/>
      <c r="DR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 spans="2:207" x14ac:dyDescent="0.2">
      <c r="M60" s="3"/>
      <c r="N60" s="3"/>
    </row>
    <row r="62" spans="2:207" x14ac:dyDescent="0.2">
      <c r="B62" t="s">
        <v>63</v>
      </c>
      <c r="D62" s="1" t="s">
        <v>44</v>
      </c>
    </row>
    <row r="63" spans="2:207" x14ac:dyDescent="0.2">
      <c r="B63" s="2" t="s">
        <v>43</v>
      </c>
      <c r="D63" t="s">
        <v>3</v>
      </c>
      <c r="E63" t="s">
        <v>1</v>
      </c>
      <c r="F63">
        <f>COUNT(M63:GJ63)</f>
        <v>100</v>
      </c>
      <c r="G63" s="3">
        <f>AVERAGE(M63:GJ63)</f>
        <v>31.617613989999992</v>
      </c>
      <c r="H63" s="3">
        <f>MAX(M63:GJ63)</f>
        <v>39.634304</v>
      </c>
      <c r="I63" s="3">
        <f>MIN(M63:GJ63)</f>
        <v>28.183413000000002</v>
      </c>
      <c r="J63" s="3">
        <f>_xlfn.STDEV.P(M63:GJ63)</f>
        <v>1.8701750468795135</v>
      </c>
      <c r="K63" s="3">
        <f>_xlfn.VAR.S(M63:GJ63)</f>
        <v>3.5328835413846367</v>
      </c>
      <c r="M63" s="3">
        <v>28.183413000000002</v>
      </c>
      <c r="N63" s="3">
        <v>33.023395999999998</v>
      </c>
      <c r="O63" s="3">
        <v>31.617971000000001</v>
      </c>
      <c r="P63" s="3">
        <v>29.726973000000001</v>
      </c>
      <c r="Q63" s="3">
        <v>33.478015999999997</v>
      </c>
      <c r="R63" s="3">
        <v>30.751507</v>
      </c>
      <c r="S63" s="3">
        <v>33.833176000000002</v>
      </c>
      <c r="T63" s="3">
        <v>32.592250999999997</v>
      </c>
      <c r="U63" s="3">
        <v>34.076214</v>
      </c>
      <c r="V63" s="3">
        <v>30.523201</v>
      </c>
      <c r="W63" s="3">
        <v>30.703859000000001</v>
      </c>
      <c r="X63" s="3">
        <v>30.374366999999999</v>
      </c>
      <c r="Y63" s="3">
        <v>29.194607000000001</v>
      </c>
      <c r="Z63" s="3">
        <v>30.759972000000001</v>
      </c>
      <c r="AA63" s="3">
        <v>34.368724999999998</v>
      </c>
      <c r="AB63" s="3">
        <v>32.060192000000001</v>
      </c>
      <c r="AC63" s="3">
        <v>32.056316000000002</v>
      </c>
      <c r="AD63" s="3">
        <v>29.562954000000001</v>
      </c>
      <c r="AE63" s="3">
        <v>33.129555000000003</v>
      </c>
      <c r="AF63" s="3">
        <v>28.442183</v>
      </c>
      <c r="AG63" s="3">
        <v>35.348972000000003</v>
      </c>
      <c r="AH63" s="3">
        <v>30.635359000000001</v>
      </c>
      <c r="AI63" s="3">
        <v>31.078130999999999</v>
      </c>
      <c r="AJ63" s="3">
        <v>32.192028000000001</v>
      </c>
      <c r="AK63" s="3">
        <v>29.254732000000001</v>
      </c>
      <c r="AL63" s="3">
        <v>31.585646000000001</v>
      </c>
      <c r="AM63" s="3">
        <v>30.705577999999999</v>
      </c>
      <c r="AN63" s="3">
        <v>29.822823</v>
      </c>
      <c r="AO63" s="3">
        <v>32.551845999999998</v>
      </c>
      <c r="AP63" s="3">
        <v>32.891018000000003</v>
      </c>
      <c r="AQ63" s="3">
        <v>32.205539999999999</v>
      </c>
      <c r="AR63" s="3">
        <v>31.416212000000002</v>
      </c>
      <c r="AS63" s="3">
        <v>30.043237999999999</v>
      </c>
      <c r="AT63" s="3">
        <v>33.486621999999997</v>
      </c>
      <c r="AU63" s="3">
        <v>30.536463000000001</v>
      </c>
      <c r="AV63" s="3">
        <v>36.799809000000003</v>
      </c>
      <c r="AW63" s="3">
        <v>32.770446999999997</v>
      </c>
      <c r="AX63" s="3">
        <v>29.251196</v>
      </c>
      <c r="AY63" s="3">
        <v>29.470206999999998</v>
      </c>
      <c r="AZ63" s="3">
        <v>30.967535000000002</v>
      </c>
      <c r="BA63" s="3">
        <v>28.983920999999999</v>
      </c>
      <c r="BB63" s="3">
        <v>32.591282</v>
      </c>
      <c r="BC63" s="3">
        <v>31.589317000000001</v>
      </c>
      <c r="BD63" s="3">
        <v>31.337820000000001</v>
      </c>
      <c r="BE63" s="3">
        <v>30.675308000000001</v>
      </c>
      <c r="BF63" s="3">
        <v>30.231259999999999</v>
      </c>
      <c r="BG63" s="3">
        <v>34.399796000000002</v>
      </c>
      <c r="BH63" s="3">
        <v>29.907961</v>
      </c>
      <c r="BI63" s="3">
        <v>33.288848999999999</v>
      </c>
      <c r="BJ63" s="3">
        <v>32.076447000000002</v>
      </c>
      <c r="BK63" s="3">
        <v>32.519531000000001</v>
      </c>
      <c r="BL63" s="3">
        <v>30.343287</v>
      </c>
      <c r="BM63" s="3">
        <v>30.193766</v>
      </c>
      <c r="BN63" s="3">
        <v>28.597525000000001</v>
      </c>
      <c r="BO63" s="3">
        <v>34.784359000000002</v>
      </c>
      <c r="BP63" s="3">
        <v>31.860589999999998</v>
      </c>
      <c r="BQ63" s="3">
        <v>31.206572999999999</v>
      </c>
      <c r="BR63" s="3">
        <v>28.727385000000002</v>
      </c>
      <c r="BS63" s="3">
        <v>31.957713999999999</v>
      </c>
      <c r="BT63" s="3">
        <v>31.644273999999999</v>
      </c>
      <c r="BU63" s="3">
        <v>29.713063999999999</v>
      </c>
      <c r="BV63" s="3">
        <v>31.62463</v>
      </c>
      <c r="BW63" s="3">
        <v>30.039563999999999</v>
      </c>
      <c r="BX63" s="3">
        <v>35.815474999999999</v>
      </c>
      <c r="BY63" s="3">
        <v>30.552944</v>
      </c>
      <c r="BZ63" s="3">
        <v>31.308699000000001</v>
      </c>
      <c r="CA63" s="3">
        <v>31.614015999999999</v>
      </c>
      <c r="CB63" s="3">
        <v>35.694389000000001</v>
      </c>
      <c r="CC63" s="3">
        <v>30.989958000000001</v>
      </c>
      <c r="CD63" s="3">
        <v>39.634304</v>
      </c>
      <c r="CE63" s="3">
        <v>34.663440999999999</v>
      </c>
      <c r="CF63" s="3">
        <v>32.087783999999999</v>
      </c>
      <c r="CG63" s="3">
        <v>29.710246999999999</v>
      </c>
      <c r="CH63" s="3">
        <v>32.594611999999998</v>
      </c>
      <c r="CI63" s="3">
        <v>33.330261</v>
      </c>
      <c r="CJ63" s="3">
        <v>31.400559999999999</v>
      </c>
      <c r="CK63" s="3">
        <v>30.76782</v>
      </c>
      <c r="CL63" s="3">
        <v>31.378385999999999</v>
      </c>
      <c r="CM63" s="3">
        <v>30.425737000000002</v>
      </c>
      <c r="CN63" s="3">
        <v>32.791054000000003</v>
      </c>
      <c r="CO63" s="3">
        <v>32.393082</v>
      </c>
      <c r="CP63" s="3">
        <v>29.149304999999998</v>
      </c>
      <c r="CQ63" s="3">
        <v>31.398668000000001</v>
      </c>
      <c r="CR63" s="3">
        <v>33.551051999999999</v>
      </c>
      <c r="CS63" s="3">
        <v>31.461147</v>
      </c>
      <c r="CT63" s="3">
        <v>31.324280000000002</v>
      </c>
      <c r="CU63" s="3">
        <v>31.868463999999999</v>
      </c>
      <c r="CV63" s="3">
        <v>30.061132000000001</v>
      </c>
      <c r="CW63" s="3">
        <v>31.234933999999999</v>
      </c>
      <c r="CX63" s="3">
        <v>31.604683000000001</v>
      </c>
      <c r="CY63" s="3">
        <v>29.779892</v>
      </c>
      <c r="CZ63" s="3">
        <v>30.101064999999998</v>
      </c>
      <c r="DA63" s="3">
        <v>30.754239999999999</v>
      </c>
      <c r="DB63" s="3">
        <v>32.883099000000001</v>
      </c>
      <c r="DC63" s="3">
        <v>30.687930999999999</v>
      </c>
      <c r="DD63" s="3">
        <v>30.971503999999999</v>
      </c>
      <c r="DE63" s="3">
        <v>31.499663999999999</v>
      </c>
      <c r="DF63" s="3">
        <v>31.623283000000001</v>
      </c>
      <c r="DG63" s="3">
        <v>32.544415000000001</v>
      </c>
      <c r="DH63" s="3">
        <v>32.343398999999998</v>
      </c>
      <c r="DI63" s="3"/>
      <c r="DJ63" s="3"/>
      <c r="DM63" s="3"/>
      <c r="DN63" s="3"/>
      <c r="DP63" s="3"/>
      <c r="DQ63" s="3"/>
      <c r="DR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 spans="2:207" x14ac:dyDescent="0.2">
      <c r="B64" s="2" t="s">
        <v>17</v>
      </c>
      <c r="G64" s="3"/>
      <c r="H64" s="3"/>
      <c r="I64" s="3"/>
      <c r="J64" s="3"/>
      <c r="K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M64" s="3"/>
      <c r="DN64" s="3"/>
      <c r="DP64" s="3"/>
      <c r="DQ64" s="3"/>
      <c r="DR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 spans="2:207" x14ac:dyDescent="0.2">
      <c r="B65" s="2" t="s">
        <v>18</v>
      </c>
      <c r="D65" t="s">
        <v>4</v>
      </c>
      <c r="E65" t="s">
        <v>1</v>
      </c>
      <c r="F65">
        <f>COUNT(M65:GJ65)</f>
        <v>100</v>
      </c>
      <c r="G65" s="3">
        <f>AVERAGE(M65:GJ65)</f>
        <v>38.303782709999993</v>
      </c>
      <c r="H65" s="3">
        <f>MAX(M65:GJ65)</f>
        <v>45.535041999999997</v>
      </c>
      <c r="I65" s="3">
        <f>MIN(M65:GJ65)</f>
        <v>25.855509000000001</v>
      </c>
      <c r="J65" s="3">
        <f>_xlfn.STDEV.P(M65:GJ65)</f>
        <v>3.4666178077708398</v>
      </c>
      <c r="K65" s="3">
        <f>_xlfn.VAR.S(M65:GJ65)</f>
        <v>12.138827298135256</v>
      </c>
      <c r="M65" s="3">
        <v>39.218853000000003</v>
      </c>
      <c r="N65" s="3">
        <v>40.317898</v>
      </c>
      <c r="O65" s="3">
        <v>45.535041999999997</v>
      </c>
      <c r="P65" s="3">
        <v>38.162360999999997</v>
      </c>
      <c r="Q65" s="3">
        <v>38.140537000000002</v>
      </c>
      <c r="R65" s="3">
        <v>40.682594000000002</v>
      </c>
      <c r="S65" s="3">
        <v>41.244579000000002</v>
      </c>
      <c r="T65" s="3">
        <v>38.965454000000001</v>
      </c>
      <c r="U65" s="3">
        <v>39.233780000000003</v>
      </c>
      <c r="V65" s="3">
        <v>38.707081000000002</v>
      </c>
      <c r="W65" s="3">
        <v>37.145339999999997</v>
      </c>
      <c r="X65" s="3">
        <v>40.167740000000002</v>
      </c>
      <c r="Y65" s="3">
        <v>42.168053</v>
      </c>
      <c r="Z65" s="3">
        <v>38.321326999999997</v>
      </c>
      <c r="AA65" s="3">
        <v>43.689971999999997</v>
      </c>
      <c r="AB65" s="3">
        <v>39.127476000000001</v>
      </c>
      <c r="AC65" s="3">
        <v>35.415030999999999</v>
      </c>
      <c r="AD65" s="3">
        <v>38.821204999999999</v>
      </c>
      <c r="AE65" s="3">
        <v>35.911369000000001</v>
      </c>
      <c r="AF65" s="3">
        <v>36.294879999999999</v>
      </c>
      <c r="AG65" s="3">
        <v>38.788871999999998</v>
      </c>
      <c r="AH65" s="3">
        <v>40.271866000000003</v>
      </c>
      <c r="AI65" s="3">
        <v>42.130671999999997</v>
      </c>
      <c r="AJ65" s="3">
        <v>40.567047000000002</v>
      </c>
      <c r="AK65" s="3">
        <v>39.936267999999998</v>
      </c>
      <c r="AL65" s="3">
        <v>39.617927999999999</v>
      </c>
      <c r="AM65" s="3">
        <v>38.058849000000002</v>
      </c>
      <c r="AN65" s="3">
        <v>38.839325000000002</v>
      </c>
      <c r="AO65" s="3">
        <v>29.617546000000001</v>
      </c>
      <c r="AP65" s="3">
        <v>32.435817999999998</v>
      </c>
      <c r="AQ65" s="3">
        <v>37.675381000000002</v>
      </c>
      <c r="AR65" s="3">
        <v>34.437503999999997</v>
      </c>
      <c r="AS65" s="3">
        <v>34.092776999999998</v>
      </c>
      <c r="AT65" s="3">
        <v>27.765049000000001</v>
      </c>
      <c r="AU65" s="3">
        <v>29.633745000000001</v>
      </c>
      <c r="AV65" s="3">
        <v>38.791328</v>
      </c>
      <c r="AW65" s="3">
        <v>38.261505</v>
      </c>
      <c r="AX65" s="3">
        <v>37.606709000000002</v>
      </c>
      <c r="AY65" s="3">
        <v>36.364113000000003</v>
      </c>
      <c r="AZ65" s="3">
        <v>40.882111000000002</v>
      </c>
      <c r="BA65" s="3">
        <v>45.235325000000003</v>
      </c>
      <c r="BB65" s="3">
        <v>40.690204999999999</v>
      </c>
      <c r="BC65" s="3">
        <v>35.628342000000004</v>
      </c>
      <c r="BD65" s="3">
        <v>42.162936999999999</v>
      </c>
      <c r="BE65" s="3">
        <v>32.519272000000001</v>
      </c>
      <c r="BF65" s="3">
        <v>39.115504999999999</v>
      </c>
      <c r="BG65" s="3">
        <v>37.295268999999998</v>
      </c>
      <c r="BH65" s="3">
        <v>40.867817000000002</v>
      </c>
      <c r="BI65" s="3">
        <v>38.444327999999999</v>
      </c>
      <c r="BJ65" s="3">
        <v>37.138046000000003</v>
      </c>
      <c r="BK65" s="3">
        <v>36.600757999999999</v>
      </c>
      <c r="BL65" s="3">
        <v>44.214737</v>
      </c>
      <c r="BM65" s="3">
        <v>40.033237</v>
      </c>
      <c r="BN65" s="3">
        <v>42.217010000000002</v>
      </c>
      <c r="BO65" s="3">
        <v>34.957129999999999</v>
      </c>
      <c r="BP65" s="3">
        <v>40.821342000000001</v>
      </c>
      <c r="BQ65" s="3">
        <v>38.594059000000001</v>
      </c>
      <c r="BR65" s="3">
        <v>39.380955</v>
      </c>
      <c r="BS65" s="3">
        <v>42.48357</v>
      </c>
      <c r="BT65" s="3">
        <v>36.448734000000002</v>
      </c>
      <c r="BU65" s="3">
        <v>41.400371999999997</v>
      </c>
      <c r="BV65" s="3">
        <v>40.048012</v>
      </c>
      <c r="BW65" s="3">
        <v>39.991821000000002</v>
      </c>
      <c r="BX65" s="3">
        <v>38.527737000000002</v>
      </c>
      <c r="BY65" s="3">
        <v>39.003402999999999</v>
      </c>
      <c r="BZ65" s="3">
        <v>40.648403000000002</v>
      </c>
      <c r="CA65" s="3">
        <v>39.329926</v>
      </c>
      <c r="CB65" s="3">
        <v>39.109076999999999</v>
      </c>
      <c r="CC65" s="3">
        <v>34.554690999999998</v>
      </c>
      <c r="CD65" s="3">
        <v>38.804996000000003</v>
      </c>
      <c r="CE65" s="3">
        <v>39.827140999999997</v>
      </c>
      <c r="CF65" s="3">
        <v>40.149208000000002</v>
      </c>
      <c r="CG65" s="3">
        <v>39.962161999999999</v>
      </c>
      <c r="CH65" s="3">
        <v>38.566681000000003</v>
      </c>
      <c r="CI65" s="3">
        <v>39.391041000000001</v>
      </c>
      <c r="CJ65" s="3">
        <v>43.216957000000001</v>
      </c>
      <c r="CK65" s="3">
        <v>34.135696000000003</v>
      </c>
      <c r="CL65" s="3">
        <v>37.572539999999996</v>
      </c>
      <c r="CM65" s="3">
        <v>38.678719000000001</v>
      </c>
      <c r="CN65" s="3">
        <v>38.536876999999997</v>
      </c>
      <c r="CO65" s="3">
        <v>38.202205999999997</v>
      </c>
      <c r="CP65" s="3">
        <v>41.570540999999999</v>
      </c>
      <c r="CQ65" s="3">
        <v>32.154076000000003</v>
      </c>
      <c r="CR65" s="3">
        <v>37.402039000000002</v>
      </c>
      <c r="CS65" s="3">
        <v>38.814919000000003</v>
      </c>
      <c r="CT65" s="3">
        <v>43.200710000000001</v>
      </c>
      <c r="CU65" s="3">
        <v>34.786259000000001</v>
      </c>
      <c r="CV65" s="3">
        <v>38.750252000000003</v>
      </c>
      <c r="CW65" s="3">
        <v>32.749619000000003</v>
      </c>
      <c r="CX65" s="3">
        <v>43.093853000000003</v>
      </c>
      <c r="CY65" s="3">
        <v>41.364445000000003</v>
      </c>
      <c r="CZ65" s="3">
        <v>39.589165000000001</v>
      </c>
      <c r="DA65" s="3">
        <v>33.538563000000003</v>
      </c>
      <c r="DB65" s="3">
        <v>38.612087000000002</v>
      </c>
      <c r="DC65" s="3">
        <v>34.712615999999997</v>
      </c>
      <c r="DD65" s="3">
        <v>34.429951000000003</v>
      </c>
      <c r="DE65" s="3">
        <v>25.855509000000001</v>
      </c>
      <c r="DF65" s="3">
        <v>33.701430999999999</v>
      </c>
      <c r="DG65" s="3">
        <v>41.273986999999998</v>
      </c>
      <c r="DH65" s="3">
        <v>37.227020000000003</v>
      </c>
      <c r="DI65" s="3"/>
      <c r="DJ65" s="3"/>
      <c r="DM65" s="3"/>
      <c r="DN65" s="3"/>
      <c r="DP65" s="3"/>
      <c r="DQ65" s="3"/>
      <c r="DR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 spans="2:207" x14ac:dyDescent="0.2">
      <c r="G66" s="3"/>
      <c r="H66" s="3"/>
      <c r="I66" s="3"/>
      <c r="J66" s="3"/>
      <c r="K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M66" s="3"/>
      <c r="DN66" s="3"/>
      <c r="DP66" s="3"/>
      <c r="DQ66" s="3"/>
      <c r="DR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 spans="2:207" x14ac:dyDescent="0.2">
      <c r="D67" t="s">
        <v>2</v>
      </c>
      <c r="E67" t="s">
        <v>1</v>
      </c>
      <c r="F67">
        <f>COUNT(M67:GJ67)</f>
        <v>100</v>
      </c>
      <c r="G67" s="3">
        <f>AVERAGE(M67:GJ67)</f>
        <v>40.358623420000015</v>
      </c>
      <c r="H67" s="3">
        <f>MAX(M67:GJ67)</f>
        <v>43.873328999999998</v>
      </c>
      <c r="I67" s="3">
        <f>MIN(M67:GJ67)</f>
        <v>36.490513</v>
      </c>
      <c r="J67" s="3">
        <f>_xlfn.STDEV.P(M67:GJ67)</f>
        <v>1.377451838369721</v>
      </c>
      <c r="K67" s="3">
        <f>_xlfn.VAR.S(M67:GJ67)</f>
        <v>1.9165389565940645</v>
      </c>
      <c r="M67" s="3">
        <v>41.742930999999999</v>
      </c>
      <c r="N67" s="3">
        <v>39.177115999999998</v>
      </c>
      <c r="O67" s="3">
        <v>41.473343</v>
      </c>
      <c r="P67" s="3">
        <v>40.303874999999998</v>
      </c>
      <c r="Q67" s="3">
        <v>40.140560000000001</v>
      </c>
      <c r="R67" s="3">
        <v>41.563499</v>
      </c>
      <c r="S67" s="3">
        <v>42.809390999999998</v>
      </c>
      <c r="T67" s="3">
        <v>39.13588</v>
      </c>
      <c r="U67" s="3">
        <v>42.909435000000002</v>
      </c>
      <c r="V67" s="3">
        <v>39.076473</v>
      </c>
      <c r="W67" s="3">
        <v>39.353530999999997</v>
      </c>
      <c r="X67" s="3">
        <v>39.77375</v>
      </c>
      <c r="Y67" s="3">
        <v>39.342402999999997</v>
      </c>
      <c r="Z67" s="3">
        <v>40.428673000000003</v>
      </c>
      <c r="AA67" s="3">
        <v>39.581935999999999</v>
      </c>
      <c r="AB67" s="3">
        <v>40.047119000000002</v>
      </c>
      <c r="AC67" s="3">
        <v>39.395519</v>
      </c>
      <c r="AD67" s="3">
        <v>39.611832</v>
      </c>
      <c r="AE67" s="3">
        <v>40.193302000000003</v>
      </c>
      <c r="AF67" s="3">
        <v>39.286354000000003</v>
      </c>
      <c r="AG67" s="3">
        <v>39.221397000000003</v>
      </c>
      <c r="AH67" s="3">
        <v>41.705536000000002</v>
      </c>
      <c r="AI67" s="3">
        <v>40.292023</v>
      </c>
      <c r="AJ67" s="3">
        <v>40.737380999999999</v>
      </c>
      <c r="AK67" s="3">
        <v>39.101067</v>
      </c>
      <c r="AL67" s="3">
        <v>40.475619999999999</v>
      </c>
      <c r="AM67" s="3">
        <v>39.994506999999999</v>
      </c>
      <c r="AN67" s="3">
        <v>41.525680999999999</v>
      </c>
      <c r="AO67" s="3">
        <v>38.665866999999999</v>
      </c>
      <c r="AP67" s="3">
        <v>39.714129999999997</v>
      </c>
      <c r="AQ67" s="3">
        <v>41.858649999999997</v>
      </c>
      <c r="AR67" s="3">
        <v>41.962524000000002</v>
      </c>
      <c r="AS67" s="3">
        <v>38.728256000000002</v>
      </c>
      <c r="AT67" s="3">
        <v>41.913803000000001</v>
      </c>
      <c r="AU67" s="3">
        <v>38.124606999999997</v>
      </c>
      <c r="AV67" s="3">
        <v>42.78783</v>
      </c>
      <c r="AW67" s="3">
        <v>40.530631999999997</v>
      </c>
      <c r="AX67" s="3">
        <v>40.376128999999999</v>
      </c>
      <c r="AY67" s="3">
        <v>40.226692</v>
      </c>
      <c r="AZ67" s="3">
        <v>43.529387999999997</v>
      </c>
      <c r="BA67" s="3">
        <v>40.476913000000003</v>
      </c>
      <c r="BB67" s="3">
        <v>38.654037000000002</v>
      </c>
      <c r="BC67" s="3">
        <v>40.839264</v>
      </c>
      <c r="BD67" s="3">
        <v>39.602218999999998</v>
      </c>
      <c r="BE67" s="3">
        <v>40.702655999999998</v>
      </c>
      <c r="BF67" s="3">
        <v>43.873328999999998</v>
      </c>
      <c r="BG67" s="3">
        <v>43.078709000000003</v>
      </c>
      <c r="BH67" s="3">
        <v>42.092506</v>
      </c>
      <c r="BI67" s="3">
        <v>41.524078000000003</v>
      </c>
      <c r="BJ67" s="3">
        <v>41.953693000000001</v>
      </c>
      <c r="BK67" s="3">
        <v>41.705410000000001</v>
      </c>
      <c r="BL67" s="3">
        <v>39.856316</v>
      </c>
      <c r="BM67" s="3">
        <v>41.656570000000002</v>
      </c>
      <c r="BN67" s="3">
        <v>40.385635000000001</v>
      </c>
      <c r="BO67" s="3">
        <v>39.248516000000002</v>
      </c>
      <c r="BP67" s="3">
        <v>41.661738999999997</v>
      </c>
      <c r="BQ67" s="3">
        <v>40.911915</v>
      </c>
      <c r="BR67" s="3">
        <v>39.757801000000001</v>
      </c>
      <c r="BS67" s="3">
        <v>42.207152999999998</v>
      </c>
      <c r="BT67" s="3">
        <v>38.237648</v>
      </c>
      <c r="BU67" s="3">
        <v>41.157181000000001</v>
      </c>
      <c r="BV67" s="3">
        <v>40.86591</v>
      </c>
      <c r="BW67" s="3">
        <v>43.540393999999999</v>
      </c>
      <c r="BX67" s="3">
        <v>39.246273000000002</v>
      </c>
      <c r="BY67" s="3">
        <v>39.523753999999997</v>
      </c>
      <c r="BZ67" s="3">
        <v>41.342441999999998</v>
      </c>
      <c r="CA67" s="3">
        <v>41.635081999999997</v>
      </c>
      <c r="CB67" s="3">
        <v>40.632336000000002</v>
      </c>
      <c r="CC67" s="3">
        <v>39.296416999999998</v>
      </c>
      <c r="CD67" s="3">
        <v>39.189030000000002</v>
      </c>
      <c r="CE67" s="3">
        <v>37.375163999999998</v>
      </c>
      <c r="CF67" s="3">
        <v>41.367165</v>
      </c>
      <c r="CG67" s="3">
        <v>38.918255000000002</v>
      </c>
      <c r="CH67" s="3">
        <v>41.839911999999998</v>
      </c>
      <c r="CI67" s="3">
        <v>41.654865000000001</v>
      </c>
      <c r="CJ67" s="3">
        <v>39.682063999999997</v>
      </c>
      <c r="CK67" s="3">
        <v>39.481113000000001</v>
      </c>
      <c r="CL67" s="3">
        <v>39.392437000000001</v>
      </c>
      <c r="CM67" s="3">
        <v>41.710017999999998</v>
      </c>
      <c r="CN67" s="3">
        <v>40.806956999999997</v>
      </c>
      <c r="CO67" s="3">
        <v>39.018298999999999</v>
      </c>
      <c r="CP67" s="3">
        <v>38.808768999999998</v>
      </c>
      <c r="CQ67" s="3">
        <v>40.419338000000003</v>
      </c>
      <c r="CR67" s="3">
        <v>39.821956999999998</v>
      </c>
      <c r="CS67" s="3">
        <v>38.923926999999999</v>
      </c>
      <c r="CT67" s="3">
        <v>38.139159999999997</v>
      </c>
      <c r="CU67" s="3">
        <v>39.999721999999998</v>
      </c>
      <c r="CV67" s="3">
        <v>38.514442000000003</v>
      </c>
      <c r="CW67" s="3">
        <v>40.021335999999998</v>
      </c>
      <c r="CX67" s="3">
        <v>41.007919000000001</v>
      </c>
      <c r="CY67" s="3">
        <v>39.341290000000001</v>
      </c>
      <c r="CZ67" s="3">
        <v>41.297939</v>
      </c>
      <c r="DA67" s="3">
        <v>40.027031000000001</v>
      </c>
      <c r="DB67" s="3">
        <v>40.165089000000002</v>
      </c>
      <c r="DC67" s="3">
        <v>40.603366999999999</v>
      </c>
      <c r="DD67" s="3">
        <v>36.490513</v>
      </c>
      <c r="DE67" s="3">
        <v>38.725113</v>
      </c>
      <c r="DF67" s="3">
        <v>39.582596000000002</v>
      </c>
      <c r="DG67" s="3">
        <v>41.490906000000003</v>
      </c>
      <c r="DH67" s="3">
        <v>39.562111000000002</v>
      </c>
      <c r="DI67" s="3"/>
      <c r="DJ67" s="3"/>
      <c r="DM67" s="3"/>
      <c r="DN67" s="3"/>
      <c r="DP67" s="3"/>
      <c r="DQ67" s="3"/>
      <c r="DR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 spans="2:207" x14ac:dyDescent="0.2">
      <c r="G68" s="3"/>
      <c r="H68" s="3"/>
      <c r="I68" s="3"/>
      <c r="J68" s="3"/>
      <c r="K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M68" s="3"/>
      <c r="DN68" s="3"/>
      <c r="DP68" s="3"/>
      <c r="DQ68" s="3"/>
      <c r="DR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 spans="2:207" x14ac:dyDescent="0.2">
      <c r="D69" t="s">
        <v>5</v>
      </c>
      <c r="E69" t="s">
        <v>1</v>
      </c>
      <c r="F69">
        <f>COUNT(M69:GJ69)</f>
        <v>100</v>
      </c>
      <c r="G69" s="3">
        <f>AVERAGE(M69:GJ69)</f>
        <v>28.430373940000003</v>
      </c>
      <c r="H69" s="3">
        <f>MAX(M69:GJ69)</f>
        <v>35.597275000000003</v>
      </c>
      <c r="I69" s="3">
        <f>MIN(M69:GJ69)</f>
        <v>23.217241000000001</v>
      </c>
      <c r="J69" s="3">
        <f>_xlfn.STDEV.P(M69:GJ69)</f>
        <v>2.3646985233847793</v>
      </c>
      <c r="K69" s="3">
        <f>_xlfn.VAR.S(M69:GJ69)</f>
        <v>5.6482819257557129</v>
      </c>
      <c r="M69" s="3">
        <v>31.771256999999999</v>
      </c>
      <c r="N69" s="3">
        <v>27.003388999999999</v>
      </c>
      <c r="O69" s="3">
        <v>29.514144999999999</v>
      </c>
      <c r="P69" s="3">
        <v>28.122371999999999</v>
      </c>
      <c r="Q69" s="3">
        <v>27.446788999999999</v>
      </c>
      <c r="R69" s="3">
        <v>27.860990999999999</v>
      </c>
      <c r="S69" s="3">
        <v>26.978458</v>
      </c>
      <c r="T69" s="3">
        <v>31.008534999999998</v>
      </c>
      <c r="U69" s="3">
        <v>31.089417999999998</v>
      </c>
      <c r="V69" s="3">
        <v>27.718792000000001</v>
      </c>
      <c r="W69" s="3">
        <v>27.765492999999999</v>
      </c>
      <c r="X69" s="3">
        <v>24.353961999999999</v>
      </c>
      <c r="Y69" s="3">
        <v>35.597275000000003</v>
      </c>
      <c r="Z69" s="3">
        <v>24.911707</v>
      </c>
      <c r="AA69" s="3">
        <v>30.537825000000002</v>
      </c>
      <c r="AB69" s="3">
        <v>26.877932000000001</v>
      </c>
      <c r="AC69" s="3">
        <v>25.454329999999999</v>
      </c>
      <c r="AD69" s="3">
        <v>26.756703999999999</v>
      </c>
      <c r="AE69" s="3">
        <v>27.629068</v>
      </c>
      <c r="AF69" s="3">
        <v>25.459661000000001</v>
      </c>
      <c r="AG69" s="3">
        <v>29.314433999999999</v>
      </c>
      <c r="AH69" s="3">
        <v>30.472073000000002</v>
      </c>
      <c r="AI69" s="3">
        <v>26.591868999999999</v>
      </c>
      <c r="AJ69" s="3">
        <v>28.178301000000001</v>
      </c>
      <c r="AK69" s="3">
        <v>29.524681000000001</v>
      </c>
      <c r="AL69" s="3">
        <v>30.20825</v>
      </c>
      <c r="AM69" s="3">
        <v>28.745396</v>
      </c>
      <c r="AN69" s="3">
        <v>28.410402000000001</v>
      </c>
      <c r="AO69" s="3">
        <v>31.006474000000001</v>
      </c>
      <c r="AP69" s="3">
        <v>27.814893999999999</v>
      </c>
      <c r="AQ69" s="3">
        <v>26.851952000000001</v>
      </c>
      <c r="AR69" s="3">
        <v>25.029167000000001</v>
      </c>
      <c r="AS69" s="3">
        <v>27.986889000000001</v>
      </c>
      <c r="AT69" s="3">
        <v>23.757110999999998</v>
      </c>
      <c r="AU69" s="3">
        <v>29.802021</v>
      </c>
      <c r="AV69" s="3">
        <v>29.331333000000001</v>
      </c>
      <c r="AW69" s="3">
        <v>27.702143</v>
      </c>
      <c r="AX69" s="3">
        <v>27.424274</v>
      </c>
      <c r="AY69" s="3">
        <v>32.590885</v>
      </c>
      <c r="AZ69" s="3">
        <v>29.620719999999999</v>
      </c>
      <c r="BA69" s="3">
        <v>26.463463000000001</v>
      </c>
      <c r="BB69" s="3">
        <v>28.292663999999998</v>
      </c>
      <c r="BC69" s="3">
        <v>28.168403999999999</v>
      </c>
      <c r="BD69" s="3">
        <v>27.324363999999999</v>
      </c>
      <c r="BE69" s="3">
        <v>31.843903999999998</v>
      </c>
      <c r="BF69" s="3">
        <v>29.496883</v>
      </c>
      <c r="BG69" s="3">
        <v>31.582564999999999</v>
      </c>
      <c r="BH69" s="3">
        <v>28.017907999999998</v>
      </c>
      <c r="BI69" s="3">
        <v>27.440829999999998</v>
      </c>
      <c r="BJ69" s="3">
        <v>27.610493000000002</v>
      </c>
      <c r="BK69" s="3">
        <v>28.693306</v>
      </c>
      <c r="BL69" s="3">
        <v>23.217241000000001</v>
      </c>
      <c r="BM69" s="3">
        <v>28.504716999999999</v>
      </c>
      <c r="BN69" s="3">
        <v>28.337544999999999</v>
      </c>
      <c r="BO69" s="3">
        <v>27.180316999999999</v>
      </c>
      <c r="BP69" s="3">
        <v>26.221295999999999</v>
      </c>
      <c r="BQ69" s="3">
        <v>29.085985000000001</v>
      </c>
      <c r="BR69" s="3">
        <v>24.592901000000001</v>
      </c>
      <c r="BS69" s="3">
        <v>23.933775000000001</v>
      </c>
      <c r="BT69" s="3">
        <v>28.184719000000001</v>
      </c>
      <c r="BU69" s="3">
        <v>28.038826</v>
      </c>
      <c r="BV69" s="3">
        <v>28.508275999999999</v>
      </c>
      <c r="BW69" s="3">
        <v>27.406668</v>
      </c>
      <c r="BX69" s="3">
        <v>28.072057999999998</v>
      </c>
      <c r="BY69" s="3">
        <v>33.386093000000002</v>
      </c>
      <c r="BZ69" s="3">
        <v>31.604906</v>
      </c>
      <c r="CA69" s="3">
        <v>32.829998000000003</v>
      </c>
      <c r="CB69" s="3">
        <v>26.797118999999999</v>
      </c>
      <c r="CC69" s="3">
        <v>32.049098999999998</v>
      </c>
      <c r="CD69" s="3">
        <v>30.49925</v>
      </c>
      <c r="CE69" s="3">
        <v>27.673446999999999</v>
      </c>
      <c r="CF69" s="3">
        <v>25.794824999999999</v>
      </c>
      <c r="CG69" s="3">
        <v>27.775393999999999</v>
      </c>
      <c r="CH69" s="3">
        <v>28.325866999999999</v>
      </c>
      <c r="CI69" s="3">
        <v>29.426193000000001</v>
      </c>
      <c r="CJ69" s="3">
        <v>29.800398000000001</v>
      </c>
      <c r="CK69" s="3">
        <v>29.068007999999999</v>
      </c>
      <c r="CL69" s="3">
        <v>28.926425999999999</v>
      </c>
      <c r="CM69" s="3">
        <v>27.243058999999999</v>
      </c>
      <c r="CN69" s="3">
        <v>29.688223000000001</v>
      </c>
      <c r="CO69" s="3">
        <v>26.250368000000002</v>
      </c>
      <c r="CP69" s="3">
        <v>34.667267000000002</v>
      </c>
      <c r="CQ69" s="3">
        <v>23.543751</v>
      </c>
      <c r="CR69" s="3">
        <v>26.703844</v>
      </c>
      <c r="CS69" s="3">
        <v>26.394978999999999</v>
      </c>
      <c r="CT69" s="3">
        <v>25.918445999999999</v>
      </c>
      <c r="CU69" s="3">
        <v>29.503378000000001</v>
      </c>
      <c r="CV69" s="3">
        <v>28.165925999999999</v>
      </c>
      <c r="CW69" s="3">
        <v>27.965302999999999</v>
      </c>
      <c r="CX69" s="3">
        <v>34.007888999999999</v>
      </c>
      <c r="CY69" s="3">
        <v>30.286617</v>
      </c>
      <c r="CZ69" s="3">
        <v>29.312287999999999</v>
      </c>
      <c r="DA69" s="3">
        <v>28.026903000000001</v>
      </c>
      <c r="DB69" s="3">
        <v>31.241436</v>
      </c>
      <c r="DC69" s="3">
        <v>27.491194</v>
      </c>
      <c r="DD69" s="3">
        <v>30.966566</v>
      </c>
      <c r="DE69" s="3">
        <v>25.550922</v>
      </c>
      <c r="DF69" s="3">
        <v>27.235068999999999</v>
      </c>
      <c r="DG69" s="3">
        <v>27.430600999999999</v>
      </c>
      <c r="DH69" s="3">
        <v>31.045862</v>
      </c>
      <c r="DI69" s="3"/>
      <c r="DJ69" s="3"/>
      <c r="DM69" s="3"/>
      <c r="DN69" s="3"/>
      <c r="DP69" s="3"/>
      <c r="DQ69" s="3"/>
      <c r="DR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 spans="2:207" x14ac:dyDescent="0.2">
      <c r="G70" s="3"/>
      <c r="H70" s="3"/>
      <c r="I70" s="3"/>
      <c r="J70" s="3"/>
      <c r="K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M70" s="3"/>
      <c r="DN70" s="3"/>
      <c r="DP70" s="3"/>
      <c r="DQ70" s="3"/>
      <c r="DR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 spans="2:207" x14ac:dyDescent="0.2">
      <c r="D71" t="s">
        <v>6</v>
      </c>
      <c r="E71" t="s">
        <v>1</v>
      </c>
      <c r="F71">
        <f>COUNT(M71:GJ71)</f>
        <v>100</v>
      </c>
      <c r="G71" s="3">
        <f>AVERAGE(M71:GJ71)</f>
        <v>27.895895019999994</v>
      </c>
      <c r="H71" s="3">
        <f>MAX(M71:GJ71)</f>
        <v>33.716422999999999</v>
      </c>
      <c r="I71" s="3">
        <f>MIN(M71:GJ71)</f>
        <v>23.017719</v>
      </c>
      <c r="J71" s="3">
        <f>_xlfn.STDEV.P(M71:GJ71)</f>
        <v>2.5939232369105958</v>
      </c>
      <c r="K71" s="3">
        <f>_xlfn.VAR.S(M71:GJ71)</f>
        <v>6.7964017767522646</v>
      </c>
      <c r="M71" s="3">
        <v>31.06035</v>
      </c>
      <c r="N71" s="3">
        <v>25.769345999999999</v>
      </c>
      <c r="O71" s="3">
        <v>29.059740000000001</v>
      </c>
      <c r="P71" s="3">
        <v>33.691840999999997</v>
      </c>
      <c r="Q71" s="3">
        <v>31.220071999999998</v>
      </c>
      <c r="R71" s="3">
        <v>27.949456999999999</v>
      </c>
      <c r="S71" s="3">
        <v>29.773474</v>
      </c>
      <c r="T71" s="3">
        <v>26.158999999999999</v>
      </c>
      <c r="U71" s="3">
        <v>27.549444000000001</v>
      </c>
      <c r="V71" s="3">
        <v>23.289211000000002</v>
      </c>
      <c r="W71" s="3">
        <v>26.475360999999999</v>
      </c>
      <c r="X71" s="3">
        <v>25.64706</v>
      </c>
      <c r="Y71" s="3">
        <v>30.123476</v>
      </c>
      <c r="Z71" s="3">
        <v>29.266034999999999</v>
      </c>
      <c r="AA71" s="3">
        <v>27.349872999999999</v>
      </c>
      <c r="AB71" s="3">
        <v>25.562253999999999</v>
      </c>
      <c r="AC71" s="3">
        <v>24.527401000000001</v>
      </c>
      <c r="AD71" s="3">
        <v>28.098337000000001</v>
      </c>
      <c r="AE71" s="3">
        <v>29.666311</v>
      </c>
      <c r="AF71" s="3">
        <v>30.618103000000001</v>
      </c>
      <c r="AG71" s="3">
        <v>25.958905999999999</v>
      </c>
      <c r="AH71" s="3">
        <v>26.792746999999999</v>
      </c>
      <c r="AI71" s="3">
        <v>25.839039</v>
      </c>
      <c r="AJ71" s="3">
        <v>27.558312999999998</v>
      </c>
      <c r="AK71" s="3">
        <v>27.842891999999999</v>
      </c>
      <c r="AL71" s="3">
        <v>30.782454000000001</v>
      </c>
      <c r="AM71" s="3">
        <v>28.140222999999999</v>
      </c>
      <c r="AN71" s="3">
        <v>29.488268000000001</v>
      </c>
      <c r="AO71" s="3">
        <v>33.716422999999999</v>
      </c>
      <c r="AP71" s="3">
        <v>32.504589000000003</v>
      </c>
      <c r="AQ71" s="3">
        <v>29.99588</v>
      </c>
      <c r="AR71" s="3">
        <v>28.168344000000001</v>
      </c>
      <c r="AS71" s="3">
        <v>25.532492000000001</v>
      </c>
      <c r="AT71" s="3">
        <v>26.806401999999999</v>
      </c>
      <c r="AU71" s="3">
        <v>24.953596000000001</v>
      </c>
      <c r="AV71" s="3">
        <v>27.975752</v>
      </c>
      <c r="AW71" s="3">
        <v>24.434258</v>
      </c>
      <c r="AX71" s="3">
        <v>32.858150000000002</v>
      </c>
      <c r="AY71" s="3">
        <v>29.667469000000001</v>
      </c>
      <c r="AZ71" s="3">
        <v>29.789238000000001</v>
      </c>
      <c r="BA71" s="3">
        <v>29.602385000000002</v>
      </c>
      <c r="BB71" s="3">
        <v>26.577625000000001</v>
      </c>
      <c r="BC71" s="3">
        <v>32.522575000000003</v>
      </c>
      <c r="BD71" s="3">
        <v>31.148035</v>
      </c>
      <c r="BE71" s="3">
        <v>30.579474999999999</v>
      </c>
      <c r="BF71" s="3">
        <v>24.976927</v>
      </c>
      <c r="BG71" s="3">
        <v>24.249846000000002</v>
      </c>
      <c r="BH71" s="3">
        <v>26.000145</v>
      </c>
      <c r="BI71" s="3">
        <v>24.483421</v>
      </c>
      <c r="BJ71" s="3">
        <v>24.576889000000001</v>
      </c>
      <c r="BK71" s="3">
        <v>32.551357000000003</v>
      </c>
      <c r="BL71" s="3">
        <v>31.271723000000001</v>
      </c>
      <c r="BM71" s="3">
        <v>29.652950000000001</v>
      </c>
      <c r="BN71" s="3">
        <v>30.446740999999999</v>
      </c>
      <c r="BO71" s="3">
        <v>27.702978000000002</v>
      </c>
      <c r="BP71" s="3">
        <v>27.155114999999999</v>
      </c>
      <c r="BQ71" s="3">
        <v>26.580776</v>
      </c>
      <c r="BR71" s="3">
        <v>25.331636</v>
      </c>
      <c r="BS71" s="3">
        <v>23.840837000000001</v>
      </c>
      <c r="BT71" s="3">
        <v>25.834412</v>
      </c>
      <c r="BU71" s="3">
        <v>28.414898000000001</v>
      </c>
      <c r="BV71" s="3">
        <v>23.407598</v>
      </c>
      <c r="BW71" s="3">
        <v>32.796978000000003</v>
      </c>
      <c r="BX71" s="3">
        <v>28.482952000000001</v>
      </c>
      <c r="BY71" s="3">
        <v>29.502645000000001</v>
      </c>
      <c r="BZ71" s="3">
        <v>24.967316</v>
      </c>
      <c r="CA71" s="3">
        <v>25.002645000000001</v>
      </c>
      <c r="CB71" s="3">
        <v>28.801380000000002</v>
      </c>
      <c r="CC71" s="3">
        <v>29.002877999999999</v>
      </c>
      <c r="CD71" s="3">
        <v>28.697140000000001</v>
      </c>
      <c r="CE71" s="3">
        <v>24.903959</v>
      </c>
      <c r="CF71" s="3">
        <v>24.815842</v>
      </c>
      <c r="CG71" s="3">
        <v>28.688040000000001</v>
      </c>
      <c r="CH71" s="3">
        <v>24.250319000000001</v>
      </c>
      <c r="CI71" s="3">
        <v>26.751659</v>
      </c>
      <c r="CJ71" s="3">
        <v>29.551144000000001</v>
      </c>
      <c r="CK71" s="3">
        <v>28.473355999999999</v>
      </c>
      <c r="CL71" s="3">
        <v>27.025236</v>
      </c>
      <c r="CM71" s="3">
        <v>31.109608000000001</v>
      </c>
      <c r="CN71" s="3">
        <v>25.450537000000001</v>
      </c>
      <c r="CO71" s="3">
        <v>28.225466000000001</v>
      </c>
      <c r="CP71" s="3">
        <v>27.503295999999999</v>
      </c>
      <c r="CQ71" s="3">
        <v>24.708652000000001</v>
      </c>
      <c r="CR71" s="3">
        <v>25.226752999999999</v>
      </c>
      <c r="CS71" s="3">
        <v>26.739402999999999</v>
      </c>
      <c r="CT71" s="3">
        <v>32.100037</v>
      </c>
      <c r="CU71" s="3">
        <v>23.017719</v>
      </c>
      <c r="CV71" s="3">
        <v>31.444506000000001</v>
      </c>
      <c r="CW71" s="3">
        <v>28.014462000000002</v>
      </c>
      <c r="CX71" s="3">
        <v>29.956661</v>
      </c>
      <c r="CY71" s="3">
        <v>25.812840000000001</v>
      </c>
      <c r="CZ71" s="3">
        <v>25.290645999999999</v>
      </c>
      <c r="DA71" s="3">
        <v>31.799868</v>
      </c>
      <c r="DB71" s="3">
        <v>26.505984999999999</v>
      </c>
      <c r="DC71" s="3">
        <v>28.186563</v>
      </c>
      <c r="DD71" s="3">
        <v>24.880699</v>
      </c>
      <c r="DE71" s="3">
        <v>26.981484999999999</v>
      </c>
      <c r="DF71" s="3">
        <v>27.854738000000001</v>
      </c>
      <c r="DG71" s="3">
        <v>29.461207999999999</v>
      </c>
      <c r="DH71" s="3">
        <v>29.034956000000001</v>
      </c>
      <c r="DI71" s="3"/>
      <c r="DJ71" s="3"/>
      <c r="DM71" s="3"/>
      <c r="DN71" s="3"/>
      <c r="DP71" s="3"/>
      <c r="DQ71" s="3"/>
      <c r="DR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</row>
    <row r="72" spans="2:207" x14ac:dyDescent="0.2">
      <c r="M72" s="3"/>
      <c r="N72" s="3"/>
    </row>
    <row r="73" spans="2:207" x14ac:dyDescent="0.2">
      <c r="M73" s="3"/>
      <c r="N73" s="3"/>
    </row>
    <row r="74" spans="2:207" x14ac:dyDescent="0.2">
      <c r="B74" t="s">
        <v>63</v>
      </c>
      <c r="D74" s="1" t="s">
        <v>48</v>
      </c>
    </row>
    <row r="75" spans="2:207" x14ac:dyDescent="0.2">
      <c r="B75" s="2" t="s">
        <v>45</v>
      </c>
      <c r="D75" t="s">
        <v>3</v>
      </c>
      <c r="E75" t="s">
        <v>1</v>
      </c>
      <c r="F75">
        <f>COUNT(M75:GJ75)</f>
        <v>100</v>
      </c>
      <c r="G75" s="3">
        <f>AVERAGE(M75:GJ75)</f>
        <v>45.685869360000005</v>
      </c>
      <c r="H75" s="3">
        <f>MAX(M75:GJ75)</f>
        <v>53.546677000000003</v>
      </c>
      <c r="I75" s="3">
        <f>MIN(M75:GJ75)</f>
        <v>41.700938999999998</v>
      </c>
      <c r="J75" s="3">
        <f>_xlfn.STDEV.P(M75:GJ75)</f>
        <v>2.1221433759051611</v>
      </c>
      <c r="K75" s="3">
        <f>_xlfn.VAR.S(M75:GJ75)</f>
        <v>4.5489823312102553</v>
      </c>
      <c r="M75" s="3">
        <v>45.658386</v>
      </c>
      <c r="N75" s="3">
        <v>49.738010000000003</v>
      </c>
      <c r="O75" s="3">
        <v>47.992187999999999</v>
      </c>
      <c r="P75" s="3">
        <v>41.992409000000002</v>
      </c>
      <c r="Q75" s="3">
        <v>44.643284000000001</v>
      </c>
      <c r="R75" s="3">
        <v>43.145995999999997</v>
      </c>
      <c r="S75" s="3">
        <v>48.966788999999999</v>
      </c>
      <c r="T75" s="3">
        <v>45.905293</v>
      </c>
      <c r="U75" s="3">
        <v>43.295456000000001</v>
      </c>
      <c r="V75" s="3">
        <v>46.334164000000001</v>
      </c>
      <c r="W75" s="3">
        <v>45.394458999999998</v>
      </c>
      <c r="X75" s="3">
        <v>43.732165999999999</v>
      </c>
      <c r="Y75" s="3">
        <v>42.84066</v>
      </c>
      <c r="Z75" s="3">
        <v>44.472431</v>
      </c>
      <c r="AA75" s="3">
        <v>48.358027999999997</v>
      </c>
      <c r="AB75" s="3">
        <v>46.912959999999998</v>
      </c>
      <c r="AC75" s="3">
        <v>47.081066</v>
      </c>
      <c r="AD75" s="3">
        <v>46.361217000000003</v>
      </c>
      <c r="AE75" s="3">
        <v>46.674286000000002</v>
      </c>
      <c r="AF75" s="3">
        <v>48.649338</v>
      </c>
      <c r="AG75" s="3">
        <v>49.695445999999997</v>
      </c>
      <c r="AH75" s="3">
        <v>42.604733000000003</v>
      </c>
      <c r="AI75" s="3">
        <v>44.826740000000001</v>
      </c>
      <c r="AJ75" s="3">
        <v>46.814273999999997</v>
      </c>
      <c r="AK75" s="3">
        <v>45.340446</v>
      </c>
      <c r="AL75" s="3">
        <v>43.579624000000003</v>
      </c>
      <c r="AM75" s="3">
        <v>46.102375000000002</v>
      </c>
      <c r="AN75" s="3">
        <v>41.700938999999998</v>
      </c>
      <c r="AO75" s="3">
        <v>45.323818000000003</v>
      </c>
      <c r="AP75" s="3">
        <v>46.888866</v>
      </c>
      <c r="AQ75" s="3">
        <v>46.797069999999998</v>
      </c>
      <c r="AR75" s="3">
        <v>48.068455</v>
      </c>
      <c r="AS75" s="3">
        <v>44.733092999999997</v>
      </c>
      <c r="AT75" s="3">
        <v>47.420791999999999</v>
      </c>
      <c r="AU75" s="3">
        <v>43.627960000000002</v>
      </c>
      <c r="AV75" s="3">
        <v>47.762543000000001</v>
      </c>
      <c r="AW75" s="3">
        <v>46.652121999999999</v>
      </c>
      <c r="AX75" s="3">
        <v>42.886786999999998</v>
      </c>
      <c r="AY75" s="3">
        <v>44.160446</v>
      </c>
      <c r="AZ75" s="3">
        <v>45.597931000000003</v>
      </c>
      <c r="BA75" s="3">
        <v>42.353293999999998</v>
      </c>
      <c r="BB75" s="3">
        <v>48.042225000000002</v>
      </c>
      <c r="BC75" s="3">
        <v>44.579822999999998</v>
      </c>
      <c r="BD75" s="3">
        <v>46.255038999999996</v>
      </c>
      <c r="BE75" s="3">
        <v>45.578884000000002</v>
      </c>
      <c r="BF75" s="3">
        <v>44.445979999999999</v>
      </c>
      <c r="BG75" s="3">
        <v>49.923000000000002</v>
      </c>
      <c r="BH75" s="3">
        <v>42.029308</v>
      </c>
      <c r="BI75" s="3">
        <v>48.547474000000001</v>
      </c>
      <c r="BJ75" s="3">
        <v>43.111148999999997</v>
      </c>
      <c r="BK75" s="3">
        <v>45.491019999999999</v>
      </c>
      <c r="BL75" s="3">
        <v>46.052204000000003</v>
      </c>
      <c r="BM75" s="3">
        <v>47.326282999999997</v>
      </c>
      <c r="BN75" s="3">
        <v>43.752228000000002</v>
      </c>
      <c r="BO75" s="3">
        <v>48.925654999999999</v>
      </c>
      <c r="BP75" s="3">
        <v>45.047111999999998</v>
      </c>
      <c r="BQ75" s="3">
        <v>45.759548000000002</v>
      </c>
      <c r="BR75" s="3">
        <v>48.981876</v>
      </c>
      <c r="BS75" s="3">
        <v>45.079315000000001</v>
      </c>
      <c r="BT75" s="3">
        <v>42.186138</v>
      </c>
      <c r="BU75" s="3">
        <v>44.339081</v>
      </c>
      <c r="BV75" s="3">
        <v>43.291953999999997</v>
      </c>
      <c r="BW75" s="3">
        <v>45.761046999999998</v>
      </c>
      <c r="BX75" s="3">
        <v>48.593594000000003</v>
      </c>
      <c r="BY75" s="3">
        <v>41.986839000000003</v>
      </c>
      <c r="BZ75" s="3">
        <v>44.739364999999999</v>
      </c>
      <c r="CA75" s="3">
        <v>46.355797000000003</v>
      </c>
      <c r="CB75" s="3">
        <v>47.184471000000002</v>
      </c>
      <c r="CC75" s="3">
        <v>43.434116000000003</v>
      </c>
      <c r="CD75" s="3">
        <v>53.546677000000003</v>
      </c>
      <c r="CE75" s="3">
        <v>46.844420999999997</v>
      </c>
      <c r="CF75" s="3">
        <v>42.913798999999997</v>
      </c>
      <c r="CG75" s="3">
        <v>44.768706999999999</v>
      </c>
      <c r="CH75" s="3">
        <v>46.564636</v>
      </c>
      <c r="CI75" s="3">
        <v>47.252795999999996</v>
      </c>
      <c r="CJ75" s="3">
        <v>42.542701999999998</v>
      </c>
      <c r="CK75" s="3">
        <v>46.377575</v>
      </c>
      <c r="CL75" s="3">
        <v>43.535690000000002</v>
      </c>
      <c r="CM75" s="3">
        <v>45.946178000000003</v>
      </c>
      <c r="CN75" s="3">
        <v>45.660629</v>
      </c>
      <c r="CO75" s="3">
        <v>46.090153000000001</v>
      </c>
      <c r="CP75" s="3">
        <v>44.838985000000001</v>
      </c>
      <c r="CQ75" s="3">
        <v>44.71566</v>
      </c>
      <c r="CR75" s="3">
        <v>48.022410999999998</v>
      </c>
      <c r="CS75" s="3">
        <v>46.246547999999997</v>
      </c>
      <c r="CT75" s="3">
        <v>46.673423999999997</v>
      </c>
      <c r="CU75" s="3">
        <v>46.815734999999997</v>
      </c>
      <c r="CV75" s="3">
        <v>43.043480000000002</v>
      </c>
      <c r="CW75" s="3">
        <v>43.545985999999999</v>
      </c>
      <c r="CX75" s="3">
        <v>44.238379999999999</v>
      </c>
      <c r="CY75" s="3">
        <v>45.024467000000001</v>
      </c>
      <c r="CZ75" s="3">
        <v>47.690159000000001</v>
      </c>
      <c r="DA75" s="3">
        <v>43.923603</v>
      </c>
      <c r="DB75" s="3">
        <v>46.947226999999998</v>
      </c>
      <c r="DC75" s="3">
        <v>47.635627999999997</v>
      </c>
      <c r="DD75" s="3">
        <v>45.622321999999997</v>
      </c>
      <c r="DE75" s="3">
        <v>45.841034000000001</v>
      </c>
      <c r="DF75" s="3">
        <v>44.527943</v>
      </c>
      <c r="DG75" s="3">
        <v>47.390591000000001</v>
      </c>
      <c r="DH75" s="3">
        <v>45.912525000000002</v>
      </c>
      <c r="DI75" s="3"/>
      <c r="DJ75" s="3"/>
      <c r="DM75" s="3"/>
      <c r="DN75" s="3"/>
      <c r="DP75" s="3"/>
      <c r="DQ75" s="3"/>
      <c r="DR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 spans="2:207" x14ac:dyDescent="0.2">
      <c r="B76" s="2" t="s">
        <v>49</v>
      </c>
      <c r="G76" s="3"/>
      <c r="H76" s="3"/>
      <c r="I76" s="3"/>
      <c r="J76" s="3"/>
      <c r="K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M76" s="3"/>
      <c r="DN76" s="3"/>
      <c r="DP76" s="3"/>
      <c r="DQ76" s="3"/>
      <c r="DR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 spans="2:207" x14ac:dyDescent="0.2">
      <c r="B77" s="2" t="s">
        <v>50</v>
      </c>
      <c r="D77" t="s">
        <v>4</v>
      </c>
      <c r="E77" t="s">
        <v>1</v>
      </c>
      <c r="F77">
        <f>COUNT(M77:GJ77)</f>
        <v>100</v>
      </c>
      <c r="G77" s="3">
        <f>AVERAGE(M77:GJ77)</f>
        <v>34.937948430000006</v>
      </c>
      <c r="H77" s="3">
        <f>MAX(M77:GJ77)</f>
        <v>42.605404</v>
      </c>
      <c r="I77" s="3">
        <f>MIN(M77:GJ77)</f>
        <v>28.670739999999999</v>
      </c>
      <c r="J77" s="3">
        <f>_xlfn.STDEV.P(M77:GJ77)</f>
        <v>2.6719357185664414</v>
      </c>
      <c r="K77" s="3">
        <f>_xlfn.VAR.S(M77:GJ77)</f>
        <v>7.2113540243951153</v>
      </c>
      <c r="M77" s="3">
        <v>37.836269000000001</v>
      </c>
      <c r="N77" s="3">
        <v>37.206871</v>
      </c>
      <c r="O77" s="3">
        <v>41.935577000000002</v>
      </c>
      <c r="P77" s="3">
        <v>33.465820000000001</v>
      </c>
      <c r="Q77" s="3">
        <v>33.865791000000002</v>
      </c>
      <c r="R77" s="3">
        <v>39.955536000000002</v>
      </c>
      <c r="S77" s="3">
        <v>37.181629000000001</v>
      </c>
      <c r="T77" s="3">
        <v>35.905247000000003</v>
      </c>
      <c r="U77" s="3">
        <v>37.286693999999997</v>
      </c>
      <c r="V77" s="3">
        <v>35.244658999999999</v>
      </c>
      <c r="W77" s="3">
        <v>33.996971000000002</v>
      </c>
      <c r="X77" s="3">
        <v>33.977268000000002</v>
      </c>
      <c r="Y77" s="3">
        <v>37.170506000000003</v>
      </c>
      <c r="Z77" s="3">
        <v>36.884453000000001</v>
      </c>
      <c r="AA77" s="3">
        <v>42.605404</v>
      </c>
      <c r="AB77" s="3">
        <v>35.544173999999998</v>
      </c>
      <c r="AC77" s="3">
        <v>33.122841000000001</v>
      </c>
      <c r="AD77" s="3">
        <v>37.936194999999998</v>
      </c>
      <c r="AE77" s="3">
        <v>37.070557000000001</v>
      </c>
      <c r="AF77" s="3">
        <v>36.273521000000002</v>
      </c>
      <c r="AG77" s="3">
        <v>35.895305999999998</v>
      </c>
      <c r="AH77" s="3">
        <v>35.859585000000003</v>
      </c>
      <c r="AI77" s="3">
        <v>38.131523000000001</v>
      </c>
      <c r="AJ77" s="3">
        <v>37.322453000000003</v>
      </c>
      <c r="AK77" s="3">
        <v>36.933883999999999</v>
      </c>
      <c r="AL77" s="3">
        <v>35.198532</v>
      </c>
      <c r="AM77" s="3">
        <v>31.724585000000001</v>
      </c>
      <c r="AN77" s="3">
        <v>30.698205999999999</v>
      </c>
      <c r="AO77" s="3">
        <v>31.017569999999999</v>
      </c>
      <c r="AP77" s="3">
        <v>30.553529999999999</v>
      </c>
      <c r="AQ77" s="3">
        <v>35.269694999999999</v>
      </c>
      <c r="AR77" s="3">
        <v>33.604641000000001</v>
      </c>
      <c r="AS77" s="3">
        <v>29.983046999999999</v>
      </c>
      <c r="AT77" s="3">
        <v>31.689907000000002</v>
      </c>
      <c r="AU77" s="3">
        <v>30.971775000000001</v>
      </c>
      <c r="AV77" s="3">
        <v>31.412213999999999</v>
      </c>
      <c r="AW77" s="3">
        <v>35.674346999999997</v>
      </c>
      <c r="AX77" s="3">
        <v>33.139816000000003</v>
      </c>
      <c r="AY77" s="3">
        <v>31.120161</v>
      </c>
      <c r="AZ77" s="3">
        <v>36.888218000000002</v>
      </c>
      <c r="BA77" s="3">
        <v>40.881999999999998</v>
      </c>
      <c r="BB77" s="3">
        <v>35.421368000000001</v>
      </c>
      <c r="BC77" s="3">
        <v>33.632354999999997</v>
      </c>
      <c r="BD77" s="3">
        <v>32.200920000000004</v>
      </c>
      <c r="BE77" s="3">
        <v>33.556064999999997</v>
      </c>
      <c r="BF77" s="3">
        <v>33.837291999999998</v>
      </c>
      <c r="BG77" s="3">
        <v>33.101402</v>
      </c>
      <c r="BH77" s="3">
        <v>38.921391</v>
      </c>
      <c r="BI77" s="3">
        <v>37.418427000000001</v>
      </c>
      <c r="BJ77" s="3">
        <v>32.172187999999998</v>
      </c>
      <c r="BK77" s="3">
        <v>33.256954</v>
      </c>
      <c r="BL77" s="3">
        <v>39.324924000000003</v>
      </c>
      <c r="BM77" s="3">
        <v>38.195</v>
      </c>
      <c r="BN77" s="3">
        <v>38.977584999999998</v>
      </c>
      <c r="BO77" s="3">
        <v>32.342841999999997</v>
      </c>
      <c r="BP77" s="3">
        <v>38.735619</v>
      </c>
      <c r="BQ77" s="3">
        <v>36.845005</v>
      </c>
      <c r="BR77" s="3">
        <v>36.055202000000001</v>
      </c>
      <c r="BS77" s="3">
        <v>34.913756999999997</v>
      </c>
      <c r="BT77" s="3">
        <v>33.021427000000003</v>
      </c>
      <c r="BU77" s="3">
        <v>35.223354</v>
      </c>
      <c r="BV77" s="3">
        <v>35.232154999999999</v>
      </c>
      <c r="BW77" s="3">
        <v>33.443542000000001</v>
      </c>
      <c r="BX77" s="3">
        <v>36.419800000000002</v>
      </c>
      <c r="BY77" s="3">
        <v>32.216599000000002</v>
      </c>
      <c r="BZ77" s="3">
        <v>36.917026999999997</v>
      </c>
      <c r="CA77" s="3">
        <v>36.251655999999997</v>
      </c>
      <c r="CB77" s="3">
        <v>37.166919999999998</v>
      </c>
      <c r="CC77" s="3">
        <v>31.136168999999999</v>
      </c>
      <c r="CD77" s="3">
        <v>34.376266000000001</v>
      </c>
      <c r="CE77" s="3">
        <v>34.614040000000003</v>
      </c>
      <c r="CF77" s="3">
        <v>35.557079000000002</v>
      </c>
      <c r="CG77" s="3">
        <v>36.527293999999998</v>
      </c>
      <c r="CH77" s="3">
        <v>35.869984000000002</v>
      </c>
      <c r="CI77" s="3">
        <v>35.584071999999999</v>
      </c>
      <c r="CJ77" s="3">
        <v>32.805667999999997</v>
      </c>
      <c r="CK77" s="3">
        <v>34.880634000000001</v>
      </c>
      <c r="CL77" s="3">
        <v>35.733851999999999</v>
      </c>
      <c r="CM77" s="3">
        <v>35.015704999999997</v>
      </c>
      <c r="CN77" s="3">
        <v>32.624844000000003</v>
      </c>
      <c r="CO77" s="3">
        <v>34.130718000000002</v>
      </c>
      <c r="CP77" s="3">
        <v>35.255504999999999</v>
      </c>
      <c r="CQ77" s="3">
        <v>36.378784000000003</v>
      </c>
      <c r="CR77" s="3">
        <v>31.758040999999999</v>
      </c>
      <c r="CS77" s="3">
        <v>32.916030999999997</v>
      </c>
      <c r="CT77" s="3">
        <v>35.174816</v>
      </c>
      <c r="CU77" s="3">
        <v>31.593769000000002</v>
      </c>
      <c r="CV77" s="3">
        <v>33.194015999999998</v>
      </c>
      <c r="CW77" s="3">
        <v>32.619301</v>
      </c>
      <c r="CX77" s="3">
        <v>33.491481999999998</v>
      </c>
      <c r="CY77" s="3">
        <v>36.871127999999999</v>
      </c>
      <c r="CZ77" s="3">
        <v>38.160812</v>
      </c>
      <c r="DA77" s="3">
        <v>32.712502000000001</v>
      </c>
      <c r="DB77" s="3">
        <v>33.398150999999999</v>
      </c>
      <c r="DC77" s="3">
        <v>35.351868000000003</v>
      </c>
      <c r="DD77" s="3">
        <v>33.804862999999997</v>
      </c>
      <c r="DE77" s="3">
        <v>29.956636</v>
      </c>
      <c r="DF77" s="3">
        <v>32.616177</v>
      </c>
      <c r="DG77" s="3">
        <v>37.776142</v>
      </c>
      <c r="DH77" s="3">
        <v>28.670739999999999</v>
      </c>
      <c r="DI77" s="3"/>
      <c r="DJ77" s="3"/>
      <c r="DM77" s="3"/>
      <c r="DN77" s="3"/>
      <c r="DP77" s="3"/>
      <c r="DQ77" s="3"/>
      <c r="DR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 spans="2:207" x14ac:dyDescent="0.2">
      <c r="G78" s="3"/>
      <c r="H78" s="3"/>
      <c r="I78" s="3"/>
      <c r="J78" s="3"/>
      <c r="K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M78" s="3"/>
      <c r="DN78" s="3"/>
      <c r="DP78" s="3"/>
      <c r="DQ78" s="3"/>
      <c r="DR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 spans="2:207" x14ac:dyDescent="0.2">
      <c r="D79" t="s">
        <v>2</v>
      </c>
      <c r="E79" t="s">
        <v>1</v>
      </c>
      <c r="F79">
        <f>COUNT(M79:GJ79)</f>
        <v>100</v>
      </c>
      <c r="G79" s="3">
        <f>AVERAGE(M79:GJ79)</f>
        <v>38.644330089999997</v>
      </c>
      <c r="H79" s="3">
        <f>MAX(M79:GJ79)</f>
        <v>44.478026999999997</v>
      </c>
      <c r="I79" s="3">
        <f>MIN(M79:GJ79)</f>
        <v>34.586018000000003</v>
      </c>
      <c r="J79" s="3">
        <f>_xlfn.STDEV.P(M79:GJ79)</f>
        <v>2.1776396243975817</v>
      </c>
      <c r="K79" s="3">
        <f>_xlfn.VAR.S(M79:GJ79)</f>
        <v>4.7900144785317584</v>
      </c>
      <c r="M79" s="3">
        <v>41.083378000000003</v>
      </c>
      <c r="N79" s="3">
        <v>39.484122999999997</v>
      </c>
      <c r="O79" s="3">
        <v>42.713093000000001</v>
      </c>
      <c r="P79" s="3">
        <v>43.972496</v>
      </c>
      <c r="Q79" s="3">
        <v>39.748080999999999</v>
      </c>
      <c r="R79" s="3">
        <v>42.059387000000001</v>
      </c>
      <c r="S79" s="3">
        <v>40.060135000000002</v>
      </c>
      <c r="T79" s="3">
        <v>37.063209999999998</v>
      </c>
      <c r="U79" s="3">
        <v>44.084263</v>
      </c>
      <c r="V79" s="3">
        <v>41.288761000000001</v>
      </c>
      <c r="W79" s="3">
        <v>39.391692999999997</v>
      </c>
      <c r="X79" s="3">
        <v>42.314464999999998</v>
      </c>
      <c r="Y79" s="3">
        <v>38.524760999999998</v>
      </c>
      <c r="Z79" s="3">
        <v>42.232582000000001</v>
      </c>
      <c r="AA79" s="3">
        <v>39.922573</v>
      </c>
      <c r="AB79" s="3">
        <v>40.043517999999999</v>
      </c>
      <c r="AC79" s="3">
        <v>40.558044000000002</v>
      </c>
      <c r="AD79" s="3">
        <v>40.092480000000002</v>
      </c>
      <c r="AE79" s="3">
        <v>42.451641000000002</v>
      </c>
      <c r="AF79" s="3">
        <v>39.044066999999998</v>
      </c>
      <c r="AG79" s="3">
        <v>41.515770000000003</v>
      </c>
      <c r="AH79" s="3">
        <v>38.212100999999997</v>
      </c>
      <c r="AI79" s="3">
        <v>40.316490000000002</v>
      </c>
      <c r="AJ79" s="3">
        <v>40.086593999999998</v>
      </c>
      <c r="AK79" s="3">
        <v>35.919041</v>
      </c>
      <c r="AL79" s="3">
        <v>37.725121000000001</v>
      </c>
      <c r="AM79" s="3">
        <v>39.765129000000002</v>
      </c>
      <c r="AN79" s="3">
        <v>36.881217999999997</v>
      </c>
      <c r="AO79" s="3">
        <v>34.607070999999998</v>
      </c>
      <c r="AP79" s="3">
        <v>38.675781000000001</v>
      </c>
      <c r="AQ79" s="3">
        <v>38.914611999999998</v>
      </c>
      <c r="AR79" s="3">
        <v>41.535828000000002</v>
      </c>
      <c r="AS79" s="3">
        <v>34.977139000000001</v>
      </c>
      <c r="AT79" s="3">
        <v>39.628948000000001</v>
      </c>
      <c r="AU79" s="3">
        <v>40.947372000000001</v>
      </c>
      <c r="AV79" s="3">
        <v>38.190902999999999</v>
      </c>
      <c r="AW79" s="3">
        <v>40.755726000000003</v>
      </c>
      <c r="AX79" s="3">
        <v>38.087868</v>
      </c>
      <c r="AY79" s="3">
        <v>40.789023999999998</v>
      </c>
      <c r="AZ79" s="3">
        <v>44.478026999999997</v>
      </c>
      <c r="BA79" s="3">
        <v>39.159317000000001</v>
      </c>
      <c r="BB79" s="3">
        <v>40.060822000000002</v>
      </c>
      <c r="BC79" s="3">
        <v>37.099536999999998</v>
      </c>
      <c r="BD79" s="3">
        <v>36.551071</v>
      </c>
      <c r="BE79" s="3">
        <v>39.623027999999998</v>
      </c>
      <c r="BF79" s="3">
        <v>41.747062999999997</v>
      </c>
      <c r="BG79" s="3">
        <v>41.968864000000004</v>
      </c>
      <c r="BH79" s="3">
        <v>39.730609999999999</v>
      </c>
      <c r="BI79" s="3">
        <v>36.853484999999999</v>
      </c>
      <c r="BJ79" s="3">
        <v>36.874977000000001</v>
      </c>
      <c r="BK79" s="3">
        <v>36.914535999999998</v>
      </c>
      <c r="BL79" s="3">
        <v>39.596352000000003</v>
      </c>
      <c r="BM79" s="3">
        <v>40.610785999999997</v>
      </c>
      <c r="BN79" s="3">
        <v>35.387675999999999</v>
      </c>
      <c r="BO79" s="3">
        <v>37.884022000000002</v>
      </c>
      <c r="BP79" s="3">
        <v>38.883484000000003</v>
      </c>
      <c r="BQ79" s="3">
        <v>37.196528999999998</v>
      </c>
      <c r="BR79" s="3">
        <v>34.586018000000003</v>
      </c>
      <c r="BS79" s="3">
        <v>39.095066000000003</v>
      </c>
      <c r="BT79" s="3">
        <v>37.232258000000002</v>
      </c>
      <c r="BU79" s="3">
        <v>36.984260999999996</v>
      </c>
      <c r="BV79" s="3">
        <v>37.713745000000003</v>
      </c>
      <c r="BW79" s="3">
        <v>39.908703000000003</v>
      </c>
      <c r="BX79" s="3">
        <v>37.972267000000002</v>
      </c>
      <c r="BY79" s="3">
        <v>37.491402000000001</v>
      </c>
      <c r="BZ79" s="3">
        <v>37.526874999999997</v>
      </c>
      <c r="CA79" s="3">
        <v>38.510993999999997</v>
      </c>
      <c r="CB79" s="3">
        <v>38.041592000000001</v>
      </c>
      <c r="CC79" s="3">
        <v>37.448238000000003</v>
      </c>
      <c r="CD79" s="3">
        <v>37.231945000000003</v>
      </c>
      <c r="CE79" s="3">
        <v>35.998451000000003</v>
      </c>
      <c r="CF79" s="3">
        <v>37.787253999999997</v>
      </c>
      <c r="CG79" s="3">
        <v>36.436951000000001</v>
      </c>
      <c r="CH79" s="3">
        <v>37.098979999999997</v>
      </c>
      <c r="CI79" s="3">
        <v>42.798569000000001</v>
      </c>
      <c r="CJ79" s="3">
        <v>37.060122999999997</v>
      </c>
      <c r="CK79" s="3">
        <v>37.983311</v>
      </c>
      <c r="CL79" s="3">
        <v>35.989055999999998</v>
      </c>
      <c r="CM79" s="3">
        <v>38.651820999999998</v>
      </c>
      <c r="CN79" s="3">
        <v>37.303040000000003</v>
      </c>
      <c r="CO79" s="3">
        <v>36.603580000000001</v>
      </c>
      <c r="CP79" s="3">
        <v>36.689495000000001</v>
      </c>
      <c r="CQ79" s="3">
        <v>36.953612999999997</v>
      </c>
      <c r="CR79" s="3">
        <v>39.016711999999998</v>
      </c>
      <c r="CS79" s="3">
        <v>37.613728000000002</v>
      </c>
      <c r="CT79" s="3">
        <v>35.740096999999999</v>
      </c>
      <c r="CU79" s="3">
        <v>36.981963999999998</v>
      </c>
      <c r="CV79" s="3">
        <v>36.844166000000001</v>
      </c>
      <c r="CW79" s="3">
        <v>35.470286999999999</v>
      </c>
      <c r="CX79" s="3">
        <v>39.215111</v>
      </c>
      <c r="CY79" s="3">
        <v>36.187809000000001</v>
      </c>
      <c r="CZ79" s="3">
        <v>35.284087999999997</v>
      </c>
      <c r="DA79" s="3">
        <v>37.891902999999999</v>
      </c>
      <c r="DB79" s="3">
        <v>36.875838999999999</v>
      </c>
      <c r="DC79" s="3">
        <v>39.424064999999999</v>
      </c>
      <c r="DD79" s="3">
        <v>36.737887999999998</v>
      </c>
      <c r="DE79" s="3">
        <v>38.436531000000002</v>
      </c>
      <c r="DF79" s="3">
        <v>36.612793000000003</v>
      </c>
      <c r="DG79" s="3">
        <v>37.262535</v>
      </c>
      <c r="DH79" s="3">
        <v>37.455212000000003</v>
      </c>
      <c r="DI79" s="3"/>
      <c r="DJ79" s="3"/>
      <c r="DM79" s="3"/>
      <c r="DN79" s="3"/>
      <c r="DP79" s="3"/>
      <c r="DQ79" s="3"/>
      <c r="DR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 spans="2:207" x14ac:dyDescent="0.2">
      <c r="G80" s="3"/>
      <c r="H80" s="3"/>
      <c r="I80" s="3"/>
      <c r="J80" s="3"/>
      <c r="K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M80" s="3"/>
      <c r="DN80" s="3"/>
      <c r="DP80" s="3"/>
      <c r="DQ80" s="3"/>
      <c r="DR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 spans="2:207" x14ac:dyDescent="0.2">
      <c r="D81" t="s">
        <v>5</v>
      </c>
      <c r="E81" t="s">
        <v>1</v>
      </c>
      <c r="F81">
        <f>COUNT(M81:GJ81)</f>
        <v>100</v>
      </c>
      <c r="G81" s="3">
        <f>AVERAGE(M81:GJ81)</f>
        <v>34.984483619999999</v>
      </c>
      <c r="H81" s="3">
        <f>MAX(M81:GJ81)</f>
        <v>38.010792000000002</v>
      </c>
      <c r="I81" s="3">
        <f>MIN(M81:GJ81)</f>
        <v>32.213348000000003</v>
      </c>
      <c r="J81" s="3">
        <f>_xlfn.STDEV.P(M81:GJ81)</f>
        <v>1.3254489951640223</v>
      </c>
      <c r="K81" s="3">
        <f>_xlfn.VAR.S(M81:GJ81)</f>
        <v>1.7745606452336531</v>
      </c>
      <c r="M81" s="3">
        <v>33.742801999999998</v>
      </c>
      <c r="N81" s="3">
        <v>34.723540999999997</v>
      </c>
      <c r="O81" s="3">
        <v>36.539307000000001</v>
      </c>
      <c r="P81" s="3">
        <v>36.914425000000001</v>
      </c>
      <c r="Q81" s="3">
        <v>35.907890000000002</v>
      </c>
      <c r="R81" s="3">
        <v>36.117119000000002</v>
      </c>
      <c r="S81" s="3">
        <v>37.350676999999997</v>
      </c>
      <c r="T81" s="3">
        <v>32.647815999999999</v>
      </c>
      <c r="U81" s="3">
        <v>35.662486999999999</v>
      </c>
      <c r="V81" s="3">
        <v>37.568272</v>
      </c>
      <c r="W81" s="3">
        <v>33.385402999999997</v>
      </c>
      <c r="X81" s="3">
        <v>33.176825999999998</v>
      </c>
      <c r="Y81" s="3">
        <v>35.455002</v>
      </c>
      <c r="Z81" s="3">
        <v>32.985844</v>
      </c>
      <c r="AA81" s="3">
        <v>36.957504</v>
      </c>
      <c r="AB81" s="3">
        <v>36.063640999999997</v>
      </c>
      <c r="AC81" s="3">
        <v>35.955452000000001</v>
      </c>
      <c r="AD81" s="3">
        <v>35.928158000000003</v>
      </c>
      <c r="AE81" s="3">
        <v>32.213348000000003</v>
      </c>
      <c r="AF81" s="3">
        <v>35.317298999999998</v>
      </c>
      <c r="AG81" s="3">
        <v>34.816982000000003</v>
      </c>
      <c r="AH81" s="3">
        <v>33.268444000000002</v>
      </c>
      <c r="AI81" s="3">
        <v>35.068320999999997</v>
      </c>
      <c r="AJ81" s="3">
        <v>34.741351999999999</v>
      </c>
      <c r="AK81" s="3">
        <v>35.002155000000002</v>
      </c>
      <c r="AL81" s="3">
        <v>36.240653999999999</v>
      </c>
      <c r="AM81" s="3">
        <v>34.993355000000001</v>
      </c>
      <c r="AN81" s="3">
        <v>32.539020999999998</v>
      </c>
      <c r="AO81" s="3">
        <v>32.618304999999999</v>
      </c>
      <c r="AP81" s="3">
        <v>36.791927000000001</v>
      </c>
      <c r="AQ81" s="3">
        <v>34.839095999999998</v>
      </c>
      <c r="AR81" s="3">
        <v>34.959091000000001</v>
      </c>
      <c r="AS81" s="3">
        <v>35.286751000000002</v>
      </c>
      <c r="AT81" s="3">
        <v>33.108623999999999</v>
      </c>
      <c r="AU81" s="3">
        <v>36.147106000000001</v>
      </c>
      <c r="AV81" s="3">
        <v>34.611072999999998</v>
      </c>
      <c r="AW81" s="3">
        <v>32.596088000000002</v>
      </c>
      <c r="AX81" s="3">
        <v>34.053187999999999</v>
      </c>
      <c r="AY81" s="3">
        <v>33.997428999999997</v>
      </c>
      <c r="AZ81" s="3">
        <v>35.498221999999998</v>
      </c>
      <c r="BA81" s="3">
        <v>37.170734000000003</v>
      </c>
      <c r="BB81" s="3">
        <v>34.871741999999998</v>
      </c>
      <c r="BC81" s="3">
        <v>33.596504000000003</v>
      </c>
      <c r="BD81" s="3">
        <v>36.606242999999999</v>
      </c>
      <c r="BE81" s="3">
        <v>33.887745000000002</v>
      </c>
      <c r="BF81" s="3">
        <v>33.203575000000001</v>
      </c>
      <c r="BG81" s="3">
        <v>37.513939000000001</v>
      </c>
      <c r="BH81" s="3">
        <v>36.969321999999998</v>
      </c>
      <c r="BI81" s="3">
        <v>36.206153999999998</v>
      </c>
      <c r="BJ81" s="3">
        <v>34.399681000000001</v>
      </c>
      <c r="BK81" s="3">
        <v>35.13026</v>
      </c>
      <c r="BL81" s="3">
        <v>35.407440000000001</v>
      </c>
      <c r="BM81" s="3">
        <v>34.268120000000003</v>
      </c>
      <c r="BN81" s="3">
        <v>37.332805999999998</v>
      </c>
      <c r="BO81" s="3">
        <v>35.795699999999997</v>
      </c>
      <c r="BP81" s="3">
        <v>33.826549999999997</v>
      </c>
      <c r="BQ81" s="3">
        <v>34.459556999999997</v>
      </c>
      <c r="BR81" s="3">
        <v>34.751663000000001</v>
      </c>
      <c r="BS81" s="3">
        <v>37.104636999999997</v>
      </c>
      <c r="BT81" s="3">
        <v>35.056964999999998</v>
      </c>
      <c r="BU81" s="3">
        <v>34.242179999999998</v>
      </c>
      <c r="BV81" s="3">
        <v>32.542411999999999</v>
      </c>
      <c r="BW81" s="3">
        <v>37.021545000000003</v>
      </c>
      <c r="BX81" s="3">
        <v>35.194564999999997</v>
      </c>
      <c r="BY81" s="3">
        <v>35.125843000000003</v>
      </c>
      <c r="BZ81" s="3">
        <v>35.223953000000002</v>
      </c>
      <c r="CA81" s="3">
        <v>34.270617999999999</v>
      </c>
      <c r="CB81" s="3">
        <v>34.114277000000001</v>
      </c>
      <c r="CC81" s="3">
        <v>35.550162999999998</v>
      </c>
      <c r="CD81" s="3">
        <v>34.060794999999999</v>
      </c>
      <c r="CE81" s="3">
        <v>34.786633000000002</v>
      </c>
      <c r="CF81" s="3">
        <v>34.664378999999997</v>
      </c>
      <c r="CG81" s="3">
        <v>36.070072000000003</v>
      </c>
      <c r="CH81" s="3">
        <v>35.941474999999997</v>
      </c>
      <c r="CI81" s="3">
        <v>33.863151999999999</v>
      </c>
      <c r="CJ81" s="3">
        <v>34.638503999999998</v>
      </c>
      <c r="CK81" s="3">
        <v>38.010792000000002</v>
      </c>
      <c r="CL81" s="3">
        <v>34.514923000000003</v>
      </c>
      <c r="CM81" s="3">
        <v>35.152591999999999</v>
      </c>
      <c r="CN81" s="3">
        <v>34.916924000000002</v>
      </c>
      <c r="CO81" s="3">
        <v>34.113849999999999</v>
      </c>
      <c r="CP81" s="3">
        <v>35.537101999999997</v>
      </c>
      <c r="CQ81" s="3">
        <v>35.196434000000004</v>
      </c>
      <c r="CR81" s="3">
        <v>34.317261000000002</v>
      </c>
      <c r="CS81" s="3">
        <v>33.611336000000001</v>
      </c>
      <c r="CT81" s="3">
        <v>34.373669</v>
      </c>
      <c r="CU81" s="3">
        <v>33.634887999999997</v>
      </c>
      <c r="CV81" s="3">
        <v>35.244076</v>
      </c>
      <c r="CW81" s="3">
        <v>36.778210000000001</v>
      </c>
      <c r="CX81" s="3">
        <v>34.681015000000002</v>
      </c>
      <c r="CY81" s="3">
        <v>35.153892999999997</v>
      </c>
      <c r="CZ81" s="3">
        <v>36.133102000000001</v>
      </c>
      <c r="DA81" s="3">
        <v>32.832934999999999</v>
      </c>
      <c r="DB81" s="3">
        <v>33.812697999999997</v>
      </c>
      <c r="DC81" s="3">
        <v>35.772616999999997</v>
      </c>
      <c r="DD81" s="3">
        <v>32.869121999999997</v>
      </c>
      <c r="DE81" s="3">
        <v>34.188850000000002</v>
      </c>
      <c r="DF81" s="3">
        <v>34.591064000000003</v>
      </c>
      <c r="DG81" s="3">
        <v>36.489173999999998</v>
      </c>
      <c r="DH81" s="3">
        <v>35.861935000000003</v>
      </c>
      <c r="DI81" s="3"/>
      <c r="DJ81" s="3"/>
      <c r="DM81" s="3"/>
      <c r="DN81" s="3"/>
      <c r="DP81" s="3"/>
      <c r="DQ81" s="3"/>
      <c r="DR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 spans="2:207" x14ac:dyDescent="0.2">
      <c r="G82" s="3"/>
      <c r="H82" s="3"/>
      <c r="I82" s="3"/>
      <c r="J82" s="3"/>
      <c r="K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M82" s="3"/>
      <c r="DN82" s="3"/>
      <c r="DP82" s="3"/>
      <c r="DQ82" s="3"/>
      <c r="DR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 spans="2:207" x14ac:dyDescent="0.2">
      <c r="D83" t="s">
        <v>6</v>
      </c>
      <c r="E83" t="s">
        <v>1</v>
      </c>
      <c r="F83">
        <f>COUNT(M83:GJ83)</f>
        <v>100</v>
      </c>
      <c r="G83" s="3">
        <f>AVERAGE(M83:GJ83)</f>
        <v>39.713148340000004</v>
      </c>
      <c r="H83" s="3">
        <f>MAX(M83:GJ83)</f>
        <v>50.262698999999998</v>
      </c>
      <c r="I83" s="3">
        <f>MIN(M83:GJ83)</f>
        <v>34.058613000000001</v>
      </c>
      <c r="J83" s="3">
        <f>_xlfn.STDEV.P(M83:GJ83)</f>
        <v>3.2711819763700465</v>
      </c>
      <c r="K83" s="3">
        <f>_xlfn.VAR.S(M83:GJ83)</f>
        <v>10.80871870962449</v>
      </c>
      <c r="M83" s="3">
        <v>40.060153999999997</v>
      </c>
      <c r="N83" s="3">
        <v>38.159129999999998</v>
      </c>
      <c r="O83" s="3">
        <v>38.157299000000002</v>
      </c>
      <c r="P83" s="3">
        <v>44.378773000000002</v>
      </c>
      <c r="Q83" s="3">
        <v>37.605522000000001</v>
      </c>
      <c r="R83" s="3">
        <v>39.723373000000002</v>
      </c>
      <c r="S83" s="3">
        <v>36.771239999999999</v>
      </c>
      <c r="T83" s="3">
        <v>39.205517</v>
      </c>
      <c r="U83" s="3">
        <v>37.565398999999999</v>
      </c>
      <c r="V83" s="3">
        <v>40.923653000000002</v>
      </c>
      <c r="W83" s="3">
        <v>41.494819999999997</v>
      </c>
      <c r="X83" s="3">
        <v>40.743271</v>
      </c>
      <c r="Y83" s="3">
        <v>37.429671999999997</v>
      </c>
      <c r="Z83" s="3">
        <v>42.618141000000001</v>
      </c>
      <c r="AA83" s="3">
        <v>42.492516000000002</v>
      </c>
      <c r="AB83" s="3">
        <v>35.461739000000001</v>
      </c>
      <c r="AC83" s="3">
        <v>46.263694999999998</v>
      </c>
      <c r="AD83" s="3">
        <v>36.796515999999997</v>
      </c>
      <c r="AE83" s="3">
        <v>48.590004</v>
      </c>
      <c r="AF83" s="3">
        <v>37.086970999999998</v>
      </c>
      <c r="AG83" s="3">
        <v>42.143340999999999</v>
      </c>
      <c r="AH83" s="3">
        <v>39.018546999999998</v>
      </c>
      <c r="AI83" s="3">
        <v>35.705604999999998</v>
      </c>
      <c r="AJ83" s="3">
        <v>38.556679000000003</v>
      </c>
      <c r="AK83" s="3">
        <v>39.381717999999999</v>
      </c>
      <c r="AL83" s="3">
        <v>40.755322</v>
      </c>
      <c r="AM83" s="3">
        <v>37.510986000000003</v>
      </c>
      <c r="AN83" s="3">
        <v>36.810344999999998</v>
      </c>
      <c r="AO83" s="3">
        <v>39.620868999999999</v>
      </c>
      <c r="AP83" s="3">
        <v>36.899383999999998</v>
      </c>
      <c r="AQ83" s="3">
        <v>42.144179999999999</v>
      </c>
      <c r="AR83" s="3">
        <v>37.924594999999997</v>
      </c>
      <c r="AS83" s="3">
        <v>41.196468000000003</v>
      </c>
      <c r="AT83" s="3">
        <v>36.825085000000001</v>
      </c>
      <c r="AU83" s="3">
        <v>40.586177999999997</v>
      </c>
      <c r="AV83" s="3">
        <v>38.748432000000001</v>
      </c>
      <c r="AW83" s="3">
        <v>43.048499999999997</v>
      </c>
      <c r="AX83" s="3">
        <v>37.897120999999999</v>
      </c>
      <c r="AY83" s="3">
        <v>42.128025000000001</v>
      </c>
      <c r="AZ83" s="3">
        <v>39.804523000000003</v>
      </c>
      <c r="BA83" s="3">
        <v>34.058613000000001</v>
      </c>
      <c r="BB83" s="3">
        <v>44.642676999999999</v>
      </c>
      <c r="BC83" s="3">
        <v>38.052933000000003</v>
      </c>
      <c r="BD83" s="3">
        <v>49.717609000000003</v>
      </c>
      <c r="BE83" s="3">
        <v>37.696922000000001</v>
      </c>
      <c r="BF83" s="3">
        <v>38.144142000000002</v>
      </c>
      <c r="BG83" s="3">
        <v>40.316276999999999</v>
      </c>
      <c r="BH83" s="3">
        <v>37.144374999999997</v>
      </c>
      <c r="BI83" s="3">
        <v>38.273685</v>
      </c>
      <c r="BJ83" s="3">
        <v>38.180869999999999</v>
      </c>
      <c r="BK83" s="3">
        <v>40.096279000000003</v>
      </c>
      <c r="BL83" s="3">
        <v>39.352589000000002</v>
      </c>
      <c r="BM83" s="3">
        <v>37.190384000000002</v>
      </c>
      <c r="BN83" s="3">
        <v>43.277327999999997</v>
      </c>
      <c r="BO83" s="3">
        <v>41.04562</v>
      </c>
      <c r="BP83" s="3">
        <v>49.429637999999997</v>
      </c>
      <c r="BQ83" s="3">
        <v>37.119605999999997</v>
      </c>
      <c r="BR83" s="3">
        <v>36.129767999999999</v>
      </c>
      <c r="BS83" s="3">
        <v>37.103050000000003</v>
      </c>
      <c r="BT83" s="3">
        <v>40.192120000000003</v>
      </c>
      <c r="BU83" s="3">
        <v>37.576385000000002</v>
      </c>
      <c r="BV83" s="3">
        <v>42.886513000000001</v>
      </c>
      <c r="BW83" s="3">
        <v>39.435130999999998</v>
      </c>
      <c r="BX83" s="3">
        <v>37.384686000000002</v>
      </c>
      <c r="BY83" s="3">
        <v>38.302135</v>
      </c>
      <c r="BZ83" s="3">
        <v>36.339058000000001</v>
      </c>
      <c r="CA83" s="3">
        <v>40.808799999999998</v>
      </c>
      <c r="CB83" s="3">
        <v>36.904842000000002</v>
      </c>
      <c r="CC83" s="3">
        <v>50.262698999999998</v>
      </c>
      <c r="CD83" s="3">
        <v>37.656067</v>
      </c>
      <c r="CE83" s="3">
        <v>41.968150999999999</v>
      </c>
      <c r="CF83" s="3">
        <v>40.415382000000001</v>
      </c>
      <c r="CG83" s="3">
        <v>36.350163000000002</v>
      </c>
      <c r="CH83" s="3">
        <v>38.112811999999998</v>
      </c>
      <c r="CI83" s="3">
        <v>38.424830999999998</v>
      </c>
      <c r="CJ83" s="3">
        <v>39.805728999999999</v>
      </c>
      <c r="CK83" s="3">
        <v>37.481552000000001</v>
      </c>
      <c r="CL83" s="3">
        <v>37.611958000000001</v>
      </c>
      <c r="CM83" s="3">
        <v>44.401142</v>
      </c>
      <c r="CN83" s="3">
        <v>38.307022000000003</v>
      </c>
      <c r="CO83" s="3">
        <v>41.794960000000003</v>
      </c>
      <c r="CP83" s="3">
        <v>36.526150000000001</v>
      </c>
      <c r="CQ83" s="3">
        <v>41.554062000000002</v>
      </c>
      <c r="CR83" s="3">
        <v>40.377682</v>
      </c>
      <c r="CS83" s="3">
        <v>37.581795</v>
      </c>
      <c r="CT83" s="3">
        <v>38.125442999999997</v>
      </c>
      <c r="CU83" s="3">
        <v>42.802044000000002</v>
      </c>
      <c r="CV83" s="3">
        <v>39.986423000000002</v>
      </c>
      <c r="CW83" s="3">
        <v>38.477207</v>
      </c>
      <c r="CX83" s="3">
        <v>39.877457</v>
      </c>
      <c r="CY83" s="3">
        <v>34.944125999999997</v>
      </c>
      <c r="CZ83" s="3">
        <v>45.889983999999998</v>
      </c>
      <c r="DA83" s="3">
        <v>35.428722</v>
      </c>
      <c r="DB83" s="3">
        <v>47.487079999999999</v>
      </c>
      <c r="DC83" s="3">
        <v>37.782856000000002</v>
      </c>
      <c r="DD83" s="3">
        <v>43.891689</v>
      </c>
      <c r="DE83" s="3">
        <v>40.091228000000001</v>
      </c>
      <c r="DF83" s="3">
        <v>35.182819000000002</v>
      </c>
      <c r="DG83" s="3">
        <v>40.243747999999997</v>
      </c>
      <c r="DH83" s="3">
        <v>37.436508000000003</v>
      </c>
      <c r="DI83" s="3"/>
      <c r="DJ83" s="3"/>
      <c r="DM83" s="3"/>
      <c r="DN83" s="3"/>
      <c r="DP83" s="3"/>
      <c r="DQ83" s="3"/>
      <c r="DR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</row>
    <row r="84" spans="2:207" x14ac:dyDescent="0.2">
      <c r="M84" s="3"/>
      <c r="N84" s="3"/>
    </row>
    <row r="85" spans="2:207" x14ac:dyDescent="0.2">
      <c r="M85" s="3"/>
      <c r="N85" s="3"/>
    </row>
    <row r="86" spans="2:207" x14ac:dyDescent="0.2">
      <c r="B86" t="s">
        <v>63</v>
      </c>
      <c r="D86" s="1" t="s">
        <v>47</v>
      </c>
    </row>
    <row r="87" spans="2:207" x14ac:dyDescent="0.2">
      <c r="B87" s="2" t="s">
        <v>46</v>
      </c>
      <c r="D87" t="s">
        <v>3</v>
      </c>
      <c r="E87" t="s">
        <v>1</v>
      </c>
      <c r="F87">
        <f>COUNT(M87:GJ87)</f>
        <v>100</v>
      </c>
      <c r="G87" s="3">
        <f>AVERAGE(M87:GJ87)</f>
        <v>14.769735169999995</v>
      </c>
      <c r="H87" s="3">
        <f>MAX(M87:GJ87)</f>
        <v>20.965388999999998</v>
      </c>
      <c r="I87" s="3">
        <f>MIN(M87:GJ87)</f>
        <v>12.393224</v>
      </c>
      <c r="J87" s="3">
        <f>_xlfn.STDEV.P(M87:GJ87)</f>
        <v>1.7425859924264056</v>
      </c>
      <c r="K87" s="3">
        <f>_xlfn.VAR.S(M87:GJ87)</f>
        <v>3.0672787282835428</v>
      </c>
      <c r="M87" s="3">
        <v>12.788995999999999</v>
      </c>
      <c r="N87" s="3">
        <v>15.313675999999999</v>
      </c>
      <c r="O87" s="3">
        <v>16.480460999999998</v>
      </c>
      <c r="P87" s="3">
        <v>13.458776</v>
      </c>
      <c r="Q87" s="3">
        <v>15.832317</v>
      </c>
      <c r="R87" s="3">
        <v>13.545025000000001</v>
      </c>
      <c r="S87" s="3">
        <v>17.693213</v>
      </c>
      <c r="T87" s="3">
        <v>15.546322</v>
      </c>
      <c r="U87" s="3">
        <v>18.891646999999999</v>
      </c>
      <c r="V87" s="3">
        <v>14.969106</v>
      </c>
      <c r="W87" s="3">
        <v>15.390242000000001</v>
      </c>
      <c r="X87" s="3">
        <v>14.985495</v>
      </c>
      <c r="Y87" s="3">
        <v>13.242164000000001</v>
      </c>
      <c r="Z87" s="3">
        <v>14.304577</v>
      </c>
      <c r="AA87" s="3">
        <v>17.368195</v>
      </c>
      <c r="AB87" s="3">
        <v>13.988884000000001</v>
      </c>
      <c r="AC87" s="3">
        <v>13.908234</v>
      </c>
      <c r="AD87" s="3">
        <v>13.639666</v>
      </c>
      <c r="AE87" s="3">
        <v>16.504732000000001</v>
      </c>
      <c r="AF87" s="3">
        <v>12.561353</v>
      </c>
      <c r="AG87" s="3">
        <v>19.472109</v>
      </c>
      <c r="AH87" s="3">
        <v>13.864803999999999</v>
      </c>
      <c r="AI87" s="3">
        <v>13.756437999999999</v>
      </c>
      <c r="AJ87" s="3">
        <v>12.393224</v>
      </c>
      <c r="AK87" s="3">
        <v>14.067284000000001</v>
      </c>
      <c r="AL87" s="3">
        <v>13.827969</v>
      </c>
      <c r="AM87" s="3">
        <v>13.648407000000001</v>
      </c>
      <c r="AN87" s="3">
        <v>14.480760999999999</v>
      </c>
      <c r="AO87" s="3">
        <v>16.094291999999999</v>
      </c>
      <c r="AP87" s="3">
        <v>15.662086</v>
      </c>
      <c r="AQ87" s="3">
        <v>16.078534999999999</v>
      </c>
      <c r="AR87" s="3">
        <v>12.432275000000001</v>
      </c>
      <c r="AS87" s="3">
        <v>15.221674</v>
      </c>
      <c r="AT87" s="3">
        <v>17.082492999999999</v>
      </c>
      <c r="AU87" s="3">
        <v>13.693099999999999</v>
      </c>
      <c r="AV87" s="3">
        <v>19.593857</v>
      </c>
      <c r="AW87" s="3">
        <v>14.821655</v>
      </c>
      <c r="AX87" s="3">
        <v>13.150522</v>
      </c>
      <c r="AY87" s="3">
        <v>14.191457</v>
      </c>
      <c r="AZ87" s="3">
        <v>12.569784</v>
      </c>
      <c r="BA87" s="3">
        <v>13.381762999999999</v>
      </c>
      <c r="BB87" s="3">
        <v>13.669248</v>
      </c>
      <c r="BC87" s="3">
        <v>14.614119000000001</v>
      </c>
      <c r="BD87" s="3">
        <v>14.112704000000001</v>
      </c>
      <c r="BE87" s="3">
        <v>13.291573</v>
      </c>
      <c r="BF87" s="3">
        <v>13.510723</v>
      </c>
      <c r="BG87" s="3">
        <v>17.727875000000001</v>
      </c>
      <c r="BH87" s="3">
        <v>14.190440000000001</v>
      </c>
      <c r="BI87" s="3">
        <v>15.014006999999999</v>
      </c>
      <c r="BJ87" s="3">
        <v>15.298721</v>
      </c>
      <c r="BK87" s="3">
        <v>16.250359</v>
      </c>
      <c r="BL87" s="3">
        <v>13.504232999999999</v>
      </c>
      <c r="BM87" s="3">
        <v>14.390938</v>
      </c>
      <c r="BN87" s="3">
        <v>13.68957</v>
      </c>
      <c r="BO87" s="3">
        <v>17.123336999999999</v>
      </c>
      <c r="BP87" s="3">
        <v>12.776007999999999</v>
      </c>
      <c r="BQ87" s="3">
        <v>14.385411</v>
      </c>
      <c r="BR87" s="3">
        <v>13.621006</v>
      </c>
      <c r="BS87" s="3">
        <v>14.202556</v>
      </c>
      <c r="BT87" s="3">
        <v>15.082029</v>
      </c>
      <c r="BU87" s="3">
        <v>13.839566</v>
      </c>
      <c r="BV87" s="3">
        <v>14.369051000000001</v>
      </c>
      <c r="BW87" s="3">
        <v>13.203525000000001</v>
      </c>
      <c r="BX87" s="3">
        <v>19.930375999999999</v>
      </c>
      <c r="BY87" s="3">
        <v>13.285156000000001</v>
      </c>
      <c r="BZ87" s="3">
        <v>15.74722</v>
      </c>
      <c r="CA87" s="3">
        <v>14.374514</v>
      </c>
      <c r="CB87" s="3">
        <v>19.164338999999998</v>
      </c>
      <c r="CC87" s="3">
        <v>13.743017</v>
      </c>
      <c r="CD87" s="3">
        <v>20.965388999999998</v>
      </c>
      <c r="CE87" s="3">
        <v>16.150396000000001</v>
      </c>
      <c r="CF87" s="3">
        <v>13.433114</v>
      </c>
      <c r="CG87" s="3">
        <v>13.444179999999999</v>
      </c>
      <c r="CH87" s="3">
        <v>12.552371000000001</v>
      </c>
      <c r="CI87" s="3">
        <v>17.153797000000001</v>
      </c>
      <c r="CJ87" s="3">
        <v>14.572641000000001</v>
      </c>
      <c r="CK87" s="3">
        <v>12.930391999999999</v>
      </c>
      <c r="CL87" s="3">
        <v>13.020929000000001</v>
      </c>
      <c r="CM87" s="3">
        <v>14.250985</v>
      </c>
      <c r="CN87" s="3">
        <v>14.974151000000001</v>
      </c>
      <c r="CO87" s="3">
        <v>14.67399</v>
      </c>
      <c r="CP87" s="3">
        <v>13.822668999999999</v>
      </c>
      <c r="CQ87" s="3">
        <v>15.622230999999999</v>
      </c>
      <c r="CR87" s="3">
        <v>15.935</v>
      </c>
      <c r="CS87" s="3">
        <v>13.996589999999999</v>
      </c>
      <c r="CT87" s="3">
        <v>15.618506</v>
      </c>
      <c r="CU87" s="3">
        <v>15.309796</v>
      </c>
      <c r="CV87" s="3">
        <v>14.721152</v>
      </c>
      <c r="CW87" s="3">
        <v>15.213590999999999</v>
      </c>
      <c r="CX87" s="3">
        <v>13.115898</v>
      </c>
      <c r="CY87" s="3">
        <v>13.444405</v>
      </c>
      <c r="CZ87" s="3">
        <v>13.163563</v>
      </c>
      <c r="DA87" s="3">
        <v>14.608316</v>
      </c>
      <c r="DB87" s="3">
        <v>14.773172000000001</v>
      </c>
      <c r="DC87" s="3">
        <v>13.167282</v>
      </c>
      <c r="DD87" s="3">
        <v>14.933036</v>
      </c>
      <c r="DE87" s="3">
        <v>13.626379</v>
      </c>
      <c r="DF87" s="3">
        <v>13.532686999999999</v>
      </c>
      <c r="DG87" s="3">
        <v>15.041512000000001</v>
      </c>
      <c r="DH87" s="3">
        <v>15.196206</v>
      </c>
      <c r="DI87" s="3"/>
      <c r="DJ87" s="3"/>
      <c r="DM87" s="3"/>
      <c r="DN87" s="3"/>
      <c r="DP87" s="3"/>
      <c r="DQ87" s="3"/>
      <c r="DR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 spans="2:207" x14ac:dyDescent="0.2">
      <c r="B88" s="2" t="s">
        <v>29</v>
      </c>
      <c r="G88" s="3"/>
      <c r="H88" s="3"/>
      <c r="I88" s="3"/>
      <c r="J88" s="3"/>
      <c r="K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M88" s="3"/>
      <c r="DN88" s="3"/>
      <c r="DP88" s="3"/>
      <c r="DQ88" s="3"/>
      <c r="DR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 spans="2:207" x14ac:dyDescent="0.2">
      <c r="B89" s="2" t="s">
        <v>51</v>
      </c>
      <c r="D89" t="s">
        <v>4</v>
      </c>
      <c r="E89" t="s">
        <v>1</v>
      </c>
      <c r="F89">
        <f>COUNT(M89:GJ89)</f>
        <v>100</v>
      </c>
      <c r="G89" s="3">
        <f>AVERAGE(M89:GJ89)</f>
        <v>15.5584401</v>
      </c>
      <c r="H89" s="3">
        <f>MAX(M89:GJ89)</f>
        <v>20.052277</v>
      </c>
      <c r="I89" s="3">
        <f>MIN(M89:GJ89)</f>
        <v>9.5746559999999992</v>
      </c>
      <c r="J89" s="3">
        <f>_xlfn.STDEV.P(M89:GJ89)</f>
        <v>2.0730846514525525</v>
      </c>
      <c r="K89" s="3">
        <f>_xlfn.VAR.S(M89:GJ89)</f>
        <v>4.3410908808970881</v>
      </c>
      <c r="M89" s="3">
        <v>19.012978</v>
      </c>
      <c r="N89" s="3">
        <v>17.352101999999999</v>
      </c>
      <c r="O89" s="3">
        <v>16.627894999999999</v>
      </c>
      <c r="P89" s="3">
        <v>15.926211</v>
      </c>
      <c r="Q89" s="3">
        <v>14.166147</v>
      </c>
      <c r="R89" s="3">
        <v>17.100887</v>
      </c>
      <c r="S89" s="3">
        <v>17.322754</v>
      </c>
      <c r="T89" s="3">
        <v>15.805612999999999</v>
      </c>
      <c r="U89" s="3">
        <v>15.04341</v>
      </c>
      <c r="V89" s="3">
        <v>17.867612999999999</v>
      </c>
      <c r="W89" s="3">
        <v>13.846158000000001</v>
      </c>
      <c r="X89" s="3">
        <v>16.909716</v>
      </c>
      <c r="Y89" s="3">
        <v>17.936509999999998</v>
      </c>
      <c r="Z89" s="3">
        <v>17.372515</v>
      </c>
      <c r="AA89" s="3">
        <v>20.052277</v>
      </c>
      <c r="AB89" s="3">
        <v>16.059593</v>
      </c>
      <c r="AC89" s="3">
        <v>12.819088000000001</v>
      </c>
      <c r="AD89" s="3">
        <v>14.622249999999999</v>
      </c>
      <c r="AE89" s="3">
        <v>13.275266999999999</v>
      </c>
      <c r="AF89" s="3">
        <v>15.821002</v>
      </c>
      <c r="AG89" s="3">
        <v>18.085888000000001</v>
      </c>
      <c r="AH89" s="3">
        <v>17.678791</v>
      </c>
      <c r="AI89" s="3">
        <v>17.772324000000001</v>
      </c>
      <c r="AJ89" s="3">
        <v>16.550339000000001</v>
      </c>
      <c r="AK89" s="3">
        <v>15.742806</v>
      </c>
      <c r="AL89" s="3">
        <v>16.741678</v>
      </c>
      <c r="AM89" s="3">
        <v>12.362465</v>
      </c>
      <c r="AN89" s="3">
        <v>15.387525999999999</v>
      </c>
      <c r="AO89" s="3">
        <v>9.7095450000000003</v>
      </c>
      <c r="AP89" s="3">
        <v>12.707625999999999</v>
      </c>
      <c r="AQ89" s="3">
        <v>15.693113</v>
      </c>
      <c r="AR89" s="3">
        <v>13.655887</v>
      </c>
      <c r="AS89" s="3">
        <v>12.280246999999999</v>
      </c>
      <c r="AT89" s="3">
        <v>11.166036</v>
      </c>
      <c r="AU89" s="3">
        <v>11.678526</v>
      </c>
      <c r="AV89" s="3">
        <v>15.243273</v>
      </c>
      <c r="AW89" s="3">
        <v>15.845684</v>
      </c>
      <c r="AX89" s="3">
        <v>17.211338000000001</v>
      </c>
      <c r="AY89" s="3">
        <v>15.07225</v>
      </c>
      <c r="AZ89" s="3">
        <v>15.077538000000001</v>
      </c>
      <c r="BA89" s="3">
        <v>16.972352999999998</v>
      </c>
      <c r="BB89" s="3">
        <v>17.163931000000002</v>
      </c>
      <c r="BC89" s="3">
        <v>12.631805999999999</v>
      </c>
      <c r="BD89" s="3">
        <v>15.227042000000001</v>
      </c>
      <c r="BE89" s="3">
        <v>13.390903</v>
      </c>
      <c r="BF89" s="3">
        <v>16.664719000000002</v>
      </c>
      <c r="BG89" s="3">
        <v>15.845447999999999</v>
      </c>
      <c r="BH89" s="3">
        <v>16.504892000000002</v>
      </c>
      <c r="BI89" s="3">
        <v>16.061465999999999</v>
      </c>
      <c r="BJ89" s="3">
        <v>14.556941</v>
      </c>
      <c r="BK89" s="3">
        <v>14.445829</v>
      </c>
      <c r="BL89" s="3">
        <v>18.308249</v>
      </c>
      <c r="BM89" s="3">
        <v>16.917860000000001</v>
      </c>
      <c r="BN89" s="3">
        <v>19.132895999999999</v>
      </c>
      <c r="BO89" s="3">
        <v>12.801791</v>
      </c>
      <c r="BP89" s="3">
        <v>17.959982</v>
      </c>
      <c r="BQ89" s="3">
        <v>16.275959</v>
      </c>
      <c r="BR89" s="3">
        <v>16.283916000000001</v>
      </c>
      <c r="BS89" s="3">
        <v>17.770979000000001</v>
      </c>
      <c r="BT89" s="3">
        <v>15.922999000000001</v>
      </c>
      <c r="BU89" s="3">
        <v>15.172639</v>
      </c>
      <c r="BV89" s="3">
        <v>16.468111</v>
      </c>
      <c r="BW89" s="3">
        <v>16.578733</v>
      </c>
      <c r="BX89" s="3">
        <v>12.901652</v>
      </c>
      <c r="BY89" s="3">
        <v>14.660632</v>
      </c>
      <c r="BZ89" s="3">
        <v>16.905268</v>
      </c>
      <c r="CA89" s="3">
        <v>16.988030999999999</v>
      </c>
      <c r="CB89" s="3">
        <v>15.790391</v>
      </c>
      <c r="CC89" s="3">
        <v>12.973615000000001</v>
      </c>
      <c r="CD89" s="3">
        <v>13.79379</v>
      </c>
      <c r="CE89" s="3">
        <v>16.486788000000001</v>
      </c>
      <c r="CF89" s="3">
        <v>18.375392999999999</v>
      </c>
      <c r="CG89" s="3">
        <v>17.028365999999998</v>
      </c>
      <c r="CH89" s="3">
        <v>17.746448999999998</v>
      </c>
      <c r="CI89" s="3">
        <v>17.188572000000001</v>
      </c>
      <c r="CJ89" s="3">
        <v>14.961683000000001</v>
      </c>
      <c r="CK89" s="3">
        <v>14.91534</v>
      </c>
      <c r="CL89" s="3">
        <v>13.255564</v>
      </c>
      <c r="CM89" s="3">
        <v>17.872169</v>
      </c>
      <c r="CN89" s="3">
        <v>14.014495</v>
      </c>
      <c r="CO89" s="3">
        <v>16.22146</v>
      </c>
      <c r="CP89" s="3">
        <v>15.436779</v>
      </c>
      <c r="CQ89" s="3">
        <v>9.5746559999999992</v>
      </c>
      <c r="CR89" s="3">
        <v>15.705961</v>
      </c>
      <c r="CS89" s="3">
        <v>17.294619000000001</v>
      </c>
      <c r="CT89" s="3">
        <v>17.185390000000002</v>
      </c>
      <c r="CU89" s="3">
        <v>11.452029</v>
      </c>
      <c r="CV89" s="3">
        <v>16.731234000000001</v>
      </c>
      <c r="CW89" s="3">
        <v>11.260002</v>
      </c>
      <c r="CX89" s="3">
        <v>15.616284</v>
      </c>
      <c r="CY89" s="3">
        <v>17.517838000000001</v>
      </c>
      <c r="CZ89" s="3">
        <v>17.223139</v>
      </c>
      <c r="DA89" s="3">
        <v>12.324672</v>
      </c>
      <c r="DB89" s="3">
        <v>17.119603999999999</v>
      </c>
      <c r="DC89" s="3">
        <v>15.589615999999999</v>
      </c>
      <c r="DD89" s="3">
        <v>16.559732</v>
      </c>
      <c r="DE89" s="3">
        <v>15.091450999999999</v>
      </c>
      <c r="DF89" s="3">
        <v>12.610735</v>
      </c>
      <c r="DG89" s="3">
        <v>15.423142</v>
      </c>
      <c r="DH89" s="3">
        <v>14.385159</v>
      </c>
      <c r="DI89" s="3"/>
      <c r="DJ89" s="3"/>
      <c r="DM89" s="3"/>
      <c r="DN89" s="3"/>
      <c r="DP89" s="3"/>
      <c r="DQ89" s="3"/>
      <c r="DR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 spans="2:207" x14ac:dyDescent="0.2">
      <c r="G90" s="3"/>
      <c r="H90" s="3"/>
      <c r="I90" s="3"/>
      <c r="J90" s="3"/>
      <c r="K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M90" s="3"/>
      <c r="DN90" s="3"/>
      <c r="DP90" s="3"/>
      <c r="DQ90" s="3"/>
      <c r="DR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 spans="2:207" x14ac:dyDescent="0.2">
      <c r="D91" t="s">
        <v>2</v>
      </c>
      <c r="E91" t="s">
        <v>1</v>
      </c>
      <c r="F91">
        <f>COUNT(M91:GJ91)</f>
        <v>100</v>
      </c>
      <c r="G91" s="3">
        <f>AVERAGE(M91:GJ91)</f>
        <v>15.884228959999994</v>
      </c>
      <c r="H91" s="3">
        <f>MAX(M91:GJ91)</f>
        <v>19.504715000000001</v>
      </c>
      <c r="I91" s="3">
        <f>MIN(M91:GJ91)</f>
        <v>13.251423000000001</v>
      </c>
      <c r="J91" s="3">
        <f>_xlfn.STDEV.P(M91:GJ91)</f>
        <v>1.1919161835604291</v>
      </c>
      <c r="K91" s="3">
        <f>_xlfn.VAR.S(M91:GJ91)</f>
        <v>1.4350143319527862</v>
      </c>
      <c r="M91" s="3">
        <v>15.615809</v>
      </c>
      <c r="N91" s="3">
        <v>14.492426</v>
      </c>
      <c r="O91" s="3">
        <v>16.377628000000001</v>
      </c>
      <c r="P91" s="3">
        <v>15.289859</v>
      </c>
      <c r="Q91" s="3">
        <v>14.715477999999999</v>
      </c>
      <c r="R91" s="3">
        <v>15.515895</v>
      </c>
      <c r="S91" s="3">
        <v>17.965574</v>
      </c>
      <c r="T91" s="3">
        <v>13.251423000000001</v>
      </c>
      <c r="U91" s="3">
        <v>17.39949</v>
      </c>
      <c r="V91" s="3">
        <v>14.66286</v>
      </c>
      <c r="W91" s="3">
        <v>15.349645000000001</v>
      </c>
      <c r="X91" s="3">
        <v>14.767099</v>
      </c>
      <c r="Y91" s="3">
        <v>14.971353000000001</v>
      </c>
      <c r="Z91" s="3">
        <v>15.532887000000001</v>
      </c>
      <c r="AA91" s="3">
        <v>15.433382</v>
      </c>
      <c r="AB91" s="3">
        <v>15.942765</v>
      </c>
      <c r="AC91" s="3">
        <v>14.49423</v>
      </c>
      <c r="AD91" s="3">
        <v>15.04866</v>
      </c>
      <c r="AE91" s="3">
        <v>15.159877</v>
      </c>
      <c r="AF91" s="3">
        <v>15.533026</v>
      </c>
      <c r="AG91" s="3">
        <v>13.849496</v>
      </c>
      <c r="AH91" s="3">
        <v>16.059269</v>
      </c>
      <c r="AI91" s="3">
        <v>15.213476</v>
      </c>
      <c r="AJ91" s="3">
        <v>14.858174</v>
      </c>
      <c r="AK91" s="3">
        <v>14.298886</v>
      </c>
      <c r="AL91" s="3">
        <v>17.105833000000001</v>
      </c>
      <c r="AM91" s="3">
        <v>15.617922999999999</v>
      </c>
      <c r="AN91" s="3">
        <v>17.411829000000001</v>
      </c>
      <c r="AO91" s="3">
        <v>14.318356</v>
      </c>
      <c r="AP91" s="3">
        <v>14.098573999999999</v>
      </c>
      <c r="AQ91" s="3">
        <v>16.601137000000001</v>
      </c>
      <c r="AR91" s="3">
        <v>17.317233999999999</v>
      </c>
      <c r="AS91" s="3">
        <v>14.37602</v>
      </c>
      <c r="AT91" s="3">
        <v>16.888622000000002</v>
      </c>
      <c r="AU91" s="3">
        <v>15.067740000000001</v>
      </c>
      <c r="AV91" s="3">
        <v>18.428225999999999</v>
      </c>
      <c r="AW91" s="3">
        <v>15.678566</v>
      </c>
      <c r="AX91" s="3">
        <v>16.204616999999999</v>
      </c>
      <c r="AY91" s="3">
        <v>15.968691</v>
      </c>
      <c r="AZ91" s="3">
        <v>18.489704</v>
      </c>
      <c r="BA91" s="3">
        <v>15.695198</v>
      </c>
      <c r="BB91" s="3">
        <v>15.963003</v>
      </c>
      <c r="BC91" s="3">
        <v>15.693448999999999</v>
      </c>
      <c r="BD91" s="3">
        <v>15.122187</v>
      </c>
      <c r="BE91" s="3">
        <v>16.043379000000002</v>
      </c>
      <c r="BF91" s="3">
        <v>19.504715000000001</v>
      </c>
      <c r="BG91" s="3">
        <v>17.910720999999999</v>
      </c>
      <c r="BH91" s="3">
        <v>17.263176000000001</v>
      </c>
      <c r="BI91" s="3">
        <v>17.295829999999999</v>
      </c>
      <c r="BJ91" s="3">
        <v>17.149763</v>
      </c>
      <c r="BK91" s="3">
        <v>18.266812999999999</v>
      </c>
      <c r="BL91" s="3">
        <v>15.575771</v>
      </c>
      <c r="BM91" s="3">
        <v>16.713488000000002</v>
      </c>
      <c r="BN91" s="3">
        <v>15.12393</v>
      </c>
      <c r="BO91" s="3">
        <v>14.769329000000001</v>
      </c>
      <c r="BP91" s="3">
        <v>16.378874</v>
      </c>
      <c r="BQ91" s="3">
        <v>15.053117</v>
      </c>
      <c r="BR91" s="3">
        <v>15.906108</v>
      </c>
      <c r="BS91" s="3">
        <v>16.608173000000001</v>
      </c>
      <c r="BT91" s="3">
        <v>15.150409</v>
      </c>
      <c r="BU91" s="3">
        <v>15.565261</v>
      </c>
      <c r="BV91" s="3">
        <v>15.83117</v>
      </c>
      <c r="BW91" s="3">
        <v>18.027697</v>
      </c>
      <c r="BX91" s="3">
        <v>15.624812</v>
      </c>
      <c r="BY91" s="3">
        <v>15.004466000000001</v>
      </c>
      <c r="BZ91" s="3">
        <v>15.696329</v>
      </c>
      <c r="CA91" s="3">
        <v>16.865919000000002</v>
      </c>
      <c r="CB91" s="3">
        <v>16.216003000000001</v>
      </c>
      <c r="CC91" s="3">
        <v>15.121911000000001</v>
      </c>
      <c r="CD91" s="3">
        <v>15.121791999999999</v>
      </c>
      <c r="CE91" s="3">
        <v>14.137489</v>
      </c>
      <c r="CF91" s="3">
        <v>17.133944</v>
      </c>
      <c r="CG91" s="3">
        <v>15.214993</v>
      </c>
      <c r="CH91" s="3">
        <v>17.391508000000002</v>
      </c>
      <c r="CI91" s="3">
        <v>16.308249</v>
      </c>
      <c r="CJ91" s="3">
        <v>16.823719000000001</v>
      </c>
      <c r="CK91" s="3">
        <v>15.806844</v>
      </c>
      <c r="CL91" s="3">
        <v>15.974095999999999</v>
      </c>
      <c r="CM91" s="3">
        <v>18.149360999999999</v>
      </c>
      <c r="CN91" s="3">
        <v>16.824090999999999</v>
      </c>
      <c r="CO91" s="3">
        <v>14.332438</v>
      </c>
      <c r="CP91" s="3">
        <v>15.020346999999999</v>
      </c>
      <c r="CQ91" s="3">
        <v>14.191501000000001</v>
      </c>
      <c r="CR91" s="3">
        <v>16.526361000000001</v>
      </c>
      <c r="CS91" s="3">
        <v>15.355216</v>
      </c>
      <c r="CT91" s="3">
        <v>13.79917</v>
      </c>
      <c r="CU91" s="3">
        <v>15.851122</v>
      </c>
      <c r="CV91" s="3">
        <v>14.737166999999999</v>
      </c>
      <c r="CW91" s="3">
        <v>15.391392</v>
      </c>
      <c r="CX91" s="3">
        <v>17.562259999999998</v>
      </c>
      <c r="CY91" s="3">
        <v>15.134354</v>
      </c>
      <c r="CZ91" s="3">
        <v>16.553286</v>
      </c>
      <c r="DA91" s="3">
        <v>15.351343</v>
      </c>
      <c r="DB91" s="3">
        <v>15.749192000000001</v>
      </c>
      <c r="DC91" s="3">
        <v>17.454609000000001</v>
      </c>
      <c r="DD91" s="3">
        <v>14.442674999999999</v>
      </c>
      <c r="DE91" s="3">
        <v>15.583278</v>
      </c>
      <c r="DF91" s="3">
        <v>16.391272000000001</v>
      </c>
      <c r="DG91" s="3">
        <v>16.968927000000001</v>
      </c>
      <c r="DH91" s="3">
        <v>16.628160000000001</v>
      </c>
      <c r="DI91" s="3"/>
      <c r="DJ91" s="3"/>
      <c r="DM91" s="3"/>
      <c r="DN91" s="3"/>
      <c r="DP91" s="3"/>
      <c r="DQ91" s="3"/>
      <c r="DR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 spans="2:207" x14ac:dyDescent="0.2">
      <c r="G92" s="3"/>
      <c r="H92" s="3"/>
      <c r="I92" s="3"/>
      <c r="J92" s="3"/>
      <c r="K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M92" s="3"/>
      <c r="DN92" s="3"/>
      <c r="DP92" s="3"/>
      <c r="DQ92" s="3"/>
      <c r="DR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 spans="2:207" x14ac:dyDescent="0.2">
      <c r="D93" t="s">
        <v>5</v>
      </c>
      <c r="E93" t="s">
        <v>1</v>
      </c>
      <c r="F93">
        <f>COUNT(M93:GJ93)</f>
        <v>100</v>
      </c>
      <c r="G93" s="3">
        <f>AVERAGE(M93:GJ93)</f>
        <v>15.050963449999999</v>
      </c>
      <c r="H93" s="3">
        <f>MAX(M93:GJ93)</f>
        <v>18.560117999999999</v>
      </c>
      <c r="I93" s="3">
        <f>MIN(M93:GJ93)</f>
        <v>11.107536</v>
      </c>
      <c r="J93" s="3">
        <f>_xlfn.STDEV.P(M93:GJ93)</f>
        <v>1.4348860867673807</v>
      </c>
      <c r="K93" s="3">
        <f>_xlfn.VAR.S(M93:GJ93)</f>
        <v>2.0796950323218253</v>
      </c>
      <c r="M93" s="3">
        <v>15.592542</v>
      </c>
      <c r="N93" s="3">
        <v>16.134986999999999</v>
      </c>
      <c r="O93" s="3">
        <v>15.979857000000001</v>
      </c>
      <c r="P93" s="3">
        <v>13.995405999999999</v>
      </c>
      <c r="Q93" s="3">
        <v>13.705330999999999</v>
      </c>
      <c r="R93" s="3">
        <v>12.617943</v>
      </c>
      <c r="S93" s="3">
        <v>13.739976</v>
      </c>
      <c r="T93" s="3">
        <v>14.095435</v>
      </c>
      <c r="U93" s="3">
        <v>17.102015000000002</v>
      </c>
      <c r="V93" s="3">
        <v>13.065018999999999</v>
      </c>
      <c r="W93" s="3">
        <v>11.107536</v>
      </c>
      <c r="X93" s="3">
        <v>14.412445</v>
      </c>
      <c r="Y93" s="3">
        <v>12.903164</v>
      </c>
      <c r="Z93" s="3">
        <v>14.76371</v>
      </c>
      <c r="AA93" s="3">
        <v>16.683954</v>
      </c>
      <c r="AB93" s="3">
        <v>13.376447000000001</v>
      </c>
      <c r="AC93" s="3">
        <v>15.966905000000001</v>
      </c>
      <c r="AD93" s="3">
        <v>11.209543999999999</v>
      </c>
      <c r="AE93" s="3">
        <v>15.883392000000001</v>
      </c>
      <c r="AF93" s="3">
        <v>14.151338000000001</v>
      </c>
      <c r="AG93" s="3">
        <v>15.682366999999999</v>
      </c>
      <c r="AH93" s="3">
        <v>14.046189</v>
      </c>
      <c r="AI93" s="3">
        <v>15.166172</v>
      </c>
      <c r="AJ93" s="3">
        <v>15.910192</v>
      </c>
      <c r="AK93" s="3">
        <v>12.634354999999999</v>
      </c>
      <c r="AL93" s="3">
        <v>14.606128</v>
      </c>
      <c r="AM93" s="3">
        <v>12.889491</v>
      </c>
      <c r="AN93" s="3">
        <v>16.775031999999999</v>
      </c>
      <c r="AO93" s="3">
        <v>15.644634</v>
      </c>
      <c r="AP93" s="3">
        <v>16.206717999999999</v>
      </c>
      <c r="AQ93" s="3">
        <v>14.318592000000001</v>
      </c>
      <c r="AR93" s="3">
        <v>15.293941</v>
      </c>
      <c r="AS93" s="3">
        <v>13.314662999999999</v>
      </c>
      <c r="AT93" s="3">
        <v>14.773806</v>
      </c>
      <c r="AU93" s="3">
        <v>15.873842</v>
      </c>
      <c r="AV93" s="3">
        <v>16.134499000000002</v>
      </c>
      <c r="AW93" s="3">
        <v>16.250957</v>
      </c>
      <c r="AX93" s="3">
        <v>14.794161000000001</v>
      </c>
      <c r="AY93" s="3">
        <v>16.055955999999998</v>
      </c>
      <c r="AZ93" s="3">
        <v>16.658238999999998</v>
      </c>
      <c r="BA93" s="3">
        <v>15.126908999999999</v>
      </c>
      <c r="BB93" s="3">
        <v>14.137439000000001</v>
      </c>
      <c r="BC93" s="3">
        <v>15.867545</v>
      </c>
      <c r="BD93" s="3">
        <v>14.710096</v>
      </c>
      <c r="BE93" s="3">
        <v>16.242249999999999</v>
      </c>
      <c r="BF93" s="3">
        <v>15.415241</v>
      </c>
      <c r="BG93" s="3">
        <v>16.477053000000002</v>
      </c>
      <c r="BH93" s="3">
        <v>16.780788000000001</v>
      </c>
      <c r="BI93" s="3">
        <v>13.875192</v>
      </c>
      <c r="BJ93" s="3">
        <v>14.766164</v>
      </c>
      <c r="BK93" s="3">
        <v>16.788408</v>
      </c>
      <c r="BL93" s="3">
        <v>15.250021</v>
      </c>
      <c r="BM93" s="3">
        <v>15.347478000000001</v>
      </c>
      <c r="BN93" s="3">
        <v>16.135475</v>
      </c>
      <c r="BO93" s="3">
        <v>16.455147</v>
      </c>
      <c r="BP93" s="3">
        <v>14.535037000000001</v>
      </c>
      <c r="BQ93" s="3">
        <v>15.954446000000001</v>
      </c>
      <c r="BR93" s="3">
        <v>15.469035</v>
      </c>
      <c r="BS93" s="3">
        <v>12.859389</v>
      </c>
      <c r="BT93" s="3">
        <v>14.469168</v>
      </c>
      <c r="BU93" s="3">
        <v>14.655899</v>
      </c>
      <c r="BV93" s="3">
        <v>14.379847</v>
      </c>
      <c r="BW93" s="3">
        <v>12.403698</v>
      </c>
      <c r="BX93" s="3">
        <v>14.638467</v>
      </c>
      <c r="BY93" s="3">
        <v>13.604649</v>
      </c>
      <c r="BZ93" s="3">
        <v>16.912227999999999</v>
      </c>
      <c r="CA93" s="3">
        <v>16.300927999999999</v>
      </c>
      <c r="CB93" s="3">
        <v>15.534050000000001</v>
      </c>
      <c r="CC93" s="3">
        <v>18.560117999999999</v>
      </c>
      <c r="CD93" s="3">
        <v>17.496352999999999</v>
      </c>
      <c r="CE93" s="3">
        <v>15.601374</v>
      </c>
      <c r="CF93" s="3">
        <v>14.722422</v>
      </c>
      <c r="CG93" s="3">
        <v>14.520882</v>
      </c>
      <c r="CH93" s="3">
        <v>12.691191</v>
      </c>
      <c r="CI93" s="3">
        <v>13.267932</v>
      </c>
      <c r="CJ93" s="3">
        <v>17.077874999999999</v>
      </c>
      <c r="CK93" s="3">
        <v>16.159863999999999</v>
      </c>
      <c r="CL93" s="3">
        <v>16.149795999999998</v>
      </c>
      <c r="CM93" s="3">
        <v>16.017845000000001</v>
      </c>
      <c r="CN93" s="3">
        <v>15.810306000000001</v>
      </c>
      <c r="CO93" s="3">
        <v>13.899323000000001</v>
      </c>
      <c r="CP93" s="3">
        <v>16.020754</v>
      </c>
      <c r="CQ93" s="3">
        <v>14.669663999999999</v>
      </c>
      <c r="CR93" s="3">
        <v>13.379534</v>
      </c>
      <c r="CS93" s="3">
        <v>14.730226999999999</v>
      </c>
      <c r="CT93" s="3">
        <v>17.305289999999999</v>
      </c>
      <c r="CU93" s="3">
        <v>16.322382000000001</v>
      </c>
      <c r="CV93" s="3">
        <v>11.492691000000001</v>
      </c>
      <c r="CW93" s="3">
        <v>16.015203</v>
      </c>
      <c r="CX93" s="3">
        <v>14.169650000000001</v>
      </c>
      <c r="CY93" s="3">
        <v>15.089682</v>
      </c>
      <c r="CZ93" s="3">
        <v>15.547459999999999</v>
      </c>
      <c r="DA93" s="3">
        <v>16.635933000000001</v>
      </c>
      <c r="DB93" s="3">
        <v>16.26557</v>
      </c>
      <c r="DC93" s="3">
        <v>15.934723</v>
      </c>
      <c r="DD93" s="3">
        <v>16.548608999999999</v>
      </c>
      <c r="DE93" s="3">
        <v>15.216086000000001</v>
      </c>
      <c r="DF93" s="3">
        <v>12.881983</v>
      </c>
      <c r="DG93" s="3">
        <v>15.804270000000001</v>
      </c>
      <c r="DH93" s="3">
        <v>14.482426</v>
      </c>
      <c r="DI93" s="3"/>
      <c r="DJ93" s="3"/>
      <c r="DM93" s="3"/>
      <c r="DN93" s="3"/>
      <c r="DP93" s="3"/>
      <c r="DQ93" s="3"/>
      <c r="DR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 spans="2:207" x14ac:dyDescent="0.2">
      <c r="G94" s="3"/>
      <c r="H94" s="3"/>
      <c r="I94" s="3"/>
      <c r="J94" s="3"/>
      <c r="K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M94" s="3"/>
      <c r="DN94" s="3"/>
      <c r="DP94" s="3"/>
      <c r="DQ94" s="3"/>
      <c r="DR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  <row r="95" spans="2:207" x14ac:dyDescent="0.2">
      <c r="D95" t="s">
        <v>6</v>
      </c>
      <c r="E95" t="s">
        <v>1</v>
      </c>
      <c r="F95">
        <f>COUNT(M95:GJ95)</f>
        <v>100</v>
      </c>
      <c r="G95" s="3">
        <f>AVERAGE(M95:GJ95)</f>
        <v>16.151462699999996</v>
      </c>
      <c r="H95" s="3">
        <f>MAX(M95:GJ95)</f>
        <v>17.495253000000002</v>
      </c>
      <c r="I95" s="3">
        <f>MIN(M95:GJ95)</f>
        <v>13.769265000000001</v>
      </c>
      <c r="J95" s="3">
        <f>_xlfn.STDEV.P(M95:GJ95)</f>
        <v>0.7139888379850835</v>
      </c>
      <c r="K95" s="3">
        <f>_xlfn.VAR.S(M95:GJ95)</f>
        <v>0.51492935431039377</v>
      </c>
      <c r="M95" s="3">
        <v>16.551542000000001</v>
      </c>
      <c r="N95" s="3">
        <v>15.832167</v>
      </c>
      <c r="O95" s="3">
        <v>16.704025000000001</v>
      </c>
      <c r="P95" s="3">
        <v>16.543303000000002</v>
      </c>
      <c r="Q95">
        <v>16.488213999999999</v>
      </c>
      <c r="R95" s="3">
        <v>13.769265000000001</v>
      </c>
      <c r="S95" s="3">
        <v>16.387505999999998</v>
      </c>
      <c r="T95" s="3">
        <v>16.148900999999999</v>
      </c>
      <c r="U95" s="3">
        <v>16.733801</v>
      </c>
      <c r="V95" s="3">
        <v>15.108008</v>
      </c>
      <c r="W95" s="3">
        <v>16.088311999999998</v>
      </c>
      <c r="X95" s="3">
        <v>16.092575</v>
      </c>
      <c r="Y95" s="3">
        <v>16.068646999999999</v>
      </c>
      <c r="Z95" s="3">
        <v>16.529346</v>
      </c>
      <c r="AA95" s="3">
        <v>17.287635999999999</v>
      </c>
      <c r="AB95" s="3">
        <v>15.889756999999999</v>
      </c>
      <c r="AC95" s="3">
        <v>17.083867999999999</v>
      </c>
      <c r="AD95" s="3">
        <v>16.141714</v>
      </c>
      <c r="AE95" s="3">
        <v>14.55594</v>
      </c>
      <c r="AF95" s="3">
        <v>16.659679000000001</v>
      </c>
      <c r="AG95" s="3">
        <v>16.733415999999998</v>
      </c>
      <c r="AH95" s="3">
        <v>16.387550000000001</v>
      </c>
      <c r="AI95" s="3">
        <v>16.193213</v>
      </c>
      <c r="AJ95" s="3">
        <v>16.656815999999999</v>
      </c>
      <c r="AK95" s="3">
        <v>16.571697</v>
      </c>
      <c r="AL95" s="3">
        <v>16.468266</v>
      </c>
      <c r="AM95" s="3">
        <v>16.445415000000001</v>
      </c>
      <c r="AN95" s="3">
        <v>16.259184000000001</v>
      </c>
      <c r="AO95" s="3">
        <v>16.543863000000002</v>
      </c>
      <c r="AP95" s="3">
        <v>16.424097</v>
      </c>
      <c r="AQ95" s="3">
        <v>15.138843</v>
      </c>
      <c r="AR95" s="3">
        <v>17.242084999999999</v>
      </c>
      <c r="AS95" s="3">
        <v>15.939410000000001</v>
      </c>
      <c r="AT95" s="3">
        <v>16.658595999999999</v>
      </c>
      <c r="AU95" s="3">
        <v>14.254032</v>
      </c>
      <c r="AV95" s="3">
        <v>16.156891000000002</v>
      </c>
      <c r="AW95" s="3">
        <v>16.902987</v>
      </c>
      <c r="AX95" s="3">
        <v>15.83053</v>
      </c>
      <c r="AY95" s="3">
        <v>16.842209</v>
      </c>
      <c r="AZ95" s="3">
        <v>16.991543</v>
      </c>
      <c r="BA95" s="3">
        <v>16.427382000000001</v>
      </c>
      <c r="BB95" s="3">
        <v>16.195098999999999</v>
      </c>
      <c r="BC95" s="3">
        <v>17.024691000000001</v>
      </c>
      <c r="BD95" s="3">
        <v>17.095043</v>
      </c>
      <c r="BE95" s="3">
        <v>15.759767999999999</v>
      </c>
      <c r="BF95" s="3">
        <v>15.713127999999999</v>
      </c>
      <c r="BG95" s="3">
        <v>15.260429999999999</v>
      </c>
      <c r="BH95" s="3">
        <v>15.621468999999999</v>
      </c>
      <c r="BI95" s="3">
        <v>16.174012999999999</v>
      </c>
      <c r="BJ95" s="3">
        <v>15.468063000000001</v>
      </c>
      <c r="BK95" s="3">
        <v>16.058395000000001</v>
      </c>
      <c r="BL95" s="3">
        <v>17.495253000000002</v>
      </c>
      <c r="BM95" s="3">
        <v>16.040806</v>
      </c>
      <c r="BN95" s="3">
        <v>15.978698</v>
      </c>
      <c r="BO95" s="3">
        <v>16.306937999999999</v>
      </c>
      <c r="BP95" s="3">
        <v>16.683751999999998</v>
      </c>
      <c r="BQ95" s="3">
        <v>15.894745</v>
      </c>
      <c r="BR95" s="3">
        <v>15.891581</v>
      </c>
      <c r="BS95" s="3">
        <v>16.670162000000001</v>
      </c>
      <c r="BT95" s="3">
        <v>14.074553</v>
      </c>
      <c r="BU95" s="3">
        <v>16.487995000000002</v>
      </c>
      <c r="BV95" s="3">
        <v>17.468755999999999</v>
      </c>
      <c r="BW95" s="3">
        <v>16.159264</v>
      </c>
      <c r="BX95" s="3">
        <v>16.442399999999999</v>
      </c>
      <c r="BY95" s="3">
        <v>16.41873</v>
      </c>
      <c r="BZ95" s="3">
        <v>15.819696</v>
      </c>
      <c r="CA95" s="3">
        <v>15.203684000000001</v>
      </c>
      <c r="CB95" s="3">
        <v>16.905134</v>
      </c>
      <c r="CC95" s="3">
        <v>15.681402</v>
      </c>
      <c r="CD95" s="3">
        <v>16.000745999999999</v>
      </c>
      <c r="CE95" s="3">
        <v>16.481242999999999</v>
      </c>
      <c r="CF95" s="3">
        <v>15.740140999999999</v>
      </c>
      <c r="CG95" s="3">
        <v>16.115476999999998</v>
      </c>
      <c r="CH95" s="3">
        <v>16.364107000000001</v>
      </c>
      <c r="CI95" s="3">
        <v>15.918075</v>
      </c>
      <c r="CJ95" s="3">
        <v>15.768281999999999</v>
      </c>
      <c r="CK95" s="3">
        <v>16.898329</v>
      </c>
      <c r="CL95" s="3">
        <v>16.532978</v>
      </c>
      <c r="CM95" s="3">
        <v>15.341168</v>
      </c>
      <c r="CN95" s="3">
        <v>15.35408</v>
      </c>
      <c r="CO95" s="3">
        <v>15.553860999999999</v>
      </c>
      <c r="CP95" s="3">
        <v>16.381202999999999</v>
      </c>
      <c r="CQ95" s="3">
        <v>14.270979000000001</v>
      </c>
      <c r="CR95" s="3">
        <v>16.133448000000001</v>
      </c>
      <c r="CS95" s="3">
        <v>16.489038000000001</v>
      </c>
      <c r="CT95" s="3">
        <v>17.250907999999999</v>
      </c>
      <c r="CU95" s="3">
        <v>16.331015000000001</v>
      </c>
      <c r="CV95" s="3">
        <v>15.510590000000001</v>
      </c>
      <c r="CW95" s="3">
        <v>16.697642999999999</v>
      </c>
      <c r="CX95" s="3">
        <v>17.170432999999999</v>
      </c>
      <c r="CY95" s="3">
        <v>16.910616000000001</v>
      </c>
      <c r="CZ95" s="3">
        <v>15.049067000000001</v>
      </c>
      <c r="DA95" s="3">
        <v>16.294281000000002</v>
      </c>
      <c r="DB95" s="3">
        <v>15.738733</v>
      </c>
      <c r="DC95" s="3">
        <v>15.714509</v>
      </c>
      <c r="DD95" s="3">
        <v>16.234064</v>
      </c>
      <c r="DE95" s="3">
        <v>16.229776000000001</v>
      </c>
      <c r="DF95" s="3">
        <v>14.793200000000001</v>
      </c>
      <c r="DG95" s="3">
        <v>16.640215000000001</v>
      </c>
      <c r="DH95" s="3">
        <v>15.512186</v>
      </c>
      <c r="DI95" s="3"/>
      <c r="DJ95" s="3"/>
      <c r="DM95" s="3"/>
      <c r="DN95" s="3"/>
      <c r="DP95" s="3"/>
      <c r="DQ95" s="3"/>
      <c r="DR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2026-03-05T19:19:23Z</dcterms:modified>
</cp:coreProperties>
</file>