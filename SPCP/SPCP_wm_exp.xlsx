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SPCP/"/>
    </mc:Choice>
  </mc:AlternateContent>
  <xr:revisionPtr revIDLastSave="0" documentId="13_ncr:1_{9C4EC8AA-2281-5843-84FB-54E6E86E6CA9}" xr6:coauthVersionLast="47" xr6:coauthVersionMax="47" xr10:uidLastSave="{00000000-0000-0000-0000-000000000000}"/>
  <bookViews>
    <workbookView xWindow="38520" yWindow="712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H16" i="1"/>
  <c r="G16" i="1"/>
  <c r="F16" i="1"/>
  <c r="K94" i="1" l="1"/>
  <c r="J94" i="1"/>
  <c r="I94" i="1"/>
  <c r="H94" i="1"/>
  <c r="G94" i="1"/>
  <c r="F94" i="1"/>
  <c r="K92" i="1"/>
  <c r="J92" i="1"/>
  <c r="I92" i="1"/>
  <c r="H92" i="1"/>
  <c r="G92" i="1"/>
  <c r="F92" i="1"/>
  <c r="K90" i="1"/>
  <c r="J90" i="1"/>
  <c r="I90" i="1"/>
  <c r="H90" i="1"/>
  <c r="G90" i="1"/>
  <c r="F90" i="1"/>
  <c r="K88" i="1"/>
  <c r="J88" i="1"/>
  <c r="I88" i="1"/>
  <c r="H88" i="1"/>
  <c r="G88" i="1"/>
  <c r="F88" i="1"/>
  <c r="K86" i="1"/>
  <c r="J86" i="1"/>
  <c r="I86" i="1"/>
  <c r="H86" i="1"/>
  <c r="G86" i="1"/>
  <c r="F86" i="1"/>
  <c r="K82" i="1"/>
  <c r="J82" i="1"/>
  <c r="I82" i="1"/>
  <c r="H82" i="1"/>
  <c r="G82" i="1"/>
  <c r="F82" i="1"/>
  <c r="K80" i="1"/>
  <c r="J80" i="1"/>
  <c r="I80" i="1"/>
  <c r="H80" i="1"/>
  <c r="G80" i="1"/>
  <c r="F80" i="1"/>
  <c r="K78" i="1"/>
  <c r="J78" i="1"/>
  <c r="I78" i="1"/>
  <c r="H78" i="1"/>
  <c r="G78" i="1"/>
  <c r="F78" i="1"/>
  <c r="K76" i="1"/>
  <c r="J76" i="1"/>
  <c r="I76" i="1"/>
  <c r="H76" i="1"/>
  <c r="G76" i="1"/>
  <c r="F76" i="1"/>
  <c r="K74" i="1"/>
  <c r="J74" i="1"/>
  <c r="I74" i="1"/>
  <c r="H74" i="1"/>
  <c r="G74" i="1"/>
  <c r="F74" i="1"/>
  <c r="K70" i="1"/>
  <c r="J70" i="1"/>
  <c r="I70" i="1"/>
  <c r="H70" i="1"/>
  <c r="G70" i="1"/>
  <c r="F70" i="1"/>
  <c r="K68" i="1"/>
  <c r="J68" i="1"/>
  <c r="I68" i="1"/>
  <c r="H68" i="1"/>
  <c r="G68" i="1"/>
  <c r="F68" i="1"/>
  <c r="K66" i="1"/>
  <c r="J66" i="1"/>
  <c r="I66" i="1"/>
  <c r="H66" i="1"/>
  <c r="G66" i="1"/>
  <c r="F66" i="1"/>
  <c r="K64" i="1"/>
  <c r="J64" i="1"/>
  <c r="I64" i="1"/>
  <c r="H64" i="1"/>
  <c r="G64" i="1"/>
  <c r="F64" i="1"/>
  <c r="K62" i="1"/>
  <c r="J62" i="1"/>
  <c r="I62" i="1"/>
  <c r="H62" i="1"/>
  <c r="G62" i="1"/>
  <c r="F62" i="1"/>
  <c r="K58" i="1"/>
  <c r="J58" i="1"/>
  <c r="I58" i="1"/>
  <c r="H58" i="1"/>
  <c r="G58" i="1"/>
  <c r="F58" i="1"/>
  <c r="K56" i="1"/>
  <c r="J56" i="1"/>
  <c r="I56" i="1"/>
  <c r="H56" i="1"/>
  <c r="G56" i="1"/>
  <c r="F56" i="1"/>
  <c r="K54" i="1"/>
  <c r="J54" i="1"/>
  <c r="I54" i="1"/>
  <c r="H54" i="1"/>
  <c r="G54" i="1"/>
  <c r="F54" i="1"/>
  <c r="K52" i="1"/>
  <c r="J52" i="1"/>
  <c r="I52" i="1"/>
  <c r="H52" i="1"/>
  <c r="G52" i="1"/>
  <c r="F52" i="1"/>
  <c r="K50" i="1"/>
  <c r="J50" i="1"/>
  <c r="I50" i="1"/>
  <c r="H50" i="1"/>
  <c r="G50" i="1"/>
  <c r="F50" i="1"/>
  <c r="F14" i="1"/>
  <c r="G14" i="1"/>
  <c r="H14" i="1"/>
  <c r="I14" i="1"/>
  <c r="J14" i="1"/>
  <c r="K14" i="1"/>
  <c r="F18" i="1"/>
  <c r="G18" i="1"/>
  <c r="H18" i="1"/>
  <c r="I18" i="1"/>
  <c r="J18" i="1"/>
  <c r="K1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8" i="1"/>
  <c r="J38" i="1"/>
  <c r="I38" i="1"/>
  <c r="H38" i="1"/>
  <c r="G38" i="1"/>
  <c r="F38" i="1"/>
  <c r="K34" i="1"/>
  <c r="J34" i="1"/>
  <c r="I34" i="1"/>
  <c r="H34" i="1"/>
  <c r="G34" i="1"/>
  <c r="F34" i="1"/>
  <c r="K32" i="1"/>
  <c r="J32" i="1"/>
  <c r="I32" i="1"/>
  <c r="H32" i="1"/>
  <c r="G32" i="1"/>
  <c r="F32" i="1"/>
  <c r="K30" i="1"/>
  <c r="J30" i="1"/>
  <c r="I30" i="1"/>
  <c r="H30" i="1"/>
  <c r="G30" i="1"/>
  <c r="F30" i="1"/>
  <c r="K28" i="1"/>
  <c r="J28" i="1"/>
  <c r="I28" i="1"/>
  <c r="H28" i="1"/>
  <c r="G28" i="1"/>
  <c r="F28" i="1"/>
  <c r="K26" i="1"/>
  <c r="J26" i="1"/>
  <c r="I26" i="1"/>
  <c r="H26" i="1"/>
  <c r="G26" i="1"/>
  <c r="F26" i="1"/>
  <c r="K22" i="1"/>
  <c r="J22" i="1"/>
  <c r="I22" i="1"/>
  <c r="H22" i="1"/>
  <c r="G22" i="1"/>
  <c r="F22" i="1"/>
  <c r="K20" i="1"/>
  <c r="J20" i="1"/>
  <c r="I20" i="1"/>
  <c r="H20" i="1"/>
  <c r="G20" i="1"/>
  <c r="F20" i="1"/>
  <c r="G10" i="1" l="1"/>
  <c r="G8" i="1"/>
  <c r="G9" i="1"/>
  <c r="G7" i="1"/>
  <c r="G6" i="1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<sst xmlns="http://schemas.openxmlformats.org/spreadsheetml/2006/main" count="138" uniqueCount="61">
  <si>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</si>
  <si>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</si>
  <si>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</si>
  <si>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</si>
  <si>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</si>
  <si>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</si>
  <si>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</si>
  <si>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</si>
  <si>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</si>
  <si>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</si>
  <si>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</si>
  <si>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</si>
  <si>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</si>
  <si>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</si>
  <si>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</si>
  <si>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</si>
  <si>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</si>
  <si>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</si>
  <si>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</si>
  <si>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</si>
  <si>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</si>
  <si>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</si>
  <si>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</si>
  <si>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</si>
  <si>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</si>
  <si>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</si>
  <si>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</si>
  <si>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</si>
  <si>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</si>
  <si>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</si>
  <si>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</si>
  <si>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</si>
  <si>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</si>
  <si>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</si>
  <si>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</si>
  <si>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</si>
  <si>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</si>
  <si>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</si>
  <si>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</si>
  <si>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</si>
  <si>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</si>
  <si>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</si>
  <si>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</si>
  <si>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</si>
  <si>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</si>
  <si>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</si>
  <si>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train_synth: (hh_01):</t>
  </si>
  <si>
    <t>train_synth: (hh_15)</t>
  </si>
  <si>
    <t>train_synth: (hh_14)</t>
  </si>
  <si>
    <t>train_synth: (hh_04)</t>
  </si>
  <si>
    <t>WindowGRU_total</t>
  </si>
  <si>
    <t>Seq2Point_total</t>
  </si>
  <si>
    <t>RNN_total</t>
  </si>
  <si>
    <t>DAE_total</t>
  </si>
  <si>
    <t>Seq2Seq_total</t>
  </si>
  <si>
    <t>end_time': '2024-06-14'</t>
  </si>
  <si>
    <t>start_time': '2024-06-01'</t>
  </si>
  <si>
    <t>train: SPCP_dataset.h5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</si>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</sst>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164" fontId="0" fillId="0" borderId="0" xfId="0" quotePrefix="1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100"/>
  <sheetViews>
    <sheetView tabSelected="1" workbookViewId="0">
      <selection activeCell="C6" sqref="C6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57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46</v>
      </c>
      <c r="B4" s="2" t="s">
        <v>56</v>
      </c>
      <c r="C4" s="2" t="s">
        <v>55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49</v>
      </c>
      <c r="B5" s="2" t="s">
        <v>56</v>
      </c>
      <c r="C5" s="2" t="s">
        <v>55</v>
      </c>
      <c r="E5" s="2"/>
      <c r="G5" s="5" t="s">
        <v>60</v>
      </c>
      <c r="H5" s="2"/>
      <c r="I5" s="2"/>
      <c r="J5" s="3"/>
      <c r="K5" s="2"/>
      <c r="L5" s="2"/>
    </row>
    <row r="6" spans="1:207" x14ac:dyDescent="0.2">
      <c r="A6" t="s">
        <v>48</v>
      </c>
      <c r="B6" s="2" t="s">
        <v>56</v>
      </c>
      <c r="C6" s="2" t="s">
        <v>55</v>
      </c>
      <c r="E6" s="2"/>
      <c r="F6" t="s">
        <v>52</v>
      </c>
      <c r="G6" s="3">
        <f>SUM(G14,G26,G38,G50,G62,G74,G86)/7</f>
        <v>24.430143832857148</v>
      </c>
      <c r="H6" s="4"/>
      <c r="I6" s="3"/>
      <c r="J6" s="3"/>
      <c r="K6" s="2"/>
      <c r="L6" s="2"/>
    </row>
    <row r="7" spans="1:207" x14ac:dyDescent="0.2">
      <c r="A7" t="s">
        <v>47</v>
      </c>
      <c r="B7" s="2" t="s">
        <v>56</v>
      </c>
      <c r="C7" s="2" t="s">
        <v>55</v>
      </c>
      <c r="E7" s="2"/>
      <c r="F7" t="s">
        <v>50</v>
      </c>
      <c r="G7" s="3">
        <f>SUM(G16,G28,G40,G52,G64,G76,G88)/7</f>
        <v>26.601528182857148</v>
      </c>
      <c r="H7" s="4"/>
      <c r="I7" s="3"/>
      <c r="J7" s="2"/>
      <c r="K7" s="2"/>
      <c r="L7" s="2"/>
    </row>
    <row r="8" spans="1:207" x14ac:dyDescent="0.2">
      <c r="A8" t="s">
        <v>58</v>
      </c>
      <c r="E8" s="2"/>
      <c r="F8" t="s">
        <v>53</v>
      </c>
      <c r="G8" s="3">
        <f>SUM(G18,G30,G42,G54,G66,G78,G90)/7</f>
        <v>28.709359344285719</v>
      </c>
      <c r="H8" s="4"/>
      <c r="I8" s="3"/>
    </row>
    <row r="9" spans="1:207" x14ac:dyDescent="0.2">
      <c r="A9" t="s">
        <v>45</v>
      </c>
      <c r="B9" s="2"/>
      <c r="C9" s="2"/>
      <c r="D9" s="2"/>
      <c r="E9" s="2"/>
      <c r="F9" t="s">
        <v>54</v>
      </c>
      <c r="G9" s="3">
        <f>SUM(G20,G32,G44,G56,G68,G80,G92)/7</f>
        <v>23.239276042857142</v>
      </c>
      <c r="H9" s="4"/>
      <c r="I9" s="3"/>
    </row>
    <row r="10" spans="1:207" x14ac:dyDescent="0.2">
      <c r="A10" t="s">
        <v>7</v>
      </c>
      <c r="F10" t="s">
        <v>51</v>
      </c>
      <c r="G10" s="3">
        <f>SUM(G22,G34,G46,G58,G70,G82,G94)/7</f>
        <v>22.711572087142859</v>
      </c>
      <c r="H10" s="4"/>
      <c r="I10" s="3"/>
    </row>
    <row r="12" spans="1:207" x14ac:dyDescent="0.2">
      <c r="B12" t="s">
        <v>59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15.29170859000001</v>
      </c>
      <c r="H14" s="3">
        <f>MAX(M14:GJ14)</f>
        <v>20.950668</v>
      </c>
      <c r="I14" s="3">
        <f>MIN(M14:GJ14)</f>
        <v>9.9756940000000007</v>
      </c>
      <c r="J14" s="3">
        <f>_xlfn.STDEV.P(M14:GJ14)</f>
        <v>2.5384282481592768</v>
      </c>
      <c r="K14" s="3">
        <f>_xlfn.VAR.S(M14:GJ14)</f>
        <v>6.508705021265647</v>
      </c>
      <c r="M14" s="3">
        <v>13.584894999999999</v>
      </c>
      <c r="N14" s="3">
        <v>16.648824999999999</v>
      </c>
      <c r="O14" s="3">
        <v>17.781609</v>
      </c>
      <c r="P14" s="3">
        <v>15.935326</v>
      </c>
      <c r="Q14" s="3">
        <v>13.577461</v>
      </c>
      <c r="R14" s="3">
        <v>16.510995999999999</v>
      </c>
      <c r="S14" s="3">
        <v>15.105760999999999</v>
      </c>
      <c r="T14" s="3">
        <v>13.629141000000001</v>
      </c>
      <c r="U14" s="3">
        <v>19.021830000000001</v>
      </c>
      <c r="V14" s="3">
        <v>12.284056</v>
      </c>
      <c r="W14" s="3">
        <v>14.166568</v>
      </c>
      <c r="X14" s="3">
        <v>15.407598999999999</v>
      </c>
      <c r="Y14" s="3">
        <v>18.218475000000002</v>
      </c>
      <c r="Z14" s="3">
        <v>14.058446999999999</v>
      </c>
      <c r="AA14" s="3">
        <v>16.52384</v>
      </c>
      <c r="AB14" s="3">
        <v>15.440567</v>
      </c>
      <c r="AC14" s="3">
        <v>10.313853999999999</v>
      </c>
      <c r="AD14" s="3">
        <v>13.507004999999999</v>
      </c>
      <c r="AE14" s="3">
        <v>15.594955000000001</v>
      </c>
      <c r="AF14" s="3">
        <v>12.848280000000001</v>
      </c>
      <c r="AG14" s="3">
        <v>12.426026</v>
      </c>
      <c r="AH14" s="3">
        <v>14.954179</v>
      </c>
      <c r="AI14" s="3">
        <v>14.692455000000001</v>
      </c>
      <c r="AJ14" s="3">
        <v>13.607763</v>
      </c>
      <c r="AK14" s="3">
        <v>11.302902</v>
      </c>
      <c r="AL14" s="3">
        <v>13.908636</v>
      </c>
      <c r="AM14" s="3">
        <v>14.544479000000001</v>
      </c>
      <c r="AN14" s="3">
        <v>18.860437000000001</v>
      </c>
      <c r="AO14" s="3">
        <v>13.128266</v>
      </c>
      <c r="AP14" s="3">
        <v>17.753257999999999</v>
      </c>
      <c r="AQ14" s="3">
        <v>15.189577999999999</v>
      </c>
      <c r="AR14" s="3">
        <v>13.771300999999999</v>
      </c>
      <c r="AS14" s="3">
        <v>12.141698999999999</v>
      </c>
      <c r="AT14" s="3">
        <v>19.992167999999999</v>
      </c>
      <c r="AU14" s="3">
        <v>17.602454999999999</v>
      </c>
      <c r="AV14" s="3">
        <v>19.321009</v>
      </c>
      <c r="AW14" s="3">
        <v>15.541684999999999</v>
      </c>
      <c r="AX14" s="3">
        <v>16.567291000000001</v>
      </c>
      <c r="AY14" s="3">
        <v>14.938885000000001</v>
      </c>
      <c r="AZ14" s="3">
        <v>16.823353000000001</v>
      </c>
      <c r="BA14" s="3">
        <v>11.775231</v>
      </c>
      <c r="BB14" s="3">
        <v>14.406867999999999</v>
      </c>
      <c r="BC14" s="3">
        <v>14.604107000000001</v>
      </c>
      <c r="BD14" s="3">
        <v>17.198063000000001</v>
      </c>
      <c r="BE14" s="3">
        <v>11.200013</v>
      </c>
      <c r="BF14" s="3">
        <v>16.675301000000001</v>
      </c>
      <c r="BG14" s="3">
        <v>18.545252000000001</v>
      </c>
      <c r="BH14" s="3">
        <v>17.468634000000002</v>
      </c>
      <c r="BI14" s="3">
        <v>12.734162</v>
      </c>
      <c r="BJ14" s="3">
        <v>11.471439999999999</v>
      </c>
      <c r="BK14" s="3">
        <v>14.567383</v>
      </c>
      <c r="BL14" s="3">
        <v>15.693395000000001</v>
      </c>
      <c r="BM14" s="3">
        <v>18.544789999999999</v>
      </c>
      <c r="BN14" s="3">
        <v>14.240546999999999</v>
      </c>
      <c r="BO14" s="3">
        <v>19.171178999999999</v>
      </c>
      <c r="BP14" s="3">
        <v>17.629128000000001</v>
      </c>
      <c r="BQ14" s="3">
        <v>15.245597999999999</v>
      </c>
      <c r="BR14" s="3">
        <v>15.456341999999999</v>
      </c>
      <c r="BS14" s="3">
        <v>19.853590000000001</v>
      </c>
      <c r="BT14" s="3">
        <v>16.393764000000001</v>
      </c>
      <c r="BU14" s="3">
        <v>13.271564</v>
      </c>
      <c r="BV14" s="3">
        <v>18.302336</v>
      </c>
      <c r="BW14" s="3">
        <v>15.456284999999999</v>
      </c>
      <c r="BX14" s="3">
        <v>15.824151000000001</v>
      </c>
      <c r="BY14" s="3">
        <v>16.481396</v>
      </c>
      <c r="BZ14" s="3">
        <v>13.213347000000001</v>
      </c>
      <c r="CA14" s="3">
        <v>9.9756940000000007</v>
      </c>
      <c r="CB14" s="3">
        <v>13.915606</v>
      </c>
      <c r="CC14" s="3">
        <v>14.204876000000001</v>
      </c>
      <c r="CD14" s="3">
        <v>14.909019000000001</v>
      </c>
      <c r="CE14" s="3">
        <v>13.612728000000001</v>
      </c>
      <c r="CF14" s="3">
        <v>11.115690000000001</v>
      </c>
      <c r="CG14" s="3">
        <v>14.860288000000001</v>
      </c>
      <c r="CH14" s="3">
        <v>16.761475000000001</v>
      </c>
      <c r="CI14" s="3">
        <v>14.844448999999999</v>
      </c>
      <c r="CJ14" s="3">
        <v>10.259767999999999</v>
      </c>
      <c r="CK14" s="3">
        <v>11.540153999999999</v>
      </c>
      <c r="CL14" s="3">
        <v>15.063086999999999</v>
      </c>
      <c r="CM14" s="3">
        <v>16.765025999999999</v>
      </c>
      <c r="CN14" s="3">
        <v>18.695969000000002</v>
      </c>
      <c r="CO14" s="3">
        <v>18.827674999999999</v>
      </c>
      <c r="CP14" s="3">
        <v>10.759645000000001</v>
      </c>
      <c r="CQ14" s="3">
        <v>12.838281</v>
      </c>
      <c r="CR14" s="3">
        <v>17.500416000000001</v>
      </c>
      <c r="CS14" s="3">
        <v>11.767796000000001</v>
      </c>
      <c r="CT14" s="3">
        <v>19.591787</v>
      </c>
      <c r="CU14" s="3">
        <v>17.667390999999999</v>
      </c>
      <c r="CV14" s="3">
        <v>17.851278000000001</v>
      </c>
      <c r="CW14" s="3">
        <v>14.231183</v>
      </c>
      <c r="CX14" s="3">
        <v>16.141673999999998</v>
      </c>
      <c r="CY14" s="3">
        <v>16.091802999999999</v>
      </c>
      <c r="CZ14" s="3">
        <v>15.181499000000001</v>
      </c>
      <c r="DA14" s="3">
        <v>12.049737</v>
      </c>
      <c r="DB14" s="3">
        <v>16.670542000000001</v>
      </c>
      <c r="DC14" s="3">
        <v>16.826172</v>
      </c>
      <c r="DD14" s="3">
        <v>20.950668</v>
      </c>
      <c r="DE14" s="3">
        <v>18.370667999999998</v>
      </c>
      <c r="DF14" s="3">
        <v>16.548411999999999</v>
      </c>
      <c r="DG14" s="3">
        <v>10.540696000000001</v>
      </c>
      <c r="DH14" s="3">
        <v>19.588526000000002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21.327367930000001</v>
      </c>
      <c r="H16" s="3">
        <f>MAX(M16:GJ16)</f>
        <v>31.202252999999999</v>
      </c>
      <c r="I16" s="3">
        <f>MIN(M16:GJ16)</f>
        <v>13.098255</v>
      </c>
      <c r="J16" s="3">
        <f>_xlfn.STDEV.P(M16:GJ16)</f>
        <v>4.0751384762002409</v>
      </c>
      <c r="K16" s="3">
        <f>_xlfn.VAR.S(M16:GJ16)</f>
        <v>16.774498586068276</v>
      </c>
      <c r="M16" s="3">
        <v>24.499269000000002</v>
      </c>
      <c r="N16" s="3">
        <v>23.027287000000001</v>
      </c>
      <c r="O16" s="3">
        <v>23.932796</v>
      </c>
      <c r="P16" s="3">
        <v>22.507073999999999</v>
      </c>
      <c r="Q16" s="3">
        <v>26.195239999999998</v>
      </c>
      <c r="R16" s="3">
        <v>25.036391999999999</v>
      </c>
      <c r="S16" s="3">
        <v>19.644835</v>
      </c>
      <c r="T16" s="3">
        <v>27.174356</v>
      </c>
      <c r="U16" s="3">
        <v>17.848784999999999</v>
      </c>
      <c r="V16" s="3">
        <v>22.974675999999999</v>
      </c>
      <c r="W16" s="3">
        <v>31.202252999999999</v>
      </c>
      <c r="X16" s="3">
        <v>21.795964999999999</v>
      </c>
      <c r="Y16" s="3">
        <v>26.896858000000002</v>
      </c>
      <c r="Z16" s="3">
        <v>23.792082000000001</v>
      </c>
      <c r="AA16" s="3">
        <v>24.138161</v>
      </c>
      <c r="AB16" s="3">
        <v>22.783709000000002</v>
      </c>
      <c r="AC16" s="3">
        <v>18.563606</v>
      </c>
      <c r="AD16" s="3">
        <v>23.297153000000002</v>
      </c>
      <c r="AE16" s="3">
        <v>25.386752999999999</v>
      </c>
      <c r="AF16" s="3">
        <v>21.735485000000001</v>
      </c>
      <c r="AG16" s="3">
        <v>16.163965000000001</v>
      </c>
      <c r="AH16" s="3">
        <v>28.111052999999998</v>
      </c>
      <c r="AI16" s="3">
        <v>25.118334000000001</v>
      </c>
      <c r="AJ16" s="3">
        <v>22.658322999999999</v>
      </c>
      <c r="AK16" s="3">
        <v>19.152151</v>
      </c>
      <c r="AL16" s="3">
        <v>21.501574000000002</v>
      </c>
      <c r="AM16" s="3">
        <v>16.940584000000001</v>
      </c>
      <c r="AN16" s="3">
        <v>23.430682999999998</v>
      </c>
      <c r="AO16" s="3">
        <v>21.923759</v>
      </c>
      <c r="AP16" s="3">
        <v>26.207407</v>
      </c>
      <c r="AQ16" s="3">
        <v>24.326882999999999</v>
      </c>
      <c r="AR16" s="3">
        <v>16.492107000000001</v>
      </c>
      <c r="AS16" s="3">
        <v>25.068686</v>
      </c>
      <c r="AT16" s="3">
        <v>17.622710999999999</v>
      </c>
      <c r="AU16" s="3">
        <v>14.574323</v>
      </c>
      <c r="AV16" s="3">
        <v>25.782879000000001</v>
      </c>
      <c r="AW16" s="3">
        <v>19.570599000000001</v>
      </c>
      <c r="AX16" s="3">
        <v>26.204253999999999</v>
      </c>
      <c r="AY16" s="3">
        <v>21.966013</v>
      </c>
      <c r="AZ16" s="3">
        <v>25.697641000000001</v>
      </c>
      <c r="BA16" s="3">
        <v>16.775274</v>
      </c>
      <c r="BB16" s="3">
        <v>19.202728</v>
      </c>
      <c r="BC16" s="3">
        <v>14.701069</v>
      </c>
      <c r="BD16" s="3">
        <v>23.786187999999999</v>
      </c>
      <c r="BE16" s="3">
        <v>18.764982</v>
      </c>
      <c r="BF16" s="3">
        <v>13.098255</v>
      </c>
      <c r="BG16" s="3">
        <v>26.243164</v>
      </c>
      <c r="BH16" s="3">
        <v>22.265561999999999</v>
      </c>
      <c r="BI16" s="3">
        <v>16.808619</v>
      </c>
      <c r="BJ16" s="3">
        <v>17.945948000000001</v>
      </c>
      <c r="BK16" s="3">
        <v>17.134418</v>
      </c>
      <c r="BL16" s="3">
        <v>18.612411000000002</v>
      </c>
      <c r="BM16" s="3">
        <v>25.810759000000001</v>
      </c>
      <c r="BN16" s="3">
        <v>23.381741000000002</v>
      </c>
      <c r="BO16" s="3">
        <v>24.190878000000001</v>
      </c>
      <c r="BP16" s="3">
        <v>21.321638</v>
      </c>
      <c r="BQ16" s="3">
        <v>14.756546</v>
      </c>
      <c r="BR16" s="3">
        <v>24.170942</v>
      </c>
      <c r="BS16" s="3">
        <v>19.360554</v>
      </c>
      <c r="BT16" s="3">
        <v>14.208724999999999</v>
      </c>
      <c r="BU16" s="3">
        <v>25.558886999999999</v>
      </c>
      <c r="BV16" s="3">
        <v>18.414095</v>
      </c>
      <c r="BW16" s="3">
        <v>26.308758000000001</v>
      </c>
      <c r="BX16" s="3">
        <v>22.329815</v>
      </c>
      <c r="BY16" s="3">
        <v>19.959327999999999</v>
      </c>
      <c r="BZ16" s="3">
        <v>16.140298999999999</v>
      </c>
      <c r="CA16" s="3">
        <v>20.131260000000001</v>
      </c>
      <c r="CB16" s="3">
        <v>17.677672999999999</v>
      </c>
      <c r="CC16" s="3">
        <v>24.786733999999999</v>
      </c>
      <c r="CD16" s="3">
        <v>18.729267</v>
      </c>
      <c r="CE16" s="3">
        <v>18.130365000000001</v>
      </c>
      <c r="CF16" s="3">
        <v>27.112286000000001</v>
      </c>
      <c r="CG16" s="3">
        <v>23.680137999999999</v>
      </c>
      <c r="CH16" s="3">
        <v>16.871072999999999</v>
      </c>
      <c r="CI16" s="3">
        <v>16.794685000000001</v>
      </c>
      <c r="CJ16" s="3">
        <v>21.198315000000001</v>
      </c>
      <c r="CK16" s="3">
        <v>15.628036</v>
      </c>
      <c r="CL16" s="3">
        <v>27.550208999999999</v>
      </c>
      <c r="CM16" s="3">
        <v>23.706892</v>
      </c>
      <c r="CN16" s="3">
        <v>26.141611000000001</v>
      </c>
      <c r="CO16" s="3">
        <v>24.947199000000001</v>
      </c>
      <c r="CP16" s="3">
        <v>16.36694</v>
      </c>
      <c r="CQ16" s="3">
        <v>21.259319000000001</v>
      </c>
      <c r="CR16" s="3">
        <v>17.533315999999999</v>
      </c>
      <c r="CS16" s="3">
        <v>14.417669999999999</v>
      </c>
      <c r="CT16" s="3">
        <v>26.998507</v>
      </c>
      <c r="CU16" s="3">
        <v>19.098109999999998</v>
      </c>
      <c r="CV16" s="3">
        <v>25.225335999999999</v>
      </c>
      <c r="CW16" s="3">
        <v>20.894957000000002</v>
      </c>
      <c r="CX16" s="3">
        <v>16.298521000000001</v>
      </c>
      <c r="CY16" s="3">
        <v>18.844650000000001</v>
      </c>
      <c r="CZ16" s="3">
        <v>16.684304999999998</v>
      </c>
      <c r="DA16" s="3">
        <v>15.363187</v>
      </c>
      <c r="DB16" s="3">
        <v>23.280231000000001</v>
      </c>
      <c r="DC16" s="3">
        <v>21.552765000000001</v>
      </c>
      <c r="DD16" s="3">
        <v>14.412801</v>
      </c>
      <c r="DE16" s="3">
        <v>28.617267999999999</v>
      </c>
      <c r="DF16" s="3">
        <v>25.263349999999999</v>
      </c>
      <c r="DG16" s="3">
        <v>16.646055</v>
      </c>
      <c r="DH16" s="3">
        <v>18.695515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24.975337239999995</v>
      </c>
      <c r="H18" s="3">
        <f>MAX(M18:GJ18)</f>
        <v>29.665984999999999</v>
      </c>
      <c r="I18" s="3">
        <f>MIN(M18:GJ18)</f>
        <v>21.619710999999999</v>
      </c>
      <c r="J18" s="3">
        <f>_xlfn.STDEV.P(M18:GJ18)</f>
        <v>1.4308431893828275</v>
      </c>
      <c r="K18" s="3">
        <f>_xlfn.VAR.S(M18:GJ18)</f>
        <v>2.0679921541446689</v>
      </c>
      <c r="M18" s="3">
        <v>26.406452000000002</v>
      </c>
      <c r="N18" s="3">
        <v>25.857344000000001</v>
      </c>
      <c r="O18" s="3">
        <v>25.599820999999999</v>
      </c>
      <c r="P18" s="3">
        <v>25.700202999999998</v>
      </c>
      <c r="Q18" s="3">
        <v>25.152773</v>
      </c>
      <c r="R18" s="3">
        <v>25.201387</v>
      </c>
      <c r="S18" s="3">
        <v>25.386151999999999</v>
      </c>
      <c r="T18" s="3">
        <v>25.723627</v>
      </c>
      <c r="U18" s="3">
        <v>27.884214</v>
      </c>
      <c r="V18" s="3">
        <v>25.660698</v>
      </c>
      <c r="W18" s="3">
        <v>25.505365000000001</v>
      </c>
      <c r="X18" s="3">
        <v>29.665984999999999</v>
      </c>
      <c r="Y18" s="3">
        <v>25.010812999999999</v>
      </c>
      <c r="Z18" s="3">
        <v>26.575678</v>
      </c>
      <c r="AA18" s="3">
        <v>25.855437999999999</v>
      </c>
      <c r="AB18" s="3">
        <v>26.603345999999998</v>
      </c>
      <c r="AC18" s="3">
        <v>26.93881</v>
      </c>
      <c r="AD18" s="3">
        <v>25.988603999999999</v>
      </c>
      <c r="AE18" s="3">
        <v>25.859442000000001</v>
      </c>
      <c r="AF18" s="3">
        <v>26.758344999999998</v>
      </c>
      <c r="AG18" s="3">
        <v>25.293876999999998</v>
      </c>
      <c r="AH18" s="3">
        <v>25.652532999999998</v>
      </c>
      <c r="AI18" s="3">
        <v>26.023409000000001</v>
      </c>
      <c r="AJ18" s="3">
        <v>25.915005000000001</v>
      </c>
      <c r="AK18" s="3">
        <v>26.076439000000001</v>
      </c>
      <c r="AL18" s="3">
        <v>24.091619000000001</v>
      </c>
      <c r="AM18" s="3">
        <v>24.593046000000001</v>
      </c>
      <c r="AN18" s="3">
        <v>22.773188000000001</v>
      </c>
      <c r="AO18" s="3">
        <v>23.552889</v>
      </c>
      <c r="AP18" s="3">
        <v>22.998405000000002</v>
      </c>
      <c r="AQ18" s="3">
        <v>23.632338000000001</v>
      </c>
      <c r="AR18" s="3">
        <v>23.998982999999999</v>
      </c>
      <c r="AS18" s="3">
        <v>24.644715999999999</v>
      </c>
      <c r="AT18" s="3">
        <v>23.556818</v>
      </c>
      <c r="AU18" s="3">
        <v>24.837425</v>
      </c>
      <c r="AV18" s="3">
        <v>24.109729999999999</v>
      </c>
      <c r="AW18" s="3">
        <v>25.007262999999998</v>
      </c>
      <c r="AX18" s="3">
        <v>22.819223000000001</v>
      </c>
      <c r="AY18" s="3">
        <v>24.469425000000001</v>
      </c>
      <c r="AZ18" s="3">
        <v>22.866465000000002</v>
      </c>
      <c r="BA18" s="3">
        <v>24.539331000000001</v>
      </c>
      <c r="BB18" s="3">
        <v>22.750890999999999</v>
      </c>
      <c r="BC18" s="3">
        <v>27.934238000000001</v>
      </c>
      <c r="BD18" s="3">
        <v>24.489018999999999</v>
      </c>
      <c r="BE18" s="3">
        <v>24.570727999999999</v>
      </c>
      <c r="BF18" s="3">
        <v>25.276302000000001</v>
      </c>
      <c r="BG18" s="3">
        <v>21.619710999999999</v>
      </c>
      <c r="BH18" s="3">
        <v>24.978936999999998</v>
      </c>
      <c r="BI18" s="3">
        <v>22.596620999999999</v>
      </c>
      <c r="BJ18" s="3">
        <v>24.001438</v>
      </c>
      <c r="BK18" s="3">
        <v>25.624054000000001</v>
      </c>
      <c r="BL18" s="3">
        <v>22.689990999999999</v>
      </c>
      <c r="BM18" s="3">
        <v>24.994591</v>
      </c>
      <c r="BN18" s="3">
        <v>23.106473999999999</v>
      </c>
      <c r="BO18" s="3">
        <v>24.292584999999999</v>
      </c>
      <c r="BP18" s="3">
        <v>23.179001</v>
      </c>
      <c r="BQ18" s="3">
        <v>25.761389000000001</v>
      </c>
      <c r="BR18" s="3">
        <v>23.850431</v>
      </c>
      <c r="BS18" s="3">
        <v>23.999479000000001</v>
      </c>
      <c r="BT18" s="3">
        <v>23.152961999999999</v>
      </c>
      <c r="BU18" s="3">
        <v>24.431495999999999</v>
      </c>
      <c r="BV18" s="3">
        <v>24.874289000000001</v>
      </c>
      <c r="BW18" s="3">
        <v>22.907667</v>
      </c>
      <c r="BX18" s="3">
        <v>24.273743</v>
      </c>
      <c r="BY18" s="3">
        <v>22.165274</v>
      </c>
      <c r="BZ18" s="3">
        <v>23.997071999999999</v>
      </c>
      <c r="CA18" s="3">
        <v>22.699863000000001</v>
      </c>
      <c r="CB18" s="3">
        <v>23.172658999999999</v>
      </c>
      <c r="CC18" s="3">
        <v>24.299332</v>
      </c>
      <c r="CD18" s="3">
        <v>24.916430999999999</v>
      </c>
      <c r="CE18" s="3">
        <v>26.712368000000001</v>
      </c>
      <c r="CF18" s="3">
        <v>22.264944</v>
      </c>
      <c r="CG18" s="3">
        <v>23.626743000000001</v>
      </c>
      <c r="CH18" s="3">
        <v>25.923300000000001</v>
      </c>
      <c r="CI18" s="3">
        <v>25.70974</v>
      </c>
      <c r="CJ18" s="3">
        <v>27.162779</v>
      </c>
      <c r="CK18" s="3">
        <v>24.773109000000002</v>
      </c>
      <c r="CL18" s="3">
        <v>24.492675999999999</v>
      </c>
      <c r="CM18" s="3">
        <v>25.940857000000001</v>
      </c>
      <c r="CN18" s="3">
        <v>25.929461</v>
      </c>
      <c r="CO18" s="3">
        <v>24.729780000000002</v>
      </c>
      <c r="CP18" s="3">
        <v>25.002096000000002</v>
      </c>
      <c r="CQ18" s="3">
        <v>26.4468</v>
      </c>
      <c r="CR18" s="3">
        <v>25.69651</v>
      </c>
      <c r="CS18" s="3">
        <v>25.917224999999998</v>
      </c>
      <c r="CT18" s="3">
        <v>25.934194999999999</v>
      </c>
      <c r="CU18" s="3">
        <v>29.205997</v>
      </c>
      <c r="CV18" s="3">
        <v>25.28257</v>
      </c>
      <c r="CW18" s="3">
        <v>25.177706000000001</v>
      </c>
      <c r="CX18" s="3">
        <v>25.379252999999999</v>
      </c>
      <c r="CY18" s="3">
        <v>25.778973000000001</v>
      </c>
      <c r="CZ18" s="3">
        <v>25.289277999999999</v>
      </c>
      <c r="DA18" s="3">
        <v>25.239087999999999</v>
      </c>
      <c r="DB18" s="3">
        <v>26.101472999999999</v>
      </c>
      <c r="DC18" s="3">
        <v>25.051956000000001</v>
      </c>
      <c r="DD18" s="3">
        <v>24.848312</v>
      </c>
      <c r="DE18" s="3">
        <v>26.443269999999998</v>
      </c>
      <c r="DF18" s="3">
        <v>24.323957</v>
      </c>
      <c r="DG18" s="3">
        <v>25.744592999999998</v>
      </c>
      <c r="DH18" s="3">
        <v>26.011423000000001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21.82496162</v>
      </c>
      <c r="H20" s="3">
        <f>MAX(M20:GJ20)</f>
        <v>25.320919</v>
      </c>
      <c r="I20" s="3">
        <f>MIN(M20:GJ20)</f>
        <v>11.469866</v>
      </c>
      <c r="J20" s="3">
        <f>_xlfn.STDEV.P(M20:GJ20)</f>
        <v>3.252098362126949</v>
      </c>
      <c r="K20" s="3">
        <f>_xlfn.VAR.S(M20:GJ20)</f>
        <v>10.682973491867479</v>
      </c>
      <c r="M20" s="3">
        <v>22.903314999999999</v>
      </c>
      <c r="N20" s="3">
        <v>24.235464</v>
      </c>
      <c r="O20" s="3">
        <v>21.447967999999999</v>
      </c>
      <c r="P20" s="3">
        <v>11.469866</v>
      </c>
      <c r="Q20" s="3">
        <v>21.375337999999999</v>
      </c>
      <c r="R20" s="3">
        <v>25.320919</v>
      </c>
      <c r="S20" s="3">
        <v>22.888179999999998</v>
      </c>
      <c r="T20" s="3">
        <v>17.070015000000001</v>
      </c>
      <c r="U20" s="3">
        <v>25.015072</v>
      </c>
      <c r="V20" s="3">
        <v>25.210293</v>
      </c>
      <c r="W20" s="3">
        <v>24.739653000000001</v>
      </c>
      <c r="X20" s="3">
        <v>24.429043</v>
      </c>
      <c r="Y20" s="3">
        <v>21.710319999999999</v>
      </c>
      <c r="Z20" s="3">
        <v>24.823308999999998</v>
      </c>
      <c r="AA20" s="3">
        <v>23.900283999999999</v>
      </c>
      <c r="AB20" s="3">
        <v>22.410591</v>
      </c>
      <c r="AC20" s="3">
        <v>16.634428</v>
      </c>
      <c r="AD20" s="3">
        <v>22.321933999999999</v>
      </c>
      <c r="AE20" s="3">
        <v>14.869312000000001</v>
      </c>
      <c r="AF20" s="3">
        <v>25.126408000000001</v>
      </c>
      <c r="AG20" s="3">
        <v>22.584257000000001</v>
      </c>
      <c r="AH20" s="3">
        <v>15.995329999999999</v>
      </c>
      <c r="AI20" s="3">
        <v>20.818709999999999</v>
      </c>
      <c r="AJ20" s="3">
        <v>22.578249</v>
      </c>
      <c r="AK20" s="3">
        <v>19.179731</v>
      </c>
      <c r="AL20" s="3">
        <v>23.411940000000001</v>
      </c>
      <c r="AM20" s="3">
        <v>24.812328000000001</v>
      </c>
      <c r="AN20" s="3">
        <v>20.353729000000001</v>
      </c>
      <c r="AO20" s="3">
        <v>16.692339</v>
      </c>
      <c r="AP20" s="3">
        <v>23.450188000000001</v>
      </c>
      <c r="AQ20" s="3">
        <v>24.674208</v>
      </c>
      <c r="AR20" s="3">
        <v>23.825541000000001</v>
      </c>
      <c r="AS20" s="3">
        <v>16.358992000000001</v>
      </c>
      <c r="AT20" s="3">
        <v>23.992495000000002</v>
      </c>
      <c r="AU20" s="3">
        <v>23.837199999999999</v>
      </c>
      <c r="AV20" s="3">
        <v>24.052987999999999</v>
      </c>
      <c r="AW20" s="3">
        <v>23.093980999999999</v>
      </c>
      <c r="AX20" s="3">
        <v>22.951022999999999</v>
      </c>
      <c r="AY20" s="3">
        <v>24.351476999999999</v>
      </c>
      <c r="AZ20" s="3">
        <v>25.316690000000001</v>
      </c>
      <c r="BA20" s="3">
        <v>23.296644000000001</v>
      </c>
      <c r="BB20" s="3">
        <v>19.798311000000002</v>
      </c>
      <c r="BC20" s="3">
        <v>23.076848999999999</v>
      </c>
      <c r="BD20" s="3">
        <v>12.376426</v>
      </c>
      <c r="BE20" s="3">
        <v>23.934511000000001</v>
      </c>
      <c r="BF20" s="3">
        <v>22.908546000000001</v>
      </c>
      <c r="BG20" s="3">
        <v>14.805861999999999</v>
      </c>
      <c r="BH20" s="3">
        <v>20.480103</v>
      </c>
      <c r="BI20" s="3">
        <v>24.518343000000002</v>
      </c>
      <c r="BJ20" s="3">
        <v>23.069582</v>
      </c>
      <c r="BK20" s="3">
        <v>23.489343999999999</v>
      </c>
      <c r="BL20" s="3">
        <v>25.102699000000001</v>
      </c>
      <c r="BM20" s="3">
        <v>20.889229</v>
      </c>
      <c r="BN20" s="3">
        <v>15.050485999999999</v>
      </c>
      <c r="BO20" s="3">
        <v>19.868849000000001</v>
      </c>
      <c r="BP20" s="3">
        <v>24.969206</v>
      </c>
      <c r="BQ20" s="3">
        <v>23.502274</v>
      </c>
      <c r="BR20" s="3">
        <v>17.935905000000002</v>
      </c>
      <c r="BS20" s="3">
        <v>23.806170000000002</v>
      </c>
      <c r="BT20" s="3">
        <v>24.982990000000001</v>
      </c>
      <c r="BU20" s="3">
        <v>23.977924000000002</v>
      </c>
      <c r="BV20" s="3">
        <v>23.413034</v>
      </c>
      <c r="BW20" s="3">
        <v>21.013012</v>
      </c>
      <c r="BX20" s="3">
        <v>23.469009</v>
      </c>
      <c r="BY20" s="3">
        <v>24.068428000000001</v>
      </c>
      <c r="BZ20" s="3">
        <v>21.848614000000001</v>
      </c>
      <c r="CA20" s="3">
        <v>17.259260000000001</v>
      </c>
      <c r="CB20" s="3">
        <v>23.011918999999999</v>
      </c>
      <c r="CC20" s="3">
        <v>16.465009999999999</v>
      </c>
      <c r="CD20" s="3">
        <v>22.915320999999999</v>
      </c>
      <c r="CE20" s="3">
        <v>23.058534999999999</v>
      </c>
      <c r="CF20" s="3">
        <v>16.155111000000002</v>
      </c>
      <c r="CG20" s="3">
        <v>24.826834000000002</v>
      </c>
      <c r="CH20" s="3">
        <v>20.463159999999998</v>
      </c>
      <c r="CI20" s="3">
        <v>23.671023999999999</v>
      </c>
      <c r="CJ20" s="3">
        <v>23.033259999999999</v>
      </c>
      <c r="CK20" s="3">
        <v>23.683691</v>
      </c>
      <c r="CL20" s="3">
        <v>19.939184000000001</v>
      </c>
      <c r="CM20" s="3">
        <v>13.195841</v>
      </c>
      <c r="CN20" s="3">
        <v>22.064935999999999</v>
      </c>
      <c r="CO20" s="3">
        <v>24.844298999999999</v>
      </c>
      <c r="CP20" s="3">
        <v>23.045542000000001</v>
      </c>
      <c r="CQ20" s="3">
        <v>14.364250999999999</v>
      </c>
      <c r="CR20" s="3">
        <v>22.999780999999999</v>
      </c>
      <c r="CS20" s="3">
        <v>24.673006000000001</v>
      </c>
      <c r="CT20" s="3">
        <v>24.401835999999999</v>
      </c>
      <c r="CU20" s="3">
        <v>23.083202</v>
      </c>
      <c r="CV20" s="3">
        <v>22.956157999999999</v>
      </c>
      <c r="CW20" s="3">
        <v>24.269134999999999</v>
      </c>
      <c r="CX20" s="3">
        <v>24.086224000000001</v>
      </c>
      <c r="CY20" s="3">
        <v>23.073174999999999</v>
      </c>
      <c r="CZ20" s="3">
        <v>19.454857000000001</v>
      </c>
      <c r="DA20" s="3">
        <v>24.315104999999999</v>
      </c>
      <c r="DB20" s="3">
        <v>19.041810999999999</v>
      </c>
      <c r="DC20" s="3">
        <v>24.959955000000001</v>
      </c>
      <c r="DD20" s="3">
        <v>22.716324</v>
      </c>
      <c r="DE20" s="3">
        <v>18.581935999999999</v>
      </c>
      <c r="DF20" s="3">
        <v>21.293789</v>
      </c>
      <c r="DG20" s="3">
        <v>22.907639</v>
      </c>
      <c r="DH20" s="3">
        <v>21.799593000000002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12.912476270000004</v>
      </c>
      <c r="H22" s="3">
        <f>MAX(M22:GJ22)</f>
        <v>22.661422999999999</v>
      </c>
      <c r="I22" s="3">
        <f>MIN(M22:GJ22)</f>
        <v>6.0208259999999996</v>
      </c>
      <c r="J22" s="3">
        <f>_xlfn.STDEV.P(M22:GJ22)</f>
        <v>3.95879809704924</v>
      </c>
      <c r="K22" s="3">
        <f>_xlfn.VAR.S(M22:GJ22)</f>
        <v>15.830386235556245</v>
      </c>
      <c r="M22" s="3">
        <v>17.776790999999999</v>
      </c>
      <c r="N22" s="3">
        <v>9.5761289999999999</v>
      </c>
      <c r="O22" s="3">
        <v>11.180514000000001</v>
      </c>
      <c r="P22" s="3">
        <v>15.159727999999999</v>
      </c>
      <c r="Q22" s="3">
        <v>10.955258000000001</v>
      </c>
      <c r="R22" s="3">
        <v>11.750890999999999</v>
      </c>
      <c r="S22" s="3">
        <v>17.661473999999998</v>
      </c>
      <c r="T22" s="3">
        <v>8.7035710000000002</v>
      </c>
      <c r="U22" s="3">
        <v>12.706837999999999</v>
      </c>
      <c r="V22" s="3">
        <v>14.661962000000001</v>
      </c>
      <c r="W22" s="3">
        <v>18.839272000000001</v>
      </c>
      <c r="X22" s="3">
        <v>17.854433</v>
      </c>
      <c r="Y22" s="3">
        <v>13.106761000000001</v>
      </c>
      <c r="Z22" s="3">
        <v>12.987672</v>
      </c>
      <c r="AA22" s="3">
        <v>21.807811999999998</v>
      </c>
      <c r="AB22" s="3">
        <v>16.239650999999999</v>
      </c>
      <c r="AC22" s="3">
        <v>13.036911999999999</v>
      </c>
      <c r="AD22" s="3">
        <v>10.157419000000001</v>
      </c>
      <c r="AE22" s="3">
        <v>9.4510349999999992</v>
      </c>
      <c r="AF22" s="3">
        <v>9.9483350000000002</v>
      </c>
      <c r="AG22" s="3">
        <v>7.0177449999999997</v>
      </c>
      <c r="AH22" s="3">
        <v>21.807119</v>
      </c>
      <c r="AI22" s="3">
        <v>9.8244140000000009</v>
      </c>
      <c r="AJ22" s="3">
        <v>7.771096</v>
      </c>
      <c r="AK22" s="3">
        <v>8.6125640000000008</v>
      </c>
      <c r="AL22" s="3">
        <v>12.115966</v>
      </c>
      <c r="AM22" s="3">
        <v>10.088020999999999</v>
      </c>
      <c r="AN22" s="3">
        <v>12.022736999999999</v>
      </c>
      <c r="AO22" s="3">
        <v>15.01708</v>
      </c>
      <c r="AP22" s="3">
        <v>16.831510999999999</v>
      </c>
      <c r="AQ22" s="3">
        <v>15.375126</v>
      </c>
      <c r="AR22" s="3">
        <v>18.347017000000001</v>
      </c>
      <c r="AS22" s="3">
        <v>9.1380940000000006</v>
      </c>
      <c r="AT22" s="3">
        <v>10.613096000000001</v>
      </c>
      <c r="AU22" s="3">
        <v>12.009746</v>
      </c>
      <c r="AV22" s="3">
        <v>11.828777000000001</v>
      </c>
      <c r="AW22" s="3">
        <v>15.848991</v>
      </c>
      <c r="AX22" s="3">
        <v>15.746715999999999</v>
      </c>
      <c r="AY22" s="3">
        <v>22.661422999999999</v>
      </c>
      <c r="AZ22" s="3">
        <v>16.752766000000001</v>
      </c>
      <c r="BA22" s="3">
        <v>12.389080999999999</v>
      </c>
      <c r="BB22" s="3">
        <v>10.885344</v>
      </c>
      <c r="BC22" s="3">
        <v>9.201352</v>
      </c>
      <c r="BD22" s="3">
        <v>11.12424</v>
      </c>
      <c r="BE22" s="3">
        <v>13.047769000000001</v>
      </c>
      <c r="BF22" s="3">
        <v>6.0208259999999996</v>
      </c>
      <c r="BG22" s="3">
        <v>21.530560000000001</v>
      </c>
      <c r="BH22" s="3">
        <v>9.5818200000000004</v>
      </c>
      <c r="BI22" s="3">
        <v>8.1132570000000008</v>
      </c>
      <c r="BJ22" s="3">
        <v>12.50259</v>
      </c>
      <c r="BK22" s="3">
        <v>15.408657</v>
      </c>
      <c r="BL22" s="3">
        <v>8.7217570000000002</v>
      </c>
      <c r="BM22" s="3">
        <v>8.3011269999999993</v>
      </c>
      <c r="BN22" s="3">
        <v>16.551093999999999</v>
      </c>
      <c r="BO22" s="3">
        <v>13.838791000000001</v>
      </c>
      <c r="BP22" s="3">
        <v>13.610206</v>
      </c>
      <c r="BQ22" s="3">
        <v>13.211986</v>
      </c>
      <c r="BR22" s="3">
        <v>9.7927389999999992</v>
      </c>
      <c r="BS22" s="3">
        <v>13.596005</v>
      </c>
      <c r="BT22" s="3">
        <v>16.844425000000001</v>
      </c>
      <c r="BU22" s="3">
        <v>13.327965000000001</v>
      </c>
      <c r="BV22" s="3">
        <v>13.037865</v>
      </c>
      <c r="BW22" s="3">
        <v>11.934618</v>
      </c>
      <c r="BX22" s="3">
        <v>15.792674</v>
      </c>
      <c r="BY22" s="3">
        <v>16.135999999999999</v>
      </c>
      <c r="BZ22" s="3">
        <v>12.966739</v>
      </c>
      <c r="CA22" s="3">
        <v>10.580118000000001</v>
      </c>
      <c r="CB22" s="3">
        <v>8.1385649999999998</v>
      </c>
      <c r="CC22" s="3">
        <v>12.447329999999999</v>
      </c>
      <c r="CD22" s="3">
        <v>10.440372999999999</v>
      </c>
      <c r="CE22" s="3">
        <v>7.84476</v>
      </c>
      <c r="CF22" s="3">
        <v>15.625775000000001</v>
      </c>
      <c r="CG22" s="3">
        <v>9.7847159999999995</v>
      </c>
      <c r="CH22" s="3">
        <v>8.0399519999999995</v>
      </c>
      <c r="CI22" s="3">
        <v>10.441050000000001</v>
      </c>
      <c r="CJ22" s="3">
        <v>18.853611000000001</v>
      </c>
      <c r="CK22" s="3">
        <v>10.726437000000001</v>
      </c>
      <c r="CL22" s="3">
        <v>7.315728</v>
      </c>
      <c r="CM22" s="3">
        <v>21.954325000000001</v>
      </c>
      <c r="CN22" s="3">
        <v>13.676579</v>
      </c>
      <c r="CO22" s="3">
        <v>6.9633700000000003</v>
      </c>
      <c r="CP22" s="3">
        <v>10.20917</v>
      </c>
      <c r="CQ22" s="3">
        <v>11.091167</v>
      </c>
      <c r="CR22" s="3">
        <v>13.774929</v>
      </c>
      <c r="CS22" s="3">
        <v>11.858864000000001</v>
      </c>
      <c r="CT22" s="3">
        <v>21.468121</v>
      </c>
      <c r="CU22" s="3">
        <v>8.9678059999999995</v>
      </c>
      <c r="CV22" s="3">
        <v>8.5844330000000006</v>
      </c>
      <c r="CW22" s="3">
        <v>12.781276</v>
      </c>
      <c r="CX22" s="3">
        <v>9.0899830000000001</v>
      </c>
      <c r="CY22" s="3">
        <v>21.59215</v>
      </c>
      <c r="CZ22" s="3">
        <v>9.0087299999999999</v>
      </c>
      <c r="DA22" s="3">
        <v>19.293303000000002</v>
      </c>
      <c r="DB22" s="3">
        <v>11.357220999999999</v>
      </c>
      <c r="DC22" s="3">
        <v>15.991721</v>
      </c>
      <c r="DD22" s="3">
        <v>9.1079260000000009</v>
      </c>
      <c r="DE22" s="3">
        <v>19.170373999999999</v>
      </c>
      <c r="DF22" s="3">
        <v>11.363794</v>
      </c>
      <c r="DG22" s="3">
        <v>12.061377999999999</v>
      </c>
      <c r="DH22" s="3">
        <v>11.180642000000001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4" spans="2:207" x14ac:dyDescent="0.2">
      <c r="D24" s="1"/>
    </row>
    <row r="25" spans="2:207" x14ac:dyDescent="0.2">
      <c r="B25" t="s">
        <v>59</v>
      </c>
      <c r="D25" s="1" t="s">
        <v>24</v>
      </c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26.259134130000007</v>
      </c>
      <c r="H26" s="3">
        <f>MAX(M26:GJ26)</f>
        <v>28.989456000000001</v>
      </c>
      <c r="I26" s="3">
        <f>MIN(M26:GJ26)</f>
        <v>23.620956</v>
      </c>
      <c r="J26" s="3">
        <f>_xlfn.STDEV.P(M26:GJ26)</f>
        <v>0.95465315884738589</v>
      </c>
      <c r="K26" s="3">
        <f>_xlfn.VAR.S(M26:GJ26)</f>
        <v>0.92056833706797192</v>
      </c>
      <c r="M26" s="3">
        <v>27.110686999999999</v>
      </c>
      <c r="N26" s="3">
        <v>27.322538000000002</v>
      </c>
      <c r="O26" s="3">
        <v>25.866558000000001</v>
      </c>
      <c r="P26" s="3">
        <v>27.053474000000001</v>
      </c>
      <c r="Q26" s="3">
        <v>24.058657</v>
      </c>
      <c r="R26" s="3">
        <v>27.658756</v>
      </c>
      <c r="S26" s="3">
        <v>25.945498000000001</v>
      </c>
      <c r="T26" s="3">
        <v>27.015274000000002</v>
      </c>
      <c r="U26" s="3">
        <v>25.472850999999999</v>
      </c>
      <c r="V26" s="3">
        <v>25.831817999999998</v>
      </c>
      <c r="W26" s="3">
        <v>26.052675000000001</v>
      </c>
      <c r="X26" s="3">
        <v>25.430613000000001</v>
      </c>
      <c r="Y26" s="3">
        <v>25.938949999999998</v>
      </c>
      <c r="Z26" s="3">
        <v>25.683299999999999</v>
      </c>
      <c r="AA26" s="3">
        <v>26.022842000000001</v>
      </c>
      <c r="AB26" s="3">
        <v>24.357403000000001</v>
      </c>
      <c r="AC26" s="3">
        <v>24.268082</v>
      </c>
      <c r="AD26" s="3">
        <v>26.017199999999999</v>
      </c>
      <c r="AE26" s="3">
        <v>26.377988999999999</v>
      </c>
      <c r="AF26" s="3">
        <v>25.651342</v>
      </c>
      <c r="AG26" s="3">
        <v>26.351717000000001</v>
      </c>
      <c r="AH26" s="3">
        <v>26.171011</v>
      </c>
      <c r="AI26" s="3">
        <v>25.352578999999999</v>
      </c>
      <c r="AJ26" s="3">
        <v>26.100168</v>
      </c>
      <c r="AK26" s="3">
        <v>24.529734000000001</v>
      </c>
      <c r="AL26" s="3">
        <v>26.915621000000002</v>
      </c>
      <c r="AM26" s="3">
        <v>25.541139999999999</v>
      </c>
      <c r="AN26" s="3">
        <v>26.375830000000001</v>
      </c>
      <c r="AO26" s="3">
        <v>27.695623000000001</v>
      </c>
      <c r="AP26" s="3">
        <v>25.582457000000002</v>
      </c>
      <c r="AQ26" s="3">
        <v>26.433119000000001</v>
      </c>
      <c r="AR26" s="3">
        <v>26.331026000000001</v>
      </c>
      <c r="AS26" s="3">
        <v>25.954567000000001</v>
      </c>
      <c r="AT26" s="3">
        <v>26.432017999999999</v>
      </c>
      <c r="AU26" s="3">
        <v>25.337297</v>
      </c>
      <c r="AV26" s="3">
        <v>25.277259999999998</v>
      </c>
      <c r="AW26" s="3">
        <v>26.108066999999998</v>
      </c>
      <c r="AX26" s="3">
        <v>26.655539000000001</v>
      </c>
      <c r="AY26" s="3">
        <v>28.635876</v>
      </c>
      <c r="AZ26" s="3">
        <v>27.159217999999999</v>
      </c>
      <c r="BA26" s="3">
        <v>23.620956</v>
      </c>
      <c r="BB26" s="3">
        <v>28.643818</v>
      </c>
      <c r="BC26" s="3">
        <v>26.511171000000001</v>
      </c>
      <c r="BD26" s="3">
        <v>28.989456000000001</v>
      </c>
      <c r="BE26" s="3">
        <v>25.595414999999999</v>
      </c>
      <c r="BF26" s="3">
        <v>27.202255000000001</v>
      </c>
      <c r="BG26" s="3">
        <v>25.941191</v>
      </c>
      <c r="BH26" s="3">
        <v>27.767225</v>
      </c>
      <c r="BI26" s="3">
        <v>26.819642999999999</v>
      </c>
      <c r="BJ26" s="3">
        <v>26.470172999999999</v>
      </c>
      <c r="BK26" s="3">
        <v>25.658868999999999</v>
      </c>
      <c r="BL26" s="3">
        <v>26.920207999999999</v>
      </c>
      <c r="BM26" s="3">
        <v>25.147729999999999</v>
      </c>
      <c r="BN26" s="3">
        <v>27.914636999999999</v>
      </c>
      <c r="BO26" s="3">
        <v>26.062746000000001</v>
      </c>
      <c r="BP26" s="3">
        <v>25.834855999999998</v>
      </c>
      <c r="BQ26" s="3">
        <v>27.983388999999999</v>
      </c>
      <c r="BR26" s="3">
        <v>26.350363000000002</v>
      </c>
      <c r="BS26" s="3">
        <v>27.339493000000001</v>
      </c>
      <c r="BT26" s="3">
        <v>26.028078000000001</v>
      </c>
      <c r="BU26" s="3">
        <v>26.220092999999999</v>
      </c>
      <c r="BV26" s="3">
        <v>25.449062000000001</v>
      </c>
      <c r="BW26" s="3">
        <v>24.690684999999998</v>
      </c>
      <c r="BX26" s="3">
        <v>26.020927</v>
      </c>
      <c r="BY26" s="3">
        <v>26.097781999999999</v>
      </c>
      <c r="BZ26" s="3">
        <v>26.716971999999998</v>
      </c>
      <c r="CA26" s="3">
        <v>26.537672000000001</v>
      </c>
      <c r="CB26" s="3">
        <v>26.640630999999999</v>
      </c>
      <c r="CC26" s="3">
        <v>25.363275999999999</v>
      </c>
      <c r="CD26" s="3">
        <v>25.986415999999998</v>
      </c>
      <c r="CE26" s="3">
        <v>25.791508</v>
      </c>
      <c r="CF26" s="3">
        <v>25.687954000000001</v>
      </c>
      <c r="CG26" s="3">
        <v>26.518442</v>
      </c>
      <c r="CH26" s="3">
        <v>27.878788</v>
      </c>
      <c r="CI26" s="3">
        <v>27.95599</v>
      </c>
      <c r="CJ26" s="3">
        <v>26.128708</v>
      </c>
      <c r="CK26" s="3">
        <v>26.742214000000001</v>
      </c>
      <c r="CL26" s="3">
        <v>26.574622999999999</v>
      </c>
      <c r="CM26" s="3">
        <v>25.639713</v>
      </c>
      <c r="CN26" s="3">
        <v>25.990219</v>
      </c>
      <c r="CO26" s="3">
        <v>25.505917</v>
      </c>
      <c r="CP26" s="3">
        <v>25.762974</v>
      </c>
      <c r="CQ26" s="3">
        <v>26.944320999999999</v>
      </c>
      <c r="CR26" s="3">
        <v>25.805595</v>
      </c>
      <c r="CS26" s="3">
        <v>27.210253000000002</v>
      </c>
      <c r="CT26" s="3">
        <v>26.779516000000001</v>
      </c>
      <c r="CU26" s="3">
        <v>25.458442999999999</v>
      </c>
      <c r="CV26" s="3">
        <v>25.231386000000001</v>
      </c>
      <c r="CW26" s="3">
        <v>25.770537999999998</v>
      </c>
      <c r="CX26" s="3">
        <v>26.007565</v>
      </c>
      <c r="CY26" s="3">
        <v>27.616613000000001</v>
      </c>
      <c r="CZ26" s="3">
        <v>25.707063999999999</v>
      </c>
      <c r="DA26" s="3">
        <v>26.040386000000002</v>
      </c>
      <c r="DB26" s="3">
        <v>25.949921</v>
      </c>
      <c r="DC26" s="3">
        <v>26.270223999999999</v>
      </c>
      <c r="DD26" s="3">
        <v>27.960681999999998</v>
      </c>
      <c r="DE26" s="3">
        <v>25.931932</v>
      </c>
      <c r="DF26" s="3">
        <v>26.232631999999999</v>
      </c>
      <c r="DG26" s="3">
        <v>25.810503000000001</v>
      </c>
      <c r="DH26" s="3">
        <v>26.407226999999999</v>
      </c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28.902545140000012</v>
      </c>
      <c r="H28" s="3">
        <f>MAX(M28:GJ28)</f>
        <v>34.830261</v>
      </c>
      <c r="I28" s="3">
        <f>MIN(M28:GJ28)</f>
        <v>23.242291999999999</v>
      </c>
      <c r="J28" s="3">
        <f>_xlfn.STDEV.P(M28:GJ28)</f>
        <v>2.2789548342154697</v>
      </c>
      <c r="K28" s="3">
        <f>_xlfn.VAR.S(M28:GJ28)</f>
        <v>5.2460960973677366</v>
      </c>
      <c r="M28" s="3">
        <v>30.952052999999999</v>
      </c>
      <c r="N28" s="3">
        <v>32.343822000000003</v>
      </c>
      <c r="O28" s="3">
        <v>27.079453000000001</v>
      </c>
      <c r="P28" s="3">
        <v>32.341614</v>
      </c>
      <c r="Q28" s="3">
        <v>25.115791000000002</v>
      </c>
      <c r="R28" s="3">
        <v>29.380882</v>
      </c>
      <c r="S28" s="3">
        <v>27.879337</v>
      </c>
      <c r="T28" s="3">
        <v>26.533026</v>
      </c>
      <c r="U28" s="3">
        <v>27.759578999999999</v>
      </c>
      <c r="V28" s="3">
        <v>26.161545</v>
      </c>
      <c r="W28" s="3">
        <v>27.786719999999999</v>
      </c>
      <c r="X28" s="3">
        <v>29.134886000000002</v>
      </c>
      <c r="Y28" s="3">
        <v>28.012360000000001</v>
      </c>
      <c r="Z28" s="3">
        <v>33.475037</v>
      </c>
      <c r="AA28" s="3">
        <v>30.714082999999999</v>
      </c>
      <c r="AB28" s="3">
        <v>29.738824999999999</v>
      </c>
      <c r="AC28" s="3">
        <v>26.085488999999999</v>
      </c>
      <c r="AD28" s="3">
        <v>30.467863000000001</v>
      </c>
      <c r="AE28" s="3">
        <v>31.764078000000001</v>
      </c>
      <c r="AF28" s="3">
        <v>29.072154999999999</v>
      </c>
      <c r="AG28" s="3">
        <v>32.012394</v>
      </c>
      <c r="AH28" s="3">
        <v>30.615065000000001</v>
      </c>
      <c r="AI28" s="3">
        <v>26.477775999999999</v>
      </c>
      <c r="AJ28" s="3">
        <v>32.725906000000002</v>
      </c>
      <c r="AK28" s="3">
        <v>33.622230999999999</v>
      </c>
      <c r="AL28" s="3">
        <v>27.934483</v>
      </c>
      <c r="AM28" s="3">
        <v>29.622871</v>
      </c>
      <c r="AN28" s="3">
        <v>27.398298</v>
      </c>
      <c r="AO28" s="3">
        <v>28.985303999999999</v>
      </c>
      <c r="AP28" s="3">
        <v>27.249065000000002</v>
      </c>
      <c r="AQ28" s="3">
        <v>27.594925</v>
      </c>
      <c r="AR28" s="3">
        <v>27.567084999999999</v>
      </c>
      <c r="AS28" s="3">
        <v>29.098628999999999</v>
      </c>
      <c r="AT28" s="3">
        <v>30.641459000000001</v>
      </c>
      <c r="AU28" s="3">
        <v>32.799056999999998</v>
      </c>
      <c r="AV28" s="3">
        <v>29.356607</v>
      </c>
      <c r="AW28" s="3">
        <v>28.159050000000001</v>
      </c>
      <c r="AX28" s="3">
        <v>26.015615</v>
      </c>
      <c r="AY28" s="3">
        <v>28.177689000000001</v>
      </c>
      <c r="AZ28" s="3">
        <v>28.119076</v>
      </c>
      <c r="BA28" s="3">
        <v>31.261122</v>
      </c>
      <c r="BB28" s="3">
        <v>27.195599000000001</v>
      </c>
      <c r="BC28" s="3">
        <v>29.021460999999999</v>
      </c>
      <c r="BD28" s="3">
        <v>32.056545</v>
      </c>
      <c r="BE28" s="3">
        <v>29.434882999999999</v>
      </c>
      <c r="BF28" s="3">
        <v>31.400113999999999</v>
      </c>
      <c r="BG28" s="3">
        <v>27.902649</v>
      </c>
      <c r="BH28" s="3">
        <v>28.404978</v>
      </c>
      <c r="BI28" s="3">
        <v>28.696391999999999</v>
      </c>
      <c r="BJ28" s="3">
        <v>28.514225</v>
      </c>
      <c r="BK28" s="3">
        <v>28.507814</v>
      </c>
      <c r="BL28" s="3">
        <v>30.370018000000002</v>
      </c>
      <c r="BM28" s="3">
        <v>28.500036000000001</v>
      </c>
      <c r="BN28" s="3">
        <v>28.551583999999998</v>
      </c>
      <c r="BO28" s="3">
        <v>28.936399000000002</v>
      </c>
      <c r="BP28" s="3">
        <v>27.472631</v>
      </c>
      <c r="BQ28" s="3">
        <v>31.444541999999998</v>
      </c>
      <c r="BR28" s="3">
        <v>29.014472999999999</v>
      </c>
      <c r="BS28" s="3">
        <v>26.160957</v>
      </c>
      <c r="BT28" s="3">
        <v>29.019945</v>
      </c>
      <c r="BU28" s="3">
        <v>31.560692</v>
      </c>
      <c r="BV28" s="3">
        <v>31.484158000000001</v>
      </c>
      <c r="BW28" s="3">
        <v>24.146854000000001</v>
      </c>
      <c r="BX28" s="3">
        <v>30.202483999999998</v>
      </c>
      <c r="BY28" s="3">
        <v>29.954021000000001</v>
      </c>
      <c r="BZ28" s="3">
        <v>27.743262999999999</v>
      </c>
      <c r="CA28" s="3">
        <v>29.557724</v>
      </c>
      <c r="CB28" s="3">
        <v>27.100999999999999</v>
      </c>
      <c r="CC28" s="3">
        <v>34.093235</v>
      </c>
      <c r="CD28" s="3">
        <v>29.835834999999999</v>
      </c>
      <c r="CE28" s="3">
        <v>31.198125999999998</v>
      </c>
      <c r="CF28" s="3">
        <v>31.702728</v>
      </c>
      <c r="CG28" s="3">
        <v>34.830261</v>
      </c>
      <c r="CH28" s="3">
        <v>28.103214000000001</v>
      </c>
      <c r="CI28" s="3">
        <v>30.222363000000001</v>
      </c>
      <c r="CJ28" s="3">
        <v>28.207726000000001</v>
      </c>
      <c r="CK28" s="3">
        <v>27.639313000000001</v>
      </c>
      <c r="CL28" s="3">
        <v>28.582056000000001</v>
      </c>
      <c r="CM28" s="3">
        <v>26.121832000000001</v>
      </c>
      <c r="CN28" s="3">
        <v>25.779357999999998</v>
      </c>
      <c r="CO28" s="3">
        <v>28.793697000000002</v>
      </c>
      <c r="CP28" s="3">
        <v>23.242291999999999</v>
      </c>
      <c r="CQ28" s="3">
        <v>24.636831000000001</v>
      </c>
      <c r="CR28" s="3">
        <v>26.196770000000001</v>
      </c>
      <c r="CS28" s="3">
        <v>30.203211</v>
      </c>
      <c r="CT28" s="3">
        <v>31.933947</v>
      </c>
      <c r="CU28" s="3">
        <v>25.373735</v>
      </c>
      <c r="CV28" s="3">
        <v>30.120749</v>
      </c>
      <c r="CW28" s="3">
        <v>29.034915999999999</v>
      </c>
      <c r="CX28" s="3">
        <v>26.599207</v>
      </c>
      <c r="CY28" s="3">
        <v>28.215767</v>
      </c>
      <c r="CZ28" s="3">
        <v>28.893954999999998</v>
      </c>
      <c r="DA28" s="3">
        <v>26.052631000000002</v>
      </c>
      <c r="DB28" s="3">
        <v>27.604343</v>
      </c>
      <c r="DC28" s="3">
        <v>30.213215000000002</v>
      </c>
      <c r="DD28" s="3">
        <v>26.984047</v>
      </c>
      <c r="DE28" s="3">
        <v>31.285233000000002</v>
      </c>
      <c r="DF28" s="3">
        <v>26.202887</v>
      </c>
      <c r="DG28" s="3">
        <v>27.465758999999998</v>
      </c>
      <c r="DH28" s="3">
        <v>25.297529000000001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31.129400180000008</v>
      </c>
      <c r="H30" s="3">
        <f>MAX(M30:GJ30)</f>
        <v>36.704383999999997</v>
      </c>
      <c r="I30" s="3">
        <f>MIN(M30:GJ30)</f>
        <v>27.550325000000001</v>
      </c>
      <c r="J30" s="3">
        <f>_xlfn.STDEV.P(M30:GJ30)</f>
        <v>1.8636398789168331</v>
      </c>
      <c r="K30" s="3">
        <f>_xlfn.VAR.S(M30:GJ30)</f>
        <v>3.5082359578678268</v>
      </c>
      <c r="M30" s="3">
        <v>31.527311000000001</v>
      </c>
      <c r="N30" s="3">
        <v>31.823725</v>
      </c>
      <c r="O30" s="3">
        <v>31.880272000000001</v>
      </c>
      <c r="P30" s="3">
        <v>34.617432000000001</v>
      </c>
      <c r="Q30" s="3">
        <v>31.175892000000001</v>
      </c>
      <c r="R30" s="3">
        <v>31.349861000000001</v>
      </c>
      <c r="S30" s="3">
        <v>34.138260000000002</v>
      </c>
      <c r="T30" s="3">
        <v>34.135384000000002</v>
      </c>
      <c r="U30" s="3">
        <v>35.980857999999998</v>
      </c>
      <c r="V30" s="3">
        <v>32.895888999999997</v>
      </c>
      <c r="W30" s="3">
        <v>31.332359</v>
      </c>
      <c r="X30" s="3">
        <v>35.394309999999997</v>
      </c>
      <c r="Y30" s="3">
        <v>30.385587999999998</v>
      </c>
      <c r="Z30" s="3">
        <v>34.798084000000003</v>
      </c>
      <c r="AA30" s="3">
        <v>32.601475000000001</v>
      </c>
      <c r="AB30" s="3">
        <v>31.837954</v>
      </c>
      <c r="AC30" s="3">
        <v>31.290147999999999</v>
      </c>
      <c r="AD30" s="3">
        <v>33.466576000000003</v>
      </c>
      <c r="AE30" s="3">
        <v>32.211945</v>
      </c>
      <c r="AF30" s="3">
        <v>33.375979999999998</v>
      </c>
      <c r="AG30" s="3">
        <v>32.397841999999997</v>
      </c>
      <c r="AH30" s="3">
        <v>31.904806000000001</v>
      </c>
      <c r="AI30" s="3">
        <v>32.945701999999997</v>
      </c>
      <c r="AJ30" s="3">
        <v>31.271936</v>
      </c>
      <c r="AK30" s="3">
        <v>32.893089000000003</v>
      </c>
      <c r="AL30" s="3">
        <v>29.571009</v>
      </c>
      <c r="AM30" s="3">
        <v>30.314796000000001</v>
      </c>
      <c r="AN30" s="3">
        <v>30.29842</v>
      </c>
      <c r="AO30" s="3">
        <v>29.405874000000001</v>
      </c>
      <c r="AP30" s="3">
        <v>29.707225999999999</v>
      </c>
      <c r="AQ30" s="3">
        <v>28.681757000000001</v>
      </c>
      <c r="AR30" s="3">
        <v>30.821117000000001</v>
      </c>
      <c r="AS30" s="3">
        <v>30.075358999999999</v>
      </c>
      <c r="AT30" s="3">
        <v>28.193840000000002</v>
      </c>
      <c r="AU30" s="3">
        <v>31.939177999999998</v>
      </c>
      <c r="AV30" s="3">
        <v>30.793875</v>
      </c>
      <c r="AW30" s="3">
        <v>31.686609000000001</v>
      </c>
      <c r="AX30" s="3">
        <v>29.799664</v>
      </c>
      <c r="AY30" s="3">
        <v>30.990791000000002</v>
      </c>
      <c r="AZ30" s="3">
        <v>30.019069999999999</v>
      </c>
      <c r="BA30" s="3">
        <v>29.873491000000001</v>
      </c>
      <c r="BB30" s="3">
        <v>28.748889999999999</v>
      </c>
      <c r="BC30" s="3">
        <v>33.000960999999997</v>
      </c>
      <c r="BD30" s="3">
        <v>28.622409999999999</v>
      </c>
      <c r="BE30" s="3">
        <v>30.113295000000001</v>
      </c>
      <c r="BF30" s="3">
        <v>30.086656999999999</v>
      </c>
      <c r="BG30" s="3">
        <v>29.089220000000001</v>
      </c>
      <c r="BH30" s="3">
        <v>30.725849</v>
      </c>
      <c r="BI30" s="3">
        <v>27.703316000000001</v>
      </c>
      <c r="BJ30" s="3">
        <v>29.616606000000001</v>
      </c>
      <c r="BK30" s="3">
        <v>28.450945000000001</v>
      </c>
      <c r="BL30" s="3">
        <v>29.338999000000001</v>
      </c>
      <c r="BM30" s="3">
        <v>29.245981</v>
      </c>
      <c r="BN30" s="3">
        <v>29.734116</v>
      </c>
      <c r="BO30" s="3">
        <v>29.470832999999999</v>
      </c>
      <c r="BP30" s="3">
        <v>28.661954999999999</v>
      </c>
      <c r="BQ30" s="3">
        <v>30.799208</v>
      </c>
      <c r="BR30" s="3">
        <v>28.149632</v>
      </c>
      <c r="BS30" s="3">
        <v>29.446155999999998</v>
      </c>
      <c r="BT30" s="3">
        <v>29.004750999999999</v>
      </c>
      <c r="BU30" s="3">
        <v>30.305723</v>
      </c>
      <c r="BV30" s="3">
        <v>28.314007</v>
      </c>
      <c r="BW30" s="3">
        <v>28.639209999999999</v>
      </c>
      <c r="BX30" s="3">
        <v>31.616576999999999</v>
      </c>
      <c r="BY30" s="3">
        <v>29.804396000000001</v>
      </c>
      <c r="BZ30" s="3">
        <v>29.360458000000001</v>
      </c>
      <c r="CA30" s="3">
        <v>27.550325000000001</v>
      </c>
      <c r="CB30" s="3">
        <v>29.878035000000001</v>
      </c>
      <c r="CC30" s="3">
        <v>29.774740000000001</v>
      </c>
      <c r="CD30" s="3">
        <v>29.672079</v>
      </c>
      <c r="CE30" s="3">
        <v>30.044333999999999</v>
      </c>
      <c r="CF30" s="3">
        <v>29.354099000000001</v>
      </c>
      <c r="CG30" s="3">
        <v>30.333649000000001</v>
      </c>
      <c r="CH30" s="3">
        <v>31.058160999999998</v>
      </c>
      <c r="CI30" s="3">
        <v>31.314423000000001</v>
      </c>
      <c r="CJ30" s="3">
        <v>32.839523</v>
      </c>
      <c r="CK30" s="3">
        <v>30.988716</v>
      </c>
      <c r="CL30" s="3">
        <v>31.401806000000001</v>
      </c>
      <c r="CM30" s="3">
        <v>33.995331</v>
      </c>
      <c r="CN30" s="3">
        <v>33.853844000000002</v>
      </c>
      <c r="CO30" s="3">
        <v>30.340247999999999</v>
      </c>
      <c r="CP30" s="3">
        <v>32.335926000000001</v>
      </c>
      <c r="CQ30" s="3">
        <v>33.285499999999999</v>
      </c>
      <c r="CR30" s="3">
        <v>30.9559</v>
      </c>
      <c r="CS30" s="3">
        <v>32.368828000000001</v>
      </c>
      <c r="CT30" s="3">
        <v>32.483730000000001</v>
      </c>
      <c r="CU30" s="3">
        <v>36.704383999999997</v>
      </c>
      <c r="CV30" s="3">
        <v>31.057182000000001</v>
      </c>
      <c r="CW30" s="3">
        <v>34.589962</v>
      </c>
      <c r="CX30" s="3">
        <v>31.944203999999999</v>
      </c>
      <c r="CY30" s="3">
        <v>32.385052000000002</v>
      </c>
      <c r="CZ30" s="3">
        <v>30.709419</v>
      </c>
      <c r="DA30" s="3">
        <v>33.038527999999999</v>
      </c>
      <c r="DB30" s="3">
        <v>32.22784</v>
      </c>
      <c r="DC30" s="3">
        <v>30.361404</v>
      </c>
      <c r="DD30" s="3">
        <v>31.671333000000001</v>
      </c>
      <c r="DE30" s="3">
        <v>32.949162000000001</v>
      </c>
      <c r="DF30" s="3">
        <v>31.209578</v>
      </c>
      <c r="DG30" s="3">
        <v>31.033132999999999</v>
      </c>
      <c r="DH30" s="3">
        <v>31.374735000000001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22.487476190000006</v>
      </c>
      <c r="H32" s="3">
        <f>MAX(M32:GJ32)</f>
        <v>26.437325000000001</v>
      </c>
      <c r="I32" s="3">
        <f>MIN(M32:GJ32)</f>
        <v>19.344994</v>
      </c>
      <c r="J32" s="3">
        <f>_xlfn.STDEV.P(M32:GJ32)</f>
        <v>1.5865647435376198</v>
      </c>
      <c r="K32" s="3">
        <f>_xlfn.VAR.S(M32:GJ32)</f>
        <v>2.5426138236733271</v>
      </c>
      <c r="M32" s="3">
        <v>25.191875</v>
      </c>
      <c r="N32" s="3">
        <v>21.626383000000001</v>
      </c>
      <c r="O32" s="3">
        <v>23.176216</v>
      </c>
      <c r="P32" s="3">
        <v>23.094009</v>
      </c>
      <c r="Q32" s="3">
        <v>21.350306</v>
      </c>
      <c r="R32" s="3">
        <v>23.141196999999998</v>
      </c>
      <c r="S32" s="3">
        <v>24.585889999999999</v>
      </c>
      <c r="T32" s="3">
        <v>25.452749000000001</v>
      </c>
      <c r="U32" s="3">
        <v>22.964984999999999</v>
      </c>
      <c r="V32" s="3">
        <v>22.804302</v>
      </c>
      <c r="W32" s="3">
        <v>26.437325000000001</v>
      </c>
      <c r="X32" s="3">
        <v>23.208317000000001</v>
      </c>
      <c r="Y32" s="3">
        <v>20.421865</v>
      </c>
      <c r="Z32" s="3">
        <v>22.580124000000001</v>
      </c>
      <c r="AA32" s="3">
        <v>25.584416999999998</v>
      </c>
      <c r="AB32" s="3">
        <v>19.344994</v>
      </c>
      <c r="AC32" s="3">
        <v>21.943016</v>
      </c>
      <c r="AD32" s="3">
        <v>23.361547000000002</v>
      </c>
      <c r="AE32" s="3">
        <v>25.551297999999999</v>
      </c>
      <c r="AF32" s="3">
        <v>25.375782000000001</v>
      </c>
      <c r="AG32" s="3">
        <v>21.46987</v>
      </c>
      <c r="AH32" s="3">
        <v>24.361673</v>
      </c>
      <c r="AI32" s="3">
        <v>24.611395000000002</v>
      </c>
      <c r="AJ32" s="3">
        <v>24.375418</v>
      </c>
      <c r="AK32" s="3">
        <v>21.679590000000001</v>
      </c>
      <c r="AL32" s="3">
        <v>23.704688999999998</v>
      </c>
      <c r="AM32" s="3">
        <v>21.113091000000001</v>
      </c>
      <c r="AN32" s="3">
        <v>20.326194999999998</v>
      </c>
      <c r="AO32" s="3">
        <v>24.203938999999998</v>
      </c>
      <c r="AP32" s="3">
        <v>20.387647999999999</v>
      </c>
      <c r="AQ32" s="3">
        <v>21.112366000000002</v>
      </c>
      <c r="AR32" s="3">
        <v>23.334658000000001</v>
      </c>
      <c r="AS32" s="3">
        <v>24.439382999999999</v>
      </c>
      <c r="AT32" s="3">
        <v>23.564412999999998</v>
      </c>
      <c r="AU32" s="3">
        <v>22.855152</v>
      </c>
      <c r="AV32" s="3">
        <v>24.909033000000001</v>
      </c>
      <c r="AW32" s="3">
        <v>20.248106</v>
      </c>
      <c r="AX32" s="3">
        <v>21.351762999999998</v>
      </c>
      <c r="AY32" s="3">
        <v>22.259640000000001</v>
      </c>
      <c r="AZ32" s="3">
        <v>22.220825000000001</v>
      </c>
      <c r="BA32" s="3">
        <v>20.629189</v>
      </c>
      <c r="BB32" s="3">
        <v>21.001165</v>
      </c>
      <c r="BC32" s="3">
        <v>21.773755999999999</v>
      </c>
      <c r="BD32" s="3">
        <v>24.773094</v>
      </c>
      <c r="BE32" s="3">
        <v>23.967026000000001</v>
      </c>
      <c r="BF32" s="3">
        <v>22.419086</v>
      </c>
      <c r="BG32" s="3">
        <v>22.877479999999998</v>
      </c>
      <c r="BH32" s="3">
        <v>24.311807999999999</v>
      </c>
      <c r="BI32" s="3">
        <v>19.971098000000001</v>
      </c>
      <c r="BJ32" s="3">
        <v>21.240974000000001</v>
      </c>
      <c r="BK32" s="3">
        <v>24.334880999999999</v>
      </c>
      <c r="BL32" s="3">
        <v>22.656178000000001</v>
      </c>
      <c r="BM32" s="3">
        <v>22.089894999999999</v>
      </c>
      <c r="BN32" s="3">
        <v>22.081232</v>
      </c>
      <c r="BO32" s="3">
        <v>19.678284000000001</v>
      </c>
      <c r="BP32" s="3">
        <v>22.276268000000002</v>
      </c>
      <c r="BQ32" s="3">
        <v>23.582477999999998</v>
      </c>
      <c r="BR32" s="3">
        <v>24.386150000000001</v>
      </c>
      <c r="BS32" s="3">
        <v>22.872761000000001</v>
      </c>
      <c r="BT32" s="3">
        <v>22.246960000000001</v>
      </c>
      <c r="BU32" s="3">
        <v>23.896936</v>
      </c>
      <c r="BV32" s="3">
        <v>21.463055000000001</v>
      </c>
      <c r="BW32" s="3">
        <v>22.590426999999998</v>
      </c>
      <c r="BX32" s="3">
        <v>21.371901999999999</v>
      </c>
      <c r="BY32" s="3">
        <v>20.280203</v>
      </c>
      <c r="BZ32" s="3">
        <v>20.852385999999999</v>
      </c>
      <c r="CA32" s="3">
        <v>21.674700000000001</v>
      </c>
      <c r="CB32" s="3">
        <v>21.671707000000001</v>
      </c>
      <c r="CC32" s="3">
        <v>24.69445</v>
      </c>
      <c r="CD32" s="3">
        <v>22.758517999999999</v>
      </c>
      <c r="CE32" s="3">
        <v>21.273226000000001</v>
      </c>
      <c r="CF32" s="3">
        <v>23.598606</v>
      </c>
      <c r="CG32" s="3">
        <v>21.983727999999999</v>
      </c>
      <c r="CH32" s="3">
        <v>20.130144000000001</v>
      </c>
      <c r="CI32" s="3">
        <v>19.826929</v>
      </c>
      <c r="CJ32" s="3">
        <v>23.487064</v>
      </c>
      <c r="CK32" s="3">
        <v>21.987818000000001</v>
      </c>
      <c r="CL32" s="3">
        <v>21.487503</v>
      </c>
      <c r="CM32" s="3">
        <v>22.328968</v>
      </c>
      <c r="CN32" s="3">
        <v>20.726303000000001</v>
      </c>
      <c r="CO32" s="3">
        <v>21.480249000000001</v>
      </c>
      <c r="CP32" s="3">
        <v>23.005580999999999</v>
      </c>
      <c r="CQ32" s="3">
        <v>23.097670000000001</v>
      </c>
      <c r="CR32" s="3">
        <v>21.014399000000001</v>
      </c>
      <c r="CS32" s="3">
        <v>22.877666000000001</v>
      </c>
      <c r="CT32" s="3">
        <v>24.824095</v>
      </c>
      <c r="CU32" s="3">
        <v>20.427154999999999</v>
      </c>
      <c r="CV32" s="3">
        <v>22.428626999999999</v>
      </c>
      <c r="CW32" s="3">
        <v>21.058332</v>
      </c>
      <c r="CX32" s="3">
        <v>21.095316</v>
      </c>
      <c r="CY32" s="3">
        <v>21.883815999999999</v>
      </c>
      <c r="CZ32" s="3">
        <v>22.585066000000001</v>
      </c>
      <c r="DA32" s="3">
        <v>23.807054999999998</v>
      </c>
      <c r="DB32" s="3">
        <v>24.454256000000001</v>
      </c>
      <c r="DC32" s="3">
        <v>22.493998999999999</v>
      </c>
      <c r="DD32" s="3">
        <v>21.550509999999999</v>
      </c>
      <c r="DE32" s="3">
        <v>22.603952</v>
      </c>
      <c r="DF32" s="3">
        <v>21.094819999999999</v>
      </c>
      <c r="DG32" s="3">
        <v>19.459375000000001</v>
      </c>
      <c r="DH32" s="3">
        <v>20.5259</v>
      </c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24.173256320000011</v>
      </c>
      <c r="H34" s="3">
        <f>MAX(M34:GJ34)</f>
        <v>27.713196</v>
      </c>
      <c r="I34" s="3">
        <f>MIN(M34:GJ34)</f>
        <v>20.337864</v>
      </c>
      <c r="J34" s="3">
        <f>_xlfn.STDEV.P(M34:GJ34)</f>
        <v>1.5462370907240317</v>
      </c>
      <c r="K34" s="3">
        <f>_xlfn.VAR.S(M34:GJ34)</f>
        <v>2.4149991320512298</v>
      </c>
      <c r="M34" s="3">
        <v>24.544367000000001</v>
      </c>
      <c r="N34" s="3">
        <v>23.830456000000002</v>
      </c>
      <c r="O34" s="3">
        <v>26.995581000000001</v>
      </c>
      <c r="P34" s="3">
        <v>21.643639</v>
      </c>
      <c r="Q34" s="3">
        <v>24.250806999999998</v>
      </c>
      <c r="R34" s="3">
        <v>24.529464999999998</v>
      </c>
      <c r="S34" s="3">
        <v>24.823436999999998</v>
      </c>
      <c r="T34" s="3">
        <v>24.673185</v>
      </c>
      <c r="U34" s="3">
        <v>24.269611000000001</v>
      </c>
      <c r="V34" s="3">
        <v>23.378081999999999</v>
      </c>
      <c r="W34" s="3">
        <v>23.481833999999999</v>
      </c>
      <c r="X34" s="3">
        <v>26.472902000000001</v>
      </c>
      <c r="Y34" s="3">
        <v>25.552268999999999</v>
      </c>
      <c r="Z34" s="3">
        <v>23.066607999999999</v>
      </c>
      <c r="AA34" s="3">
        <v>24.674471</v>
      </c>
      <c r="AB34" s="3">
        <v>24.679698999999999</v>
      </c>
      <c r="AC34" s="3">
        <v>24.82666</v>
      </c>
      <c r="AD34" s="3">
        <v>21.404516000000001</v>
      </c>
      <c r="AE34" s="3">
        <v>22.607195000000001</v>
      </c>
      <c r="AF34" s="3">
        <v>23.675667000000001</v>
      </c>
      <c r="AG34" s="3">
        <v>22.737608000000002</v>
      </c>
      <c r="AH34" s="3">
        <v>27.713196</v>
      </c>
      <c r="AI34" s="3">
        <v>23.993051999999999</v>
      </c>
      <c r="AJ34" s="3">
        <v>24.288340000000002</v>
      </c>
      <c r="AK34" s="3">
        <v>25.629797</v>
      </c>
      <c r="AL34" s="3">
        <v>23.889811000000002</v>
      </c>
      <c r="AM34" s="3">
        <v>20.337864</v>
      </c>
      <c r="AN34" s="3">
        <v>25.324300999999998</v>
      </c>
      <c r="AO34" s="3">
        <v>21.206420999999999</v>
      </c>
      <c r="AP34" s="3">
        <v>23.408625000000001</v>
      </c>
      <c r="AQ34" s="3">
        <v>24.186508</v>
      </c>
      <c r="AR34" s="3">
        <v>25.035903999999999</v>
      </c>
      <c r="AS34" s="3">
        <v>24.676359000000001</v>
      </c>
      <c r="AT34" s="3">
        <v>25.018847000000001</v>
      </c>
      <c r="AU34" s="3">
        <v>22.740252999999999</v>
      </c>
      <c r="AV34" s="3">
        <v>23.255116999999998</v>
      </c>
      <c r="AW34" s="3">
        <v>22.275998999999999</v>
      </c>
      <c r="AX34" s="3">
        <v>26.170168</v>
      </c>
      <c r="AY34" s="3">
        <v>23.960232000000001</v>
      </c>
      <c r="AZ34" s="3">
        <v>25.656732999999999</v>
      </c>
      <c r="BA34" s="3">
        <v>26.600466000000001</v>
      </c>
      <c r="BB34" s="3">
        <v>23.402739</v>
      </c>
      <c r="BC34" s="3">
        <v>22.553556</v>
      </c>
      <c r="BD34" s="3">
        <v>23.970526</v>
      </c>
      <c r="BE34" s="3">
        <v>24.338663</v>
      </c>
      <c r="BF34" s="3">
        <v>23.424522</v>
      </c>
      <c r="BG34" s="3">
        <v>22.927285999999999</v>
      </c>
      <c r="BH34" s="3">
        <v>24.147417000000001</v>
      </c>
      <c r="BI34" s="3">
        <v>23.215588</v>
      </c>
      <c r="BJ34" s="3">
        <v>25.608008999999999</v>
      </c>
      <c r="BK34" s="3">
        <v>25.615103000000001</v>
      </c>
      <c r="BL34" s="3">
        <v>22.248646000000001</v>
      </c>
      <c r="BM34" s="3">
        <v>22.343283</v>
      </c>
      <c r="BN34" s="3">
        <v>21.145271000000001</v>
      </c>
      <c r="BO34" s="3">
        <v>23.187944000000002</v>
      </c>
      <c r="BP34" s="3">
        <v>24.327158000000001</v>
      </c>
      <c r="BQ34" s="3">
        <v>23.265229999999999</v>
      </c>
      <c r="BR34" s="3">
        <v>24.101610000000001</v>
      </c>
      <c r="BS34" s="3">
        <v>26.660350999999999</v>
      </c>
      <c r="BT34" s="3">
        <v>24.650545000000001</v>
      </c>
      <c r="BU34" s="3">
        <v>24.539997</v>
      </c>
      <c r="BV34" s="3">
        <v>20.876881000000001</v>
      </c>
      <c r="BW34" s="3">
        <v>24.953887999999999</v>
      </c>
      <c r="BX34" s="3">
        <v>25.140591000000001</v>
      </c>
      <c r="BY34" s="3">
        <v>23.255714000000001</v>
      </c>
      <c r="BZ34" s="3">
        <v>25.825275000000001</v>
      </c>
      <c r="CA34" s="3">
        <v>25.693356999999999</v>
      </c>
      <c r="CB34" s="3">
        <v>23.451006</v>
      </c>
      <c r="CC34" s="3">
        <v>23.030774999999998</v>
      </c>
      <c r="CD34" s="3">
        <v>24.121727</v>
      </c>
      <c r="CE34" s="3">
        <v>22.588346000000001</v>
      </c>
      <c r="CF34" s="3">
        <v>23.981860999999999</v>
      </c>
      <c r="CG34" s="3">
        <v>23.938074</v>
      </c>
      <c r="CH34" s="3">
        <v>23.949839000000001</v>
      </c>
      <c r="CI34" s="3">
        <v>25.467941</v>
      </c>
      <c r="CJ34" s="3">
        <v>20.917404000000001</v>
      </c>
      <c r="CK34" s="3">
        <v>27.255623</v>
      </c>
      <c r="CL34" s="3">
        <v>23.802347000000001</v>
      </c>
      <c r="CM34" s="3">
        <v>25.715605</v>
      </c>
      <c r="CN34" s="3">
        <v>25.845051000000002</v>
      </c>
      <c r="CO34" s="3">
        <v>22.18009</v>
      </c>
      <c r="CP34" s="3">
        <v>27.029211</v>
      </c>
      <c r="CQ34" s="3">
        <v>25.724094000000001</v>
      </c>
      <c r="CR34" s="3">
        <v>26.56381</v>
      </c>
      <c r="CS34" s="3">
        <v>22.317285999999999</v>
      </c>
      <c r="CT34" s="3">
        <v>25.204111000000001</v>
      </c>
      <c r="CU34" s="3">
        <v>25.168682</v>
      </c>
      <c r="CV34" s="3">
        <v>23.032844999999998</v>
      </c>
      <c r="CW34" s="3">
        <v>24.505119000000001</v>
      </c>
      <c r="CX34" s="3">
        <v>26.609219</v>
      </c>
      <c r="CY34" s="3">
        <v>24.545114999999999</v>
      </c>
      <c r="CZ34" s="3">
        <v>24.557206999999998</v>
      </c>
      <c r="DA34" s="3">
        <v>27.064857</v>
      </c>
      <c r="DB34" s="3">
        <v>25.724079</v>
      </c>
      <c r="DC34" s="3">
        <v>24.528075999999999</v>
      </c>
      <c r="DD34" s="3">
        <v>24.560993</v>
      </c>
      <c r="DE34" s="3">
        <v>21.949805999999999</v>
      </c>
      <c r="DF34" s="3">
        <v>23.389088000000001</v>
      </c>
      <c r="DG34" s="3">
        <v>21.891812999999999</v>
      </c>
      <c r="DH34" s="3">
        <v>23.809329999999999</v>
      </c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7" spans="2:207" x14ac:dyDescent="0.2">
      <c r="B37" t="s">
        <v>59</v>
      </c>
      <c r="D37" s="1" t="s">
        <v>31</v>
      </c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23.71065071999999</v>
      </c>
      <c r="H38" s="3">
        <f>MAX(M38:GJ38)</f>
        <v>26.084278000000001</v>
      </c>
      <c r="I38" s="3">
        <f>MIN(M38:GJ38)</f>
        <v>21.637962000000002</v>
      </c>
      <c r="J38" s="3">
        <f>_xlfn.STDEV.P(M38:GJ38)</f>
        <v>0.92528165459819944</v>
      </c>
      <c r="K38" s="3">
        <f>_xlfn.VAR.S(M38:GJ38)</f>
        <v>0.86479408114745615</v>
      </c>
      <c r="M38" s="3">
        <v>24.823248</v>
      </c>
      <c r="N38" s="3">
        <v>24.561385999999999</v>
      </c>
      <c r="O38" s="3">
        <v>23.197330000000001</v>
      </c>
      <c r="P38" s="3">
        <v>23.753222000000001</v>
      </c>
      <c r="Q38" s="3">
        <v>22.565783</v>
      </c>
      <c r="R38" s="3">
        <v>24.896246000000001</v>
      </c>
      <c r="S38" s="3">
        <v>23.094669</v>
      </c>
      <c r="T38" s="3">
        <v>24.262360000000001</v>
      </c>
      <c r="U38" s="3">
        <v>22.998787</v>
      </c>
      <c r="V38" s="3">
        <v>23.557718000000001</v>
      </c>
      <c r="W38" s="3">
        <v>22.888494000000001</v>
      </c>
      <c r="X38" s="3">
        <v>23.238123000000002</v>
      </c>
      <c r="Y38" s="3">
        <v>26.084278000000001</v>
      </c>
      <c r="Z38" s="3">
        <v>23.113444999999999</v>
      </c>
      <c r="AA38" s="3">
        <v>22.862660999999999</v>
      </c>
      <c r="AB38" s="3">
        <v>24.482592</v>
      </c>
      <c r="AC38" s="3">
        <v>23.267561000000001</v>
      </c>
      <c r="AD38" s="3">
        <v>23.409706</v>
      </c>
      <c r="AE38" s="3">
        <v>24.017838000000001</v>
      </c>
      <c r="AF38" s="3">
        <v>23.154699000000001</v>
      </c>
      <c r="AG38" s="3">
        <v>23.590233000000001</v>
      </c>
      <c r="AH38" s="3">
        <v>23.358585000000001</v>
      </c>
      <c r="AI38" s="3">
        <v>23.428267000000002</v>
      </c>
      <c r="AJ38" s="3">
        <v>25.163706000000001</v>
      </c>
      <c r="AK38" s="3">
        <v>22.463215000000002</v>
      </c>
      <c r="AL38" s="3">
        <v>24.3965</v>
      </c>
      <c r="AM38" s="3">
        <v>23.673673999999998</v>
      </c>
      <c r="AN38" s="3">
        <v>23.064143999999999</v>
      </c>
      <c r="AO38" s="3">
        <v>25.186346</v>
      </c>
      <c r="AP38" s="3">
        <v>23.289169000000001</v>
      </c>
      <c r="AQ38" s="3">
        <v>24.401648000000002</v>
      </c>
      <c r="AR38" s="3">
        <v>23.091875000000002</v>
      </c>
      <c r="AS38" s="3">
        <v>22.841042999999999</v>
      </c>
      <c r="AT38" s="3">
        <v>24.468788</v>
      </c>
      <c r="AU38" s="3">
        <v>22.976513000000001</v>
      </c>
      <c r="AV38" s="3">
        <v>22.394528999999999</v>
      </c>
      <c r="AW38" s="3">
        <v>23.015370999999998</v>
      </c>
      <c r="AX38" s="3">
        <v>23.807026</v>
      </c>
      <c r="AY38" s="3">
        <v>25.510833999999999</v>
      </c>
      <c r="AZ38" s="3">
        <v>24.397894000000001</v>
      </c>
      <c r="BA38" s="3">
        <v>21.637962000000002</v>
      </c>
      <c r="BB38" s="3">
        <v>26.05377</v>
      </c>
      <c r="BC38" s="3">
        <v>23.690832</v>
      </c>
      <c r="BD38" s="3">
        <v>25.733248</v>
      </c>
      <c r="BE38" s="3">
        <v>22.048580000000001</v>
      </c>
      <c r="BF38" s="3">
        <v>25.043445999999999</v>
      </c>
      <c r="BG38" s="3">
        <v>22.775245999999999</v>
      </c>
      <c r="BH38" s="3">
        <v>25.377295</v>
      </c>
      <c r="BI38" s="3">
        <v>24.711697000000001</v>
      </c>
      <c r="BJ38" s="3">
        <v>22.774875999999999</v>
      </c>
      <c r="BK38" s="3">
        <v>23.588118000000001</v>
      </c>
      <c r="BL38" s="3">
        <v>24.146381000000002</v>
      </c>
      <c r="BM38" s="3">
        <v>23.138145000000002</v>
      </c>
      <c r="BN38" s="3">
        <v>25.285022999999999</v>
      </c>
      <c r="BO38" s="3">
        <v>23.867355</v>
      </c>
      <c r="BP38" s="3">
        <v>23.355806000000001</v>
      </c>
      <c r="BQ38" s="3">
        <v>25.675536999999998</v>
      </c>
      <c r="BR38" s="3">
        <v>24.006150999999999</v>
      </c>
      <c r="BS38" s="3">
        <v>24.519621000000001</v>
      </c>
      <c r="BT38" s="3">
        <v>23.664085</v>
      </c>
      <c r="BU38" s="3">
        <v>23.517073</v>
      </c>
      <c r="BV38" s="3">
        <v>23.087738000000002</v>
      </c>
      <c r="BW38" s="3">
        <v>23.201049999999999</v>
      </c>
      <c r="BX38" s="3">
        <v>23.330568</v>
      </c>
      <c r="BY38" s="3">
        <v>22.896077999999999</v>
      </c>
      <c r="BZ38" s="3">
        <v>23.604029000000001</v>
      </c>
      <c r="CA38" s="3">
        <v>23.867792000000001</v>
      </c>
      <c r="CB38" s="3">
        <v>23.593105000000001</v>
      </c>
      <c r="CC38" s="3">
        <v>22.919232999999998</v>
      </c>
      <c r="CD38" s="3">
        <v>22.812092</v>
      </c>
      <c r="CE38" s="3">
        <v>23.212069</v>
      </c>
      <c r="CF38" s="3">
        <v>22.039601999999999</v>
      </c>
      <c r="CG38" s="3">
        <v>23.718026999999999</v>
      </c>
      <c r="CH38" s="3">
        <v>25.382487999999999</v>
      </c>
      <c r="CI38" s="3">
        <v>24.296379000000002</v>
      </c>
      <c r="CJ38" s="3">
        <v>23.348751</v>
      </c>
      <c r="CK38" s="3">
        <v>23.517327999999999</v>
      </c>
      <c r="CL38" s="3">
        <v>23.551130000000001</v>
      </c>
      <c r="CM38" s="3">
        <v>23.198996000000001</v>
      </c>
      <c r="CN38" s="3">
        <v>23.397031999999999</v>
      </c>
      <c r="CO38" s="3">
        <v>23.178657999999999</v>
      </c>
      <c r="CP38" s="3">
        <v>22.465668000000001</v>
      </c>
      <c r="CQ38" s="3">
        <v>24.222242000000001</v>
      </c>
      <c r="CR38" s="3">
        <v>23.317276</v>
      </c>
      <c r="CS38" s="3">
        <v>24.702380999999999</v>
      </c>
      <c r="CT38" s="3">
        <v>24.274851000000002</v>
      </c>
      <c r="CU38" s="3">
        <v>23.154523999999999</v>
      </c>
      <c r="CV38" s="3">
        <v>22.946760000000001</v>
      </c>
      <c r="CW38" s="3">
        <v>23.248093000000001</v>
      </c>
      <c r="CX38" s="3">
        <v>23.229481</v>
      </c>
      <c r="CY38" s="3">
        <v>25.728539999999999</v>
      </c>
      <c r="CZ38" s="3">
        <v>23.135929000000001</v>
      </c>
      <c r="DA38" s="3">
        <v>23.232973000000001</v>
      </c>
      <c r="DB38" s="3">
        <v>23.519392</v>
      </c>
      <c r="DC38" s="3">
        <v>23.410202000000002</v>
      </c>
      <c r="DD38" s="3">
        <v>25.465387</v>
      </c>
      <c r="DE38" s="3">
        <v>23.390951000000001</v>
      </c>
      <c r="DF38" s="3">
        <v>23.291087999999998</v>
      </c>
      <c r="DG38" s="3">
        <v>23.131640999999998</v>
      </c>
      <c r="DH38" s="3">
        <v>23.685794999999999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25.017307449999997</v>
      </c>
      <c r="H40" s="3">
        <f>MAX(M40:GJ40)</f>
        <v>32.179141999999999</v>
      </c>
      <c r="I40" s="3">
        <f>MIN(M40:GJ40)</f>
        <v>19.012262</v>
      </c>
      <c r="J40" s="3">
        <f>_xlfn.STDEV.P(M40:GJ40)</f>
        <v>2.1125094287963142</v>
      </c>
      <c r="K40" s="3">
        <f>_xlfn.VAR.S(M40:GJ40)</f>
        <v>4.5077738250033637</v>
      </c>
      <c r="M40" s="3">
        <v>24.649946</v>
      </c>
      <c r="N40" s="3">
        <v>24.260618000000001</v>
      </c>
      <c r="O40" s="3">
        <v>24.516072999999999</v>
      </c>
      <c r="P40" s="3">
        <v>24.511192000000001</v>
      </c>
      <c r="Q40" s="3">
        <v>25.872668999999998</v>
      </c>
      <c r="R40" s="3">
        <v>26.186309999999999</v>
      </c>
      <c r="S40" s="3">
        <v>22.449354</v>
      </c>
      <c r="T40" s="3">
        <v>28.131246999999998</v>
      </c>
      <c r="U40" s="3">
        <v>23.968568999999999</v>
      </c>
      <c r="V40" s="3">
        <v>23.385918</v>
      </c>
      <c r="W40" s="3">
        <v>32.179141999999999</v>
      </c>
      <c r="X40" s="3">
        <v>21.135784000000001</v>
      </c>
      <c r="Y40" s="3">
        <v>27.615677000000002</v>
      </c>
      <c r="Z40" s="3">
        <v>24.258354000000001</v>
      </c>
      <c r="AA40" s="3">
        <v>24.605515</v>
      </c>
      <c r="AB40" s="3">
        <v>23.433228</v>
      </c>
      <c r="AC40" s="3">
        <v>23.919703999999999</v>
      </c>
      <c r="AD40" s="3">
        <v>28.400894000000001</v>
      </c>
      <c r="AE40" s="3">
        <v>28.360191</v>
      </c>
      <c r="AF40" s="3">
        <v>26.438852000000001</v>
      </c>
      <c r="AG40" s="3">
        <v>20.709778</v>
      </c>
      <c r="AH40" s="3">
        <v>27.136713</v>
      </c>
      <c r="AI40" s="3">
        <v>26.409265999999999</v>
      </c>
      <c r="AJ40" s="3">
        <v>25.768357999999999</v>
      </c>
      <c r="AK40" s="3">
        <v>27.468601</v>
      </c>
      <c r="AL40" s="3">
        <v>25.56916</v>
      </c>
      <c r="AM40" s="3">
        <v>21.841974</v>
      </c>
      <c r="AN40" s="3">
        <v>23.267026999999999</v>
      </c>
      <c r="AO40" s="3">
        <v>24.51491</v>
      </c>
      <c r="AP40" s="3">
        <v>24.781445000000001</v>
      </c>
      <c r="AQ40" s="3">
        <v>26.378466</v>
      </c>
      <c r="AR40" s="3">
        <v>25.355443999999999</v>
      </c>
      <c r="AS40" s="3">
        <v>27.156234999999999</v>
      </c>
      <c r="AT40" s="3">
        <v>23.724081000000002</v>
      </c>
      <c r="AU40" s="3">
        <v>21.701349</v>
      </c>
      <c r="AV40" s="3">
        <v>26.326357000000002</v>
      </c>
      <c r="AW40" s="3">
        <v>21.775376999999999</v>
      </c>
      <c r="AX40" s="3">
        <v>27.607790000000001</v>
      </c>
      <c r="AY40" s="3">
        <v>24.364342000000001</v>
      </c>
      <c r="AZ40" s="3">
        <v>27.489336000000002</v>
      </c>
      <c r="BA40" s="3">
        <v>24.996189000000001</v>
      </c>
      <c r="BB40" s="3">
        <v>26.826308999999998</v>
      </c>
      <c r="BC40" s="3">
        <v>24.538891</v>
      </c>
      <c r="BD40" s="3">
        <v>23.903158000000001</v>
      </c>
      <c r="BE40" s="3">
        <v>23.390232000000001</v>
      </c>
      <c r="BF40" s="3">
        <v>20.379193999999998</v>
      </c>
      <c r="BG40" s="3">
        <v>25.406320999999998</v>
      </c>
      <c r="BH40" s="3">
        <v>23.352588999999998</v>
      </c>
      <c r="BI40" s="3">
        <v>23.522928</v>
      </c>
      <c r="BJ40" s="3">
        <v>25.376614</v>
      </c>
      <c r="BK40" s="3">
        <v>25.031514999999999</v>
      </c>
      <c r="BL40" s="3">
        <v>23.563965</v>
      </c>
      <c r="BM40" s="3">
        <v>25.287241000000002</v>
      </c>
      <c r="BN40" s="3">
        <v>26.836838</v>
      </c>
      <c r="BO40" s="3">
        <v>23.139875</v>
      </c>
      <c r="BP40" s="3">
        <v>30.010110999999998</v>
      </c>
      <c r="BQ40" s="3">
        <v>26.165205</v>
      </c>
      <c r="BR40" s="3">
        <v>27.826744000000001</v>
      </c>
      <c r="BS40" s="3">
        <v>24.862822999999999</v>
      </c>
      <c r="BT40" s="3">
        <v>21.324214999999999</v>
      </c>
      <c r="BU40" s="3">
        <v>26.256343999999999</v>
      </c>
      <c r="BV40" s="3">
        <v>24.197365000000001</v>
      </c>
      <c r="BW40" s="3">
        <v>24.498697</v>
      </c>
      <c r="BX40" s="3">
        <v>26.421066</v>
      </c>
      <c r="BY40" s="3">
        <v>23.163881</v>
      </c>
      <c r="BZ40" s="3">
        <v>25.395078999999999</v>
      </c>
      <c r="CA40" s="3">
        <v>27.8095</v>
      </c>
      <c r="CB40" s="3">
        <v>25.122516999999998</v>
      </c>
      <c r="CC40" s="3">
        <v>23.661293000000001</v>
      </c>
      <c r="CD40" s="3">
        <v>23.530550000000002</v>
      </c>
      <c r="CE40" s="3">
        <v>24.158262000000001</v>
      </c>
      <c r="CF40" s="3">
        <v>25.398869000000001</v>
      </c>
      <c r="CG40" s="3">
        <v>24.786058000000001</v>
      </c>
      <c r="CH40" s="3">
        <v>24.231729999999999</v>
      </c>
      <c r="CI40" s="3">
        <v>27.186646</v>
      </c>
      <c r="CJ40" s="3">
        <v>24.153922999999999</v>
      </c>
      <c r="CK40" s="3">
        <v>24.632359999999998</v>
      </c>
      <c r="CL40" s="3">
        <v>29.272385</v>
      </c>
      <c r="CM40" s="3">
        <v>24.362905999999999</v>
      </c>
      <c r="CN40" s="3">
        <v>24.667052999999999</v>
      </c>
      <c r="CO40" s="3">
        <v>26.548449000000002</v>
      </c>
      <c r="CP40" s="3">
        <v>27.134985</v>
      </c>
      <c r="CQ40" s="3">
        <v>25.304442999999999</v>
      </c>
      <c r="CR40" s="3">
        <v>23.047181999999999</v>
      </c>
      <c r="CS40" s="3">
        <v>19.012262</v>
      </c>
      <c r="CT40" s="3">
        <v>27.951218000000001</v>
      </c>
      <c r="CU40" s="3">
        <v>24.973939999999999</v>
      </c>
      <c r="CV40" s="3">
        <v>23.512948999999999</v>
      </c>
      <c r="CW40" s="3">
        <v>27.102070000000001</v>
      </c>
      <c r="CX40" s="3">
        <v>25.488797999999999</v>
      </c>
      <c r="CY40" s="3">
        <v>26.316386999999999</v>
      </c>
      <c r="CZ40" s="3">
        <v>25.574596</v>
      </c>
      <c r="DA40" s="3">
        <v>22.428868999999999</v>
      </c>
      <c r="DB40" s="3">
        <v>22.42473</v>
      </c>
      <c r="DC40" s="3">
        <v>25.533237</v>
      </c>
      <c r="DD40" s="3">
        <v>22.128014</v>
      </c>
      <c r="DE40" s="3">
        <v>27.232264000000001</v>
      </c>
      <c r="DF40" s="3">
        <v>25.546928000000001</v>
      </c>
      <c r="DG40" s="3">
        <v>24.725781999999999</v>
      </c>
      <c r="DH40" s="3">
        <v>23.470955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27.130868500000016</v>
      </c>
      <c r="H42" s="3">
        <f>MAX(M42:GJ42)</f>
        <v>31.416792000000001</v>
      </c>
      <c r="I42" s="3">
        <f>MIN(M42:GJ42)</f>
        <v>25.070955000000001</v>
      </c>
      <c r="J42" s="3">
        <f>_xlfn.STDEV.P(M42:GJ42)</f>
        <v>1.1105910451840273</v>
      </c>
      <c r="K42" s="3">
        <f>_xlfn.VAR.S(M42:GJ42)</f>
        <v>1.2458711814575254</v>
      </c>
      <c r="M42" s="3">
        <v>28.262011000000001</v>
      </c>
      <c r="N42" s="3">
        <v>27.683647000000001</v>
      </c>
      <c r="O42" s="3">
        <v>26.268913000000001</v>
      </c>
      <c r="P42" s="3">
        <v>27.444016000000001</v>
      </c>
      <c r="Q42" s="3">
        <v>26.575493000000002</v>
      </c>
      <c r="R42" s="3">
        <v>26.784420000000001</v>
      </c>
      <c r="S42" s="3">
        <v>27.179874000000002</v>
      </c>
      <c r="T42" s="3">
        <v>28.245476</v>
      </c>
      <c r="U42" s="3">
        <v>29.365496</v>
      </c>
      <c r="V42" s="3">
        <v>27.088308000000001</v>
      </c>
      <c r="W42" s="3">
        <v>26.510421999999998</v>
      </c>
      <c r="X42" s="3">
        <v>31.416792000000001</v>
      </c>
      <c r="Y42" s="3">
        <v>25.274511</v>
      </c>
      <c r="Z42" s="3">
        <v>28.05369</v>
      </c>
      <c r="AA42" s="3">
        <v>26.674852000000001</v>
      </c>
      <c r="AB42" s="3">
        <v>28.121144999999999</v>
      </c>
      <c r="AC42" s="3">
        <v>28.140402000000002</v>
      </c>
      <c r="AD42" s="3">
        <v>27.181187000000001</v>
      </c>
      <c r="AE42" s="3">
        <v>27.007971000000001</v>
      </c>
      <c r="AF42" s="3">
        <v>27.779803999999999</v>
      </c>
      <c r="AG42" s="3">
        <v>27.389438999999999</v>
      </c>
      <c r="AH42" s="3">
        <v>27.996600999999998</v>
      </c>
      <c r="AI42" s="3">
        <v>27.025379000000001</v>
      </c>
      <c r="AJ42" s="3">
        <v>26.741817000000001</v>
      </c>
      <c r="AK42" s="3">
        <v>27.853092</v>
      </c>
      <c r="AL42" s="3">
        <v>26.921244000000002</v>
      </c>
      <c r="AM42" s="3">
        <v>26.643217</v>
      </c>
      <c r="AN42" s="3">
        <v>26.468868000000001</v>
      </c>
      <c r="AO42" s="3">
        <v>27.114992000000001</v>
      </c>
      <c r="AP42" s="3">
        <v>26.340378000000001</v>
      </c>
      <c r="AQ42" s="3">
        <v>25.981656999999998</v>
      </c>
      <c r="AR42" s="3">
        <v>26.882179000000001</v>
      </c>
      <c r="AS42" s="3">
        <v>27.757204000000002</v>
      </c>
      <c r="AT42" s="3">
        <v>26.193241</v>
      </c>
      <c r="AU42" s="3">
        <v>29.529191999999998</v>
      </c>
      <c r="AV42" s="3">
        <v>27.273099999999999</v>
      </c>
      <c r="AW42" s="3">
        <v>27.467417000000001</v>
      </c>
      <c r="AX42" s="3">
        <v>26.840097</v>
      </c>
      <c r="AY42" s="3">
        <v>27.019456999999999</v>
      </c>
      <c r="AZ42" s="3">
        <v>26.307171</v>
      </c>
      <c r="BA42" s="3">
        <v>25.742761999999999</v>
      </c>
      <c r="BB42" s="3">
        <v>27.161566000000001</v>
      </c>
      <c r="BC42" s="3">
        <v>29.765416999999999</v>
      </c>
      <c r="BD42" s="3">
        <v>25.951637000000002</v>
      </c>
      <c r="BE42" s="3">
        <v>27.752545999999999</v>
      </c>
      <c r="BF42" s="3">
        <v>28.185129</v>
      </c>
      <c r="BG42" s="3">
        <v>25.070955000000001</v>
      </c>
      <c r="BH42" s="3">
        <v>26.304940999999999</v>
      </c>
      <c r="BI42" s="3">
        <v>25.650137000000001</v>
      </c>
      <c r="BJ42" s="3">
        <v>27.416851000000001</v>
      </c>
      <c r="BK42" s="3">
        <v>27.021255</v>
      </c>
      <c r="BL42" s="3">
        <v>25.627956000000001</v>
      </c>
      <c r="BM42" s="3">
        <v>28.105816000000001</v>
      </c>
      <c r="BN42" s="3">
        <v>26.222572</v>
      </c>
      <c r="BO42" s="3">
        <v>26.772601999999999</v>
      </c>
      <c r="BP42" s="3">
        <v>27.104395</v>
      </c>
      <c r="BQ42" s="3">
        <v>27.721703999999999</v>
      </c>
      <c r="BR42" s="3">
        <v>25.656143</v>
      </c>
      <c r="BS42" s="3">
        <v>27.229752999999999</v>
      </c>
      <c r="BT42" s="3">
        <v>25.662618999999999</v>
      </c>
      <c r="BU42" s="3">
        <v>27.095078999999998</v>
      </c>
      <c r="BV42" s="3">
        <v>26.336628000000001</v>
      </c>
      <c r="BW42" s="3">
        <v>25.639327999999999</v>
      </c>
      <c r="BX42" s="3">
        <v>27.282647999999998</v>
      </c>
      <c r="BY42" s="3">
        <v>25.138165000000001</v>
      </c>
      <c r="BZ42" s="3">
        <v>26.648933</v>
      </c>
      <c r="CA42" s="3">
        <v>26.095891999999999</v>
      </c>
      <c r="CB42" s="3">
        <v>27.296146</v>
      </c>
      <c r="CC42" s="3">
        <v>26.308938999999999</v>
      </c>
      <c r="CD42" s="3">
        <v>26.906345000000002</v>
      </c>
      <c r="CE42" s="3">
        <v>28.793703000000001</v>
      </c>
      <c r="CF42" s="3">
        <v>26.083608999999999</v>
      </c>
      <c r="CG42" s="3">
        <v>26.370749</v>
      </c>
      <c r="CH42" s="3">
        <v>27.855457000000001</v>
      </c>
      <c r="CI42" s="3">
        <v>29.740373999999999</v>
      </c>
      <c r="CJ42" s="3">
        <v>28.336877999999999</v>
      </c>
      <c r="CK42" s="3">
        <v>26.416384000000001</v>
      </c>
      <c r="CL42" s="3">
        <v>26.089865</v>
      </c>
      <c r="CM42" s="3">
        <v>28.713625</v>
      </c>
      <c r="CN42" s="3">
        <v>28.201103</v>
      </c>
      <c r="CO42" s="3">
        <v>26.351126000000001</v>
      </c>
      <c r="CP42" s="3">
        <v>26.761084</v>
      </c>
      <c r="CQ42" s="3">
        <v>27.706007</v>
      </c>
      <c r="CR42" s="3">
        <v>26.527296</v>
      </c>
      <c r="CS42" s="3">
        <v>27.394349999999999</v>
      </c>
      <c r="CT42" s="3">
        <v>27.788896999999999</v>
      </c>
      <c r="CU42" s="3">
        <v>30.881032999999999</v>
      </c>
      <c r="CV42" s="3">
        <v>26.121023000000001</v>
      </c>
      <c r="CW42" s="3">
        <v>27.574943999999999</v>
      </c>
      <c r="CX42" s="3">
        <v>26.586818999999998</v>
      </c>
      <c r="CY42" s="3">
        <v>27.533940999999999</v>
      </c>
      <c r="CZ42" s="3">
        <v>26.775133</v>
      </c>
      <c r="DA42" s="3">
        <v>27.066568</v>
      </c>
      <c r="DB42" s="3">
        <v>27.370365</v>
      </c>
      <c r="DC42" s="3">
        <v>26.452036</v>
      </c>
      <c r="DD42" s="3">
        <v>26.662928000000001</v>
      </c>
      <c r="DE42" s="3">
        <v>27.456242</v>
      </c>
      <c r="DF42" s="3">
        <v>25.747646</v>
      </c>
      <c r="DG42" s="3">
        <v>26.479168000000001</v>
      </c>
      <c r="DH42" s="3">
        <v>27.569465999999998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17.653860289999994</v>
      </c>
      <c r="H44" s="3">
        <f>MAX(M44:GJ44)</f>
        <v>22.046061000000002</v>
      </c>
      <c r="I44" s="3">
        <f>MIN(M44:GJ44)</f>
        <v>14.683057</v>
      </c>
      <c r="J44" s="3">
        <f>_xlfn.STDEV.P(M44:GJ44)</f>
        <v>1.9055621644828382</v>
      </c>
      <c r="K44" s="3">
        <f>_xlfn.VAR.S(M44:GJ44)</f>
        <v>3.6678456188975277</v>
      </c>
      <c r="M44" s="3">
        <v>17.14818</v>
      </c>
      <c r="N44" s="3">
        <v>18.271000000000001</v>
      </c>
      <c r="O44" s="3">
        <v>22.046061000000002</v>
      </c>
      <c r="P44" s="3">
        <v>16.512608</v>
      </c>
      <c r="Q44" s="3">
        <v>15.972844</v>
      </c>
      <c r="R44" s="3">
        <v>15.181082999999999</v>
      </c>
      <c r="S44" s="3">
        <v>17.468102999999999</v>
      </c>
      <c r="T44" s="3">
        <v>18.581326000000001</v>
      </c>
      <c r="U44" s="3">
        <v>17.274882999999999</v>
      </c>
      <c r="V44" s="3">
        <v>14.852187000000001</v>
      </c>
      <c r="W44" s="3">
        <v>21.937183000000001</v>
      </c>
      <c r="X44" s="3">
        <v>19.927835000000002</v>
      </c>
      <c r="Y44" s="3">
        <v>17.675611</v>
      </c>
      <c r="Z44" s="3">
        <v>18.920296</v>
      </c>
      <c r="AA44" s="3">
        <v>20.672530999999999</v>
      </c>
      <c r="AB44" s="3">
        <v>14.965767</v>
      </c>
      <c r="AC44" s="3">
        <v>16.457539000000001</v>
      </c>
      <c r="AD44" s="3">
        <v>17.853066999999999</v>
      </c>
      <c r="AE44" s="3">
        <v>18.464221999999999</v>
      </c>
      <c r="AF44" s="3">
        <v>20.131128</v>
      </c>
      <c r="AG44" s="3">
        <v>16.209005000000001</v>
      </c>
      <c r="AH44" s="3">
        <v>20.018972000000002</v>
      </c>
      <c r="AI44" s="3">
        <v>21.887705</v>
      </c>
      <c r="AJ44" s="3">
        <v>20.732482999999998</v>
      </c>
      <c r="AK44" s="3">
        <v>16.563141000000002</v>
      </c>
      <c r="AL44" s="3">
        <v>16.433216000000002</v>
      </c>
      <c r="AM44" s="3">
        <v>18.673833999999999</v>
      </c>
      <c r="AN44" s="3">
        <v>19.125226999999999</v>
      </c>
      <c r="AO44" s="3">
        <v>15.697931000000001</v>
      </c>
      <c r="AP44" s="3">
        <v>16.107589999999998</v>
      </c>
      <c r="AQ44" s="3">
        <v>14.831317</v>
      </c>
      <c r="AR44" s="3">
        <v>19.055368000000001</v>
      </c>
      <c r="AS44" s="3">
        <v>17.501124999999998</v>
      </c>
      <c r="AT44" s="3">
        <v>16.343149</v>
      </c>
      <c r="AU44" s="3">
        <v>15.505864000000001</v>
      </c>
      <c r="AV44" s="3">
        <v>19.937721</v>
      </c>
      <c r="AW44" s="3">
        <v>16.661224000000001</v>
      </c>
      <c r="AX44" s="3">
        <v>19.135967000000001</v>
      </c>
      <c r="AY44" s="3">
        <v>17.127678</v>
      </c>
      <c r="AZ44" s="3">
        <v>16.219207999999998</v>
      </c>
      <c r="BA44" s="3">
        <v>17.512747000000001</v>
      </c>
      <c r="BB44" s="3">
        <v>16.201609000000001</v>
      </c>
      <c r="BC44" s="3">
        <v>16.599983000000002</v>
      </c>
      <c r="BD44" s="3">
        <v>18.259899000000001</v>
      </c>
      <c r="BE44" s="3">
        <v>20.282799000000001</v>
      </c>
      <c r="BF44" s="3">
        <v>16.997837000000001</v>
      </c>
      <c r="BG44" s="3">
        <v>17.297653</v>
      </c>
      <c r="BH44" s="3">
        <v>18.875101000000001</v>
      </c>
      <c r="BI44" s="3">
        <v>16.760845</v>
      </c>
      <c r="BJ44" s="3">
        <v>16.896978000000001</v>
      </c>
      <c r="BK44" s="3">
        <v>16.577003000000001</v>
      </c>
      <c r="BL44" s="3">
        <v>19.948893000000002</v>
      </c>
      <c r="BM44" s="3">
        <v>22.042732000000001</v>
      </c>
      <c r="BN44" s="3">
        <v>15.947827</v>
      </c>
      <c r="BO44" s="3">
        <v>15.007975</v>
      </c>
      <c r="BP44" s="3">
        <v>15.939615999999999</v>
      </c>
      <c r="BQ44" s="3">
        <v>18.787365000000001</v>
      </c>
      <c r="BR44" s="3">
        <v>18.057421000000001</v>
      </c>
      <c r="BS44" s="3">
        <v>18.011420999999999</v>
      </c>
      <c r="BT44" s="3">
        <v>15.244077000000001</v>
      </c>
      <c r="BU44" s="3">
        <v>20.757491999999999</v>
      </c>
      <c r="BV44" s="3">
        <v>18.588408999999999</v>
      </c>
      <c r="BW44" s="3">
        <v>18.702432999999999</v>
      </c>
      <c r="BX44" s="3">
        <v>15.627675999999999</v>
      </c>
      <c r="BY44" s="3">
        <v>14.878416</v>
      </c>
      <c r="BZ44" s="3">
        <v>16.404575000000001</v>
      </c>
      <c r="CA44" s="3">
        <v>15.292626</v>
      </c>
      <c r="CB44" s="3">
        <v>16.206140999999999</v>
      </c>
      <c r="CC44" s="3">
        <v>18.271694</v>
      </c>
      <c r="CD44" s="3">
        <v>19.684828</v>
      </c>
      <c r="CE44" s="3">
        <v>16.290873999999999</v>
      </c>
      <c r="CF44" s="3">
        <v>18.608029999999999</v>
      </c>
      <c r="CG44" s="3">
        <v>18.484950999999999</v>
      </c>
      <c r="CH44" s="3">
        <v>15.151230999999999</v>
      </c>
      <c r="CI44" s="3">
        <v>15.184258</v>
      </c>
      <c r="CJ44" s="3">
        <v>16.920216</v>
      </c>
      <c r="CK44" s="3">
        <v>18.812495999999999</v>
      </c>
      <c r="CL44" s="3">
        <v>19.689340999999999</v>
      </c>
      <c r="CM44" s="3">
        <v>16.004894</v>
      </c>
      <c r="CN44" s="3">
        <v>16.775480000000002</v>
      </c>
      <c r="CO44" s="3">
        <v>15.023266</v>
      </c>
      <c r="CP44" s="3">
        <v>17.572503999999999</v>
      </c>
      <c r="CQ44" s="3">
        <v>16.297568999999999</v>
      </c>
      <c r="CR44" s="3">
        <v>14.683057</v>
      </c>
      <c r="CS44" s="3">
        <v>16.328167000000001</v>
      </c>
      <c r="CT44" s="3">
        <v>21.433993999999998</v>
      </c>
      <c r="CU44" s="3">
        <v>17.140765999999999</v>
      </c>
      <c r="CV44" s="3">
        <v>19.106358</v>
      </c>
      <c r="CW44" s="3">
        <v>16.031548000000001</v>
      </c>
      <c r="CX44" s="3">
        <v>16.647310000000001</v>
      </c>
      <c r="CY44" s="3">
        <v>20.181086000000001</v>
      </c>
      <c r="CZ44" s="3">
        <v>17.484095</v>
      </c>
      <c r="DA44" s="3">
        <v>21.655745</v>
      </c>
      <c r="DB44" s="3">
        <v>17.712297</v>
      </c>
      <c r="DC44" s="3">
        <v>19.862597999999998</v>
      </c>
      <c r="DD44" s="3">
        <v>16.115625000000001</v>
      </c>
      <c r="DE44" s="3">
        <v>16.729588</v>
      </c>
      <c r="DF44" s="3">
        <v>18.572102000000001</v>
      </c>
      <c r="DG44" s="3">
        <v>15.735695</v>
      </c>
      <c r="DH44" s="3">
        <v>19.405638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21.342293059999996</v>
      </c>
      <c r="H46" s="3">
        <f>MAX(M46:GJ46)</f>
        <v>25.849422000000001</v>
      </c>
      <c r="I46" s="3">
        <f>MIN(M46:GJ46)</f>
        <v>13.896539000000001</v>
      </c>
      <c r="J46" s="3">
        <f>_xlfn.STDEV.P(M46:GJ46)</f>
        <v>2.5241703572136087</v>
      </c>
      <c r="K46" s="3">
        <f>_xlfn.VAR.S(M46:GJ46)</f>
        <v>6.4357939315513697</v>
      </c>
      <c r="M46" s="3">
        <v>15.508176000000001</v>
      </c>
      <c r="N46" s="3">
        <v>22.124935000000001</v>
      </c>
      <c r="O46" s="3">
        <v>23.217784999999999</v>
      </c>
      <c r="P46" s="3">
        <v>22.155712000000001</v>
      </c>
      <c r="Q46" s="3">
        <v>24.081734000000001</v>
      </c>
      <c r="R46" s="3">
        <v>21.005796</v>
      </c>
      <c r="S46" s="3">
        <v>22.750592999999999</v>
      </c>
      <c r="T46" s="3">
        <v>23.817146000000001</v>
      </c>
      <c r="U46" s="3">
        <v>22.605540999999999</v>
      </c>
      <c r="V46" s="3">
        <v>20.410274999999999</v>
      </c>
      <c r="W46" s="3">
        <v>22.742789999999999</v>
      </c>
      <c r="X46" s="3">
        <v>25.175888</v>
      </c>
      <c r="Y46" s="3">
        <v>20.665482000000001</v>
      </c>
      <c r="Z46" s="3">
        <v>23.117871999999998</v>
      </c>
      <c r="AA46" s="3">
        <v>21.056448</v>
      </c>
      <c r="AB46" s="3">
        <v>23.127269999999999</v>
      </c>
      <c r="AC46" s="3">
        <v>19.836428000000002</v>
      </c>
      <c r="AD46" s="3">
        <v>17.819642999999999</v>
      </c>
      <c r="AE46" s="3">
        <v>19.047117</v>
      </c>
      <c r="AF46" s="3">
        <v>18.809799000000002</v>
      </c>
      <c r="AG46" s="3">
        <v>15.298094000000001</v>
      </c>
      <c r="AH46" s="3">
        <v>23.817889999999998</v>
      </c>
      <c r="AI46" s="3">
        <v>23.233953</v>
      </c>
      <c r="AJ46" s="3">
        <v>22.546203999999999</v>
      </c>
      <c r="AK46" s="3">
        <v>22.736187000000001</v>
      </c>
      <c r="AL46" s="3">
        <v>17.411719999999999</v>
      </c>
      <c r="AM46" s="3">
        <v>19.001712999999999</v>
      </c>
      <c r="AN46" s="3">
        <v>22.205594999999999</v>
      </c>
      <c r="AO46" s="3">
        <v>21.413167999999999</v>
      </c>
      <c r="AP46" s="3">
        <v>21.274797</v>
      </c>
      <c r="AQ46" s="3">
        <v>20.968575999999999</v>
      </c>
      <c r="AR46" s="3">
        <v>24.128231</v>
      </c>
      <c r="AS46" s="3">
        <v>23.689610999999999</v>
      </c>
      <c r="AT46" s="3">
        <v>22.822600999999999</v>
      </c>
      <c r="AU46" s="3">
        <v>22.202541</v>
      </c>
      <c r="AV46" s="3">
        <v>23.444717000000001</v>
      </c>
      <c r="AW46" s="3">
        <v>22.187035000000002</v>
      </c>
      <c r="AX46" s="3">
        <v>23.411487999999999</v>
      </c>
      <c r="AY46" s="3">
        <v>22.949013000000001</v>
      </c>
      <c r="AZ46" s="3">
        <v>22.399933000000001</v>
      </c>
      <c r="BA46" s="3">
        <v>23.052596999999999</v>
      </c>
      <c r="BB46" s="3">
        <v>18.497368000000002</v>
      </c>
      <c r="BC46" s="3">
        <v>18.991095000000001</v>
      </c>
      <c r="BD46" s="3">
        <v>21.384722</v>
      </c>
      <c r="BE46" s="3">
        <v>18.800146000000002</v>
      </c>
      <c r="BF46" s="3">
        <v>16.593672000000002</v>
      </c>
      <c r="BG46" s="3">
        <v>22.658553999999999</v>
      </c>
      <c r="BH46" s="3">
        <v>23.250813999999998</v>
      </c>
      <c r="BI46" s="3">
        <v>22.261040000000001</v>
      </c>
      <c r="BJ46" s="3">
        <v>21.010041999999999</v>
      </c>
      <c r="BK46" s="3">
        <v>21.349492999999999</v>
      </c>
      <c r="BL46" s="3">
        <v>20.593869999999999</v>
      </c>
      <c r="BM46" s="3">
        <v>15.312773</v>
      </c>
      <c r="BN46" s="3">
        <v>20.81081</v>
      </c>
      <c r="BO46" s="3">
        <v>22.272589</v>
      </c>
      <c r="BP46" s="3">
        <v>20.834095000000001</v>
      </c>
      <c r="BQ46" s="3">
        <v>22.673307000000001</v>
      </c>
      <c r="BR46" s="3">
        <v>23.313744</v>
      </c>
      <c r="BS46" s="3">
        <v>24.552546</v>
      </c>
      <c r="BT46" s="3">
        <v>22.379716999999999</v>
      </c>
      <c r="BU46" s="3">
        <v>24.554501999999999</v>
      </c>
      <c r="BV46" s="3">
        <v>21.053122999999999</v>
      </c>
      <c r="BW46" s="3">
        <v>18.017813</v>
      </c>
      <c r="BX46" s="3">
        <v>23.767403000000002</v>
      </c>
      <c r="BY46" s="3">
        <v>20.180112999999999</v>
      </c>
      <c r="BZ46" s="3">
        <v>22.095794999999999</v>
      </c>
      <c r="CA46" s="3">
        <v>23.182466999999999</v>
      </c>
      <c r="CB46" s="3">
        <v>20.389472999999999</v>
      </c>
      <c r="CC46" s="3">
        <v>22.537707999999999</v>
      </c>
      <c r="CD46" s="3">
        <v>18.345828999999998</v>
      </c>
      <c r="CE46" s="3">
        <v>15.311128</v>
      </c>
      <c r="CF46" s="3">
        <v>23.744185999999999</v>
      </c>
      <c r="CG46" s="3">
        <v>23.577862</v>
      </c>
      <c r="CH46" s="3">
        <v>22.076125999999999</v>
      </c>
      <c r="CI46" s="3">
        <v>22.555546</v>
      </c>
      <c r="CJ46" s="3">
        <v>16.027947999999999</v>
      </c>
      <c r="CK46" s="3">
        <v>24.537945000000001</v>
      </c>
      <c r="CL46" s="3">
        <v>20.631181999999999</v>
      </c>
      <c r="CM46" s="3">
        <v>23.055056</v>
      </c>
      <c r="CN46" s="3">
        <v>19.596243000000001</v>
      </c>
      <c r="CO46" s="3">
        <v>22.439578999999998</v>
      </c>
      <c r="CP46" s="3">
        <v>19.827394000000002</v>
      </c>
      <c r="CQ46" s="3">
        <v>21.782698</v>
      </c>
      <c r="CR46" s="3">
        <v>22.592268000000001</v>
      </c>
      <c r="CS46" s="3">
        <v>19.594882999999999</v>
      </c>
      <c r="CT46" s="3">
        <v>22.219791000000001</v>
      </c>
      <c r="CU46" s="3">
        <v>24.911921</v>
      </c>
      <c r="CV46" s="3">
        <v>17.164003000000001</v>
      </c>
      <c r="CW46" s="3">
        <v>17.394217000000001</v>
      </c>
      <c r="CX46" s="3">
        <v>24.343527000000002</v>
      </c>
      <c r="CY46" s="3">
        <v>17.535273</v>
      </c>
      <c r="CZ46" s="3">
        <v>19.430676999999999</v>
      </c>
      <c r="DA46" s="3">
        <v>25.849422000000001</v>
      </c>
      <c r="DB46" s="3">
        <v>22.397879</v>
      </c>
      <c r="DC46" s="3">
        <v>23.681149000000001</v>
      </c>
      <c r="DD46" s="3">
        <v>22.924498</v>
      </c>
      <c r="DE46" s="3">
        <v>18.006702000000001</v>
      </c>
      <c r="DF46" s="3">
        <v>22.963660999999998</v>
      </c>
      <c r="DG46" s="3">
        <v>13.896539000000001</v>
      </c>
      <c r="DH46" s="3">
        <v>23.223286000000002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</row>
    <row r="48" spans="2:207" x14ac:dyDescent="0.2">
      <c r="D48" s="1"/>
    </row>
    <row r="49" spans="2:207" x14ac:dyDescent="0.2">
      <c r="B49" t="s">
        <v>59</v>
      </c>
      <c r="D49" s="1" t="s">
        <v>32</v>
      </c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23.249561240000002</v>
      </c>
      <c r="H50" s="3">
        <f>MAX(M50:GJ50)</f>
        <v>26.064071999999999</v>
      </c>
      <c r="I50" s="3">
        <f>MIN(M50:GJ50)</f>
        <v>21.575299999999999</v>
      </c>
      <c r="J50" s="3">
        <f>_xlfn.STDEV.P(M50:GJ50)</f>
        <v>1.0079898483690015</v>
      </c>
      <c r="K50" s="3">
        <f>_xlfn.VAR.S(M50:GJ50)</f>
        <v>1.0263066004191543</v>
      </c>
      <c r="M50" s="3">
        <v>24.128937000000001</v>
      </c>
      <c r="N50" s="3">
        <v>24.076954000000001</v>
      </c>
      <c r="O50" s="3">
        <v>22.921543</v>
      </c>
      <c r="P50" s="3">
        <v>23.847543999999999</v>
      </c>
      <c r="Q50" s="3">
        <v>23.525618000000001</v>
      </c>
      <c r="R50" s="3">
        <v>24.377907</v>
      </c>
      <c r="S50" s="3">
        <v>22.144788999999999</v>
      </c>
      <c r="T50" s="3">
        <v>24.418858</v>
      </c>
      <c r="U50" s="3">
        <v>23.011514999999999</v>
      </c>
      <c r="V50" s="3">
        <v>22.409732999999999</v>
      </c>
      <c r="W50" s="3">
        <v>23.807590000000001</v>
      </c>
      <c r="X50" s="3">
        <v>22.110309999999998</v>
      </c>
      <c r="Y50" s="3">
        <v>26.064071999999999</v>
      </c>
      <c r="Z50" s="3">
        <v>22.405535</v>
      </c>
      <c r="AA50" s="3">
        <v>22.606179999999998</v>
      </c>
      <c r="AB50" s="3">
        <v>22.755838000000001</v>
      </c>
      <c r="AC50" s="3">
        <v>21.575299999999999</v>
      </c>
      <c r="AD50" s="3">
        <v>22.566859999999998</v>
      </c>
      <c r="AE50" s="3">
        <v>24.804264</v>
      </c>
      <c r="AF50" s="3">
        <v>22.388559000000001</v>
      </c>
      <c r="AG50" s="3">
        <v>22.928657999999999</v>
      </c>
      <c r="AH50" s="3">
        <v>23.453365000000002</v>
      </c>
      <c r="AI50" s="3">
        <v>22.227726000000001</v>
      </c>
      <c r="AJ50" s="3">
        <v>25.752171000000001</v>
      </c>
      <c r="AK50" s="3">
        <v>22.473981999999999</v>
      </c>
      <c r="AL50" s="3">
        <v>23.819275000000001</v>
      </c>
      <c r="AM50" s="3">
        <v>22.565339999999999</v>
      </c>
      <c r="AN50" s="3">
        <v>23.103183999999999</v>
      </c>
      <c r="AO50" s="3">
        <v>24.752457</v>
      </c>
      <c r="AP50" s="3">
        <v>22.574549000000001</v>
      </c>
      <c r="AQ50" s="3">
        <v>23.052319000000001</v>
      </c>
      <c r="AR50" s="3">
        <v>22.831467</v>
      </c>
      <c r="AS50" s="3">
        <v>22.564008999999999</v>
      </c>
      <c r="AT50" s="3">
        <v>23.840250000000001</v>
      </c>
      <c r="AU50" s="3">
        <v>22.849229999999999</v>
      </c>
      <c r="AV50" s="3">
        <v>22.675343000000002</v>
      </c>
      <c r="AW50" s="3">
        <v>22.401309999999999</v>
      </c>
      <c r="AX50" s="3">
        <v>23.766196999999998</v>
      </c>
      <c r="AY50" s="3">
        <v>25.251594999999998</v>
      </c>
      <c r="AZ50" s="3">
        <v>23.580271</v>
      </c>
      <c r="BA50" s="3">
        <v>22.591045000000001</v>
      </c>
      <c r="BB50" s="3">
        <v>25.509032999999999</v>
      </c>
      <c r="BC50" s="3">
        <v>23.036064</v>
      </c>
      <c r="BD50" s="3">
        <v>25.525496</v>
      </c>
      <c r="BE50" s="3">
        <v>22.713028000000001</v>
      </c>
      <c r="BF50" s="3">
        <v>24.173501999999999</v>
      </c>
      <c r="BG50" s="3">
        <v>22.920425000000002</v>
      </c>
      <c r="BH50" s="3">
        <v>24.365314000000001</v>
      </c>
      <c r="BI50" s="3">
        <v>24.033293</v>
      </c>
      <c r="BJ50" s="3">
        <v>22.251617</v>
      </c>
      <c r="BK50" s="3">
        <v>22.834520000000001</v>
      </c>
      <c r="BL50" s="3">
        <v>23.935911000000001</v>
      </c>
      <c r="BM50" s="3">
        <v>22.626142999999999</v>
      </c>
      <c r="BN50" s="3">
        <v>24.811738999999999</v>
      </c>
      <c r="BO50" s="3">
        <v>22.880514000000002</v>
      </c>
      <c r="BP50" s="3">
        <v>22.394591999999999</v>
      </c>
      <c r="BQ50" s="3">
        <v>24.965589999999999</v>
      </c>
      <c r="BR50" s="3">
        <v>23.396916999999998</v>
      </c>
      <c r="BS50" s="3">
        <v>23.996483000000001</v>
      </c>
      <c r="BT50" s="3">
        <v>22.657029999999999</v>
      </c>
      <c r="BU50" s="3">
        <v>23.597216</v>
      </c>
      <c r="BV50" s="3">
        <v>22.481279000000001</v>
      </c>
      <c r="BW50" s="3">
        <v>22.437087999999999</v>
      </c>
      <c r="BX50" s="3">
        <v>22.376953</v>
      </c>
      <c r="BY50" s="3">
        <v>22.492114999999998</v>
      </c>
      <c r="BZ50" s="3">
        <v>24.433084000000001</v>
      </c>
      <c r="CA50" s="3">
        <v>23.054480000000002</v>
      </c>
      <c r="CB50" s="3">
        <v>22.500399000000002</v>
      </c>
      <c r="CC50" s="3">
        <v>22.518668999999999</v>
      </c>
      <c r="CD50" s="3">
        <v>22.320467000000001</v>
      </c>
      <c r="CE50" s="3">
        <v>22.493459999999999</v>
      </c>
      <c r="CF50" s="3">
        <v>24.446376999999998</v>
      </c>
      <c r="CG50" s="3">
        <v>22.855782000000001</v>
      </c>
      <c r="CH50" s="3">
        <v>25.349568999999999</v>
      </c>
      <c r="CI50" s="3">
        <v>24.335207</v>
      </c>
      <c r="CJ50" s="3">
        <v>22.715719</v>
      </c>
      <c r="CK50" s="3">
        <v>22.728784999999998</v>
      </c>
      <c r="CL50" s="3">
        <v>23.231901000000001</v>
      </c>
      <c r="CM50" s="3">
        <v>22.341370000000001</v>
      </c>
      <c r="CN50" s="3">
        <v>22.262283</v>
      </c>
      <c r="CO50" s="3">
        <v>22.431685999999999</v>
      </c>
      <c r="CP50" s="3">
        <v>22.855349</v>
      </c>
      <c r="CQ50" s="3">
        <v>24.074783</v>
      </c>
      <c r="CR50" s="3">
        <v>22.431101000000002</v>
      </c>
      <c r="CS50" s="3">
        <v>23.963234</v>
      </c>
      <c r="CT50" s="3">
        <v>25.097403</v>
      </c>
      <c r="CU50" s="3">
        <v>22.213535</v>
      </c>
      <c r="CV50" s="3">
        <v>22.643277999999999</v>
      </c>
      <c r="CW50" s="3">
        <v>22.425146000000002</v>
      </c>
      <c r="CX50" s="3">
        <v>22.350577999999999</v>
      </c>
      <c r="CY50" s="3">
        <v>25.450673999999999</v>
      </c>
      <c r="CZ50" s="3">
        <v>22.360932999999999</v>
      </c>
      <c r="DA50" s="3">
        <v>22.157211</v>
      </c>
      <c r="DB50" s="3">
        <v>22.549855999999998</v>
      </c>
      <c r="DC50" s="3">
        <v>22.603907</v>
      </c>
      <c r="DD50" s="3">
        <v>24.257415999999999</v>
      </c>
      <c r="DE50" s="3">
        <v>22.919824999999999</v>
      </c>
      <c r="DF50" s="3">
        <v>22.212259</v>
      </c>
      <c r="DG50" s="3">
        <v>22.449138999999999</v>
      </c>
      <c r="DH50" s="3">
        <v>22.507747999999999</v>
      </c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25.085089690000004</v>
      </c>
      <c r="H52" s="3">
        <f>MAX(M52:GJ52)</f>
        <v>28.671589000000001</v>
      </c>
      <c r="I52" s="3">
        <f>MIN(M52:GJ52)</f>
        <v>21.381626000000001</v>
      </c>
      <c r="J52" s="3">
        <f>_xlfn.STDEV.P(M52:GJ52)</f>
        <v>1.5808468424268536</v>
      </c>
      <c r="K52" s="3">
        <f>_xlfn.VAR.S(M52:GJ52)</f>
        <v>2.5243199385969222</v>
      </c>
      <c r="M52" s="3">
        <v>25.398630000000001</v>
      </c>
      <c r="N52" s="3">
        <v>25.39349</v>
      </c>
      <c r="O52" s="3">
        <v>24.065928</v>
      </c>
      <c r="P52" s="3">
        <v>23.060580999999999</v>
      </c>
      <c r="Q52" s="3">
        <v>24.000553</v>
      </c>
      <c r="R52" s="3">
        <v>25.191399000000001</v>
      </c>
      <c r="S52" s="3">
        <v>26.110395</v>
      </c>
      <c r="T52" s="3">
        <v>25.349806000000001</v>
      </c>
      <c r="U52" s="3">
        <v>24.595348000000001</v>
      </c>
      <c r="V52" s="3">
        <v>23.013197000000002</v>
      </c>
      <c r="W52" s="3">
        <v>23.081402000000001</v>
      </c>
      <c r="X52" s="3">
        <v>23.722373999999999</v>
      </c>
      <c r="Y52" s="3">
        <v>25.72541</v>
      </c>
      <c r="Z52" s="3">
        <v>26.096084999999999</v>
      </c>
      <c r="AA52" s="3">
        <v>26.231204999999999</v>
      </c>
      <c r="AB52" s="3">
        <v>24.757491999999999</v>
      </c>
      <c r="AC52" s="3">
        <v>24.284382000000001</v>
      </c>
      <c r="AD52" s="3">
        <v>25.770734999999998</v>
      </c>
      <c r="AE52" s="3">
        <v>24.806673</v>
      </c>
      <c r="AF52" s="3">
        <v>26.621262000000002</v>
      </c>
      <c r="AG52" s="3">
        <v>26.322327000000001</v>
      </c>
      <c r="AH52" s="3">
        <v>23.407786999999999</v>
      </c>
      <c r="AI52" s="3">
        <v>24.377448999999999</v>
      </c>
      <c r="AJ52" s="3">
        <v>24.432767999999999</v>
      </c>
      <c r="AK52" s="3">
        <v>26.128</v>
      </c>
      <c r="AL52" s="3">
        <v>25.835322999999999</v>
      </c>
      <c r="AM52" s="3">
        <v>25.131039000000001</v>
      </c>
      <c r="AN52" s="3">
        <v>24.044014000000001</v>
      </c>
      <c r="AO52" s="3">
        <v>25.841089</v>
      </c>
      <c r="AP52" s="3">
        <v>24.818740999999999</v>
      </c>
      <c r="AQ52" s="3">
        <v>24.332550000000001</v>
      </c>
      <c r="AR52" s="3">
        <v>25.857161999999999</v>
      </c>
      <c r="AS52" s="3">
        <v>26.061392000000001</v>
      </c>
      <c r="AT52" s="3">
        <v>28.618314999999999</v>
      </c>
      <c r="AU52" s="3">
        <v>26.218720999999999</v>
      </c>
      <c r="AV52" s="3">
        <v>23.460421</v>
      </c>
      <c r="AW52" s="3">
        <v>25.764085999999999</v>
      </c>
      <c r="AX52" s="3">
        <v>25.260808999999998</v>
      </c>
      <c r="AY52" s="3">
        <v>23.168241999999999</v>
      </c>
      <c r="AZ52" s="3">
        <v>28.671589000000001</v>
      </c>
      <c r="BA52" s="3">
        <v>25.878762999999999</v>
      </c>
      <c r="BB52" s="3">
        <v>24.163838999999999</v>
      </c>
      <c r="BC52" s="3">
        <v>24.368198</v>
      </c>
      <c r="BD52" s="3">
        <v>23.471952000000002</v>
      </c>
      <c r="BE52" s="3">
        <v>23.880983000000001</v>
      </c>
      <c r="BF52" s="3">
        <v>27.671747</v>
      </c>
      <c r="BG52" s="3">
        <v>23.205207999999999</v>
      </c>
      <c r="BH52" s="3">
        <v>24.309076000000001</v>
      </c>
      <c r="BI52" s="3">
        <v>26.916985</v>
      </c>
      <c r="BJ52" s="3">
        <v>26.790178000000001</v>
      </c>
      <c r="BK52" s="3">
        <v>28.553017000000001</v>
      </c>
      <c r="BL52" s="3">
        <v>25.230293</v>
      </c>
      <c r="BM52" s="3">
        <v>24.565258</v>
      </c>
      <c r="BN52" s="3">
        <v>26.244373</v>
      </c>
      <c r="BO52" s="3">
        <v>26.675498999999999</v>
      </c>
      <c r="BP52" s="3">
        <v>23.62463</v>
      </c>
      <c r="BQ52" s="3">
        <v>25.230314</v>
      </c>
      <c r="BR52" s="3">
        <v>23.556034</v>
      </c>
      <c r="BS52" s="3">
        <v>26.04907</v>
      </c>
      <c r="BT52" s="3">
        <v>24.36758</v>
      </c>
      <c r="BU52" s="3">
        <v>24.830290000000002</v>
      </c>
      <c r="BV52" s="3">
        <v>24.989857000000001</v>
      </c>
      <c r="BW52" s="3">
        <v>24.39967</v>
      </c>
      <c r="BX52" s="3">
        <v>28.235249</v>
      </c>
      <c r="BY52" s="3">
        <v>27.565109</v>
      </c>
      <c r="BZ52" s="3">
        <v>24.901001000000001</v>
      </c>
      <c r="CA52" s="3">
        <v>23.349367000000001</v>
      </c>
      <c r="CB52" s="3">
        <v>25.008579000000001</v>
      </c>
      <c r="CC52" s="3">
        <v>24.895323000000001</v>
      </c>
      <c r="CD52" s="3">
        <v>25.366942999999999</v>
      </c>
      <c r="CE52" s="3">
        <v>25.690906999999999</v>
      </c>
      <c r="CF52" s="3">
        <v>24.168942999999999</v>
      </c>
      <c r="CG52" s="3">
        <v>26.341200000000001</v>
      </c>
      <c r="CH52" s="3">
        <v>24.064578999999998</v>
      </c>
      <c r="CI52" s="3">
        <v>26.620501999999998</v>
      </c>
      <c r="CJ52" s="3">
        <v>25.968748000000001</v>
      </c>
      <c r="CK52" s="3">
        <v>22.766424000000001</v>
      </c>
      <c r="CL52" s="3">
        <v>24.391881999999999</v>
      </c>
      <c r="CM52" s="3">
        <v>24.547357999999999</v>
      </c>
      <c r="CN52" s="3">
        <v>27.926687000000001</v>
      </c>
      <c r="CO52" s="3">
        <v>24.649664000000001</v>
      </c>
      <c r="CP52" s="3">
        <v>21.420055000000001</v>
      </c>
      <c r="CQ52" s="3">
        <v>22.249514000000001</v>
      </c>
      <c r="CR52" s="3">
        <v>23.942046999999999</v>
      </c>
      <c r="CS52" s="3">
        <v>24.968261999999999</v>
      </c>
      <c r="CT52" s="3">
        <v>25.112738</v>
      </c>
      <c r="CU52" s="3">
        <v>21.381626000000001</v>
      </c>
      <c r="CV52" s="3">
        <v>27.285056999999998</v>
      </c>
      <c r="CW52" s="3">
        <v>28.619211</v>
      </c>
      <c r="CX52" s="3">
        <v>27.267036000000001</v>
      </c>
      <c r="CY52" s="3">
        <v>28.341394000000001</v>
      </c>
      <c r="CZ52" s="3">
        <v>24.443531</v>
      </c>
      <c r="DA52" s="3">
        <v>25.785654000000001</v>
      </c>
      <c r="DB52" s="3">
        <v>22.735126000000001</v>
      </c>
      <c r="DC52" s="3">
        <v>24.787544</v>
      </c>
      <c r="DD52" s="3">
        <v>23.410374000000001</v>
      </c>
      <c r="DE52" s="3">
        <v>26.928920999999999</v>
      </c>
      <c r="DF52" s="3">
        <v>22.373453000000001</v>
      </c>
      <c r="DG52" s="3">
        <v>24.014700000000001</v>
      </c>
      <c r="DH52" s="3">
        <v>22.983276</v>
      </c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24.703886190000013</v>
      </c>
      <c r="H54" s="3">
        <f>MAX(M54:GJ54)</f>
        <v>28.418661</v>
      </c>
      <c r="I54" s="3">
        <f>MIN(M54:GJ54)</f>
        <v>22.719000000000001</v>
      </c>
      <c r="J54" s="3">
        <f>_xlfn.STDEV.P(M54:GJ54)</f>
        <v>1.1286552297753172</v>
      </c>
      <c r="K54" s="3">
        <f>_xlfn.VAR.S(M54:GJ54)</f>
        <v>1.2867299269688623</v>
      </c>
      <c r="M54" s="3">
        <v>24.894753999999999</v>
      </c>
      <c r="N54" s="3">
        <v>23.972871999999999</v>
      </c>
      <c r="O54" s="3">
        <v>23.622340999999999</v>
      </c>
      <c r="P54" s="3">
        <v>23.762989000000001</v>
      </c>
      <c r="Q54" s="3">
        <v>23.371476999999999</v>
      </c>
      <c r="R54" s="3">
        <v>23.223082999999999</v>
      </c>
      <c r="S54" s="3">
        <v>24.257705999999999</v>
      </c>
      <c r="T54" s="3">
        <v>24.53755</v>
      </c>
      <c r="U54" s="3">
        <v>26.761710999999998</v>
      </c>
      <c r="V54" s="3">
        <v>24.036736000000001</v>
      </c>
      <c r="W54" s="3">
        <v>23.515615</v>
      </c>
      <c r="X54" s="3">
        <v>27.752523</v>
      </c>
      <c r="Y54" s="3">
        <v>22.834403999999999</v>
      </c>
      <c r="Z54" s="3">
        <v>25.854965</v>
      </c>
      <c r="AA54" s="3">
        <v>23.64255</v>
      </c>
      <c r="AB54" s="3">
        <v>23.235831999999998</v>
      </c>
      <c r="AC54" s="3">
        <v>24.222653999999999</v>
      </c>
      <c r="AD54" s="3">
        <v>23.741831000000001</v>
      </c>
      <c r="AE54" s="3">
        <v>24.011816</v>
      </c>
      <c r="AF54" s="3">
        <v>25.197105000000001</v>
      </c>
      <c r="AG54" s="3">
        <v>23.984131000000001</v>
      </c>
      <c r="AH54" s="3">
        <v>25.029714999999999</v>
      </c>
      <c r="AI54" s="3">
        <v>24.207273000000001</v>
      </c>
      <c r="AJ54" s="3">
        <v>24.357127999999999</v>
      </c>
      <c r="AK54" s="3">
        <v>24.799223000000001</v>
      </c>
      <c r="AL54" s="3">
        <v>25.406748</v>
      </c>
      <c r="AM54" s="3">
        <v>25.360925999999999</v>
      </c>
      <c r="AN54" s="3">
        <v>24.773378000000001</v>
      </c>
      <c r="AO54" s="3">
        <v>24.966963</v>
      </c>
      <c r="AP54" s="3">
        <v>24.836206000000001</v>
      </c>
      <c r="AQ54" s="3">
        <v>23.991527999999999</v>
      </c>
      <c r="AR54" s="3">
        <v>25.539843000000001</v>
      </c>
      <c r="AS54" s="3">
        <v>24.79785</v>
      </c>
      <c r="AT54" s="3">
        <v>24.098654</v>
      </c>
      <c r="AU54" s="3">
        <v>26.828720000000001</v>
      </c>
      <c r="AV54" s="3">
        <v>24.410654000000001</v>
      </c>
      <c r="AW54" s="3">
        <v>24.920662</v>
      </c>
      <c r="AX54" s="3">
        <v>24.676165000000001</v>
      </c>
      <c r="AY54" s="3">
        <v>25.716788999999999</v>
      </c>
      <c r="AZ54" s="3">
        <v>24.213694</v>
      </c>
      <c r="BA54" s="3">
        <v>25.083985999999999</v>
      </c>
      <c r="BB54" s="3">
        <v>24.878150999999999</v>
      </c>
      <c r="BC54" s="3">
        <v>27.048795999999999</v>
      </c>
      <c r="BD54" s="3">
        <v>23.963829</v>
      </c>
      <c r="BE54" s="3">
        <v>25.474634000000002</v>
      </c>
      <c r="BF54" s="3">
        <v>25.303474000000001</v>
      </c>
      <c r="BG54" s="3">
        <v>24.320705</v>
      </c>
      <c r="BH54" s="3">
        <v>25.122833</v>
      </c>
      <c r="BI54" s="3">
        <v>23.308266</v>
      </c>
      <c r="BJ54" s="3">
        <v>25.583697999999998</v>
      </c>
      <c r="BK54" s="3">
        <v>25.781137000000001</v>
      </c>
      <c r="BL54" s="3">
        <v>23.914438000000001</v>
      </c>
      <c r="BM54" s="3">
        <v>25.241049</v>
      </c>
      <c r="BN54" s="3">
        <v>26.134129999999999</v>
      </c>
      <c r="BO54" s="3">
        <v>26.228553999999999</v>
      </c>
      <c r="BP54" s="3">
        <v>24.462980000000002</v>
      </c>
      <c r="BQ54" s="3">
        <v>26.056495999999999</v>
      </c>
      <c r="BR54" s="3">
        <v>23.762167000000002</v>
      </c>
      <c r="BS54" s="3">
        <v>25.102270000000001</v>
      </c>
      <c r="BT54" s="3">
        <v>23.013926999999999</v>
      </c>
      <c r="BU54" s="3">
        <v>25.301932999999998</v>
      </c>
      <c r="BV54" s="3">
        <v>25.401644000000001</v>
      </c>
      <c r="BW54" s="3">
        <v>24.535231</v>
      </c>
      <c r="BX54" s="3">
        <v>26.798950000000001</v>
      </c>
      <c r="BY54" s="3">
        <v>24.217483999999999</v>
      </c>
      <c r="BZ54" s="3">
        <v>25.011232</v>
      </c>
      <c r="CA54" s="3">
        <v>24.556647999999999</v>
      </c>
      <c r="CB54" s="3">
        <v>25.333292</v>
      </c>
      <c r="CC54" s="3">
        <v>26.042683</v>
      </c>
      <c r="CD54" s="3">
        <v>25.674305</v>
      </c>
      <c r="CE54" s="3">
        <v>25.816455999999999</v>
      </c>
      <c r="CF54" s="3">
        <v>24.633091</v>
      </c>
      <c r="CG54" s="3">
        <v>25.266165000000001</v>
      </c>
      <c r="CH54" s="3">
        <v>27.312525000000001</v>
      </c>
      <c r="CI54" s="3">
        <v>26.95223</v>
      </c>
      <c r="CJ54" s="3">
        <v>24.784271</v>
      </c>
      <c r="CK54" s="3">
        <v>22.973051000000002</v>
      </c>
      <c r="CL54" s="3">
        <v>23.173978999999999</v>
      </c>
      <c r="CM54" s="3">
        <v>25.435317999999999</v>
      </c>
      <c r="CN54" s="3">
        <v>24.497624999999999</v>
      </c>
      <c r="CO54" s="3">
        <v>23.387356</v>
      </c>
      <c r="CP54" s="3">
        <v>23.401329</v>
      </c>
      <c r="CQ54" s="3">
        <v>24.919962000000002</v>
      </c>
      <c r="CR54" s="3">
        <v>23.653258999999998</v>
      </c>
      <c r="CS54" s="3">
        <v>24.470694000000002</v>
      </c>
      <c r="CT54" s="3">
        <v>24.237852</v>
      </c>
      <c r="CU54" s="3">
        <v>28.418661</v>
      </c>
      <c r="CV54" s="3">
        <v>23.036992999999999</v>
      </c>
      <c r="CW54" s="3">
        <v>24.944700000000001</v>
      </c>
      <c r="CX54" s="3">
        <v>23.724892000000001</v>
      </c>
      <c r="CY54" s="3">
        <v>23.235529</v>
      </c>
      <c r="CZ54" s="3">
        <v>23.478307999999998</v>
      </c>
      <c r="DA54" s="3">
        <v>24.115345000000001</v>
      </c>
      <c r="DB54" s="3">
        <v>23.851811999999999</v>
      </c>
      <c r="DC54" s="3">
        <v>24.391020000000001</v>
      </c>
      <c r="DD54" s="3">
        <v>23.481460999999999</v>
      </c>
      <c r="DE54" s="3">
        <v>25.945383</v>
      </c>
      <c r="DF54" s="3">
        <v>22.719000000000001</v>
      </c>
      <c r="DG54" s="3">
        <v>24.211344</v>
      </c>
      <c r="DH54" s="3">
        <v>23.893322000000001</v>
      </c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27.996434790000009</v>
      </c>
      <c r="H56" s="3">
        <f>MAX(M56:GJ56)</f>
        <v>32.494892</v>
      </c>
      <c r="I56" s="3">
        <f>MIN(M56:GJ56)</f>
        <v>23.032053000000001</v>
      </c>
      <c r="J56" s="3">
        <f>_xlfn.STDEV.P(M56:GJ56)</f>
        <v>2.0984462564373536</v>
      </c>
      <c r="K56" s="3">
        <f>_xlfn.VAR.S(M56:GJ56)</f>
        <v>4.4479562536928734</v>
      </c>
      <c r="M56" s="3">
        <v>27.781518999999999</v>
      </c>
      <c r="N56" s="3">
        <v>25.946588999999999</v>
      </c>
      <c r="O56" s="3">
        <v>26.133438000000002</v>
      </c>
      <c r="P56" s="3">
        <v>27.278534000000001</v>
      </c>
      <c r="Q56" s="3">
        <v>32.321219999999997</v>
      </c>
      <c r="R56" s="3">
        <v>32.494892</v>
      </c>
      <c r="S56" s="3">
        <v>26.909617999999998</v>
      </c>
      <c r="T56" s="3">
        <v>27.850152999999999</v>
      </c>
      <c r="U56" s="3">
        <v>31.494136999999998</v>
      </c>
      <c r="V56" s="3">
        <v>29.949223</v>
      </c>
      <c r="W56" s="3">
        <v>28.853740999999999</v>
      </c>
      <c r="X56" s="3">
        <v>25.338024000000001</v>
      </c>
      <c r="Y56" s="3">
        <v>27.808598</v>
      </c>
      <c r="Z56" s="3">
        <v>30.045572</v>
      </c>
      <c r="AA56" s="3">
        <v>30.951844999999999</v>
      </c>
      <c r="AB56" s="3">
        <v>27.127548000000001</v>
      </c>
      <c r="AC56" s="3">
        <v>29.598199999999999</v>
      </c>
      <c r="AD56" s="3">
        <v>25.511323999999998</v>
      </c>
      <c r="AE56" s="3">
        <v>27.897027999999999</v>
      </c>
      <c r="AF56" s="3">
        <v>27.193128999999999</v>
      </c>
      <c r="AG56" s="3">
        <v>29.827041999999999</v>
      </c>
      <c r="AH56" s="3">
        <v>27.88006</v>
      </c>
      <c r="AI56" s="3">
        <v>27.319673999999999</v>
      </c>
      <c r="AJ56" s="3">
        <v>29.952721</v>
      </c>
      <c r="AK56" s="3">
        <v>28.038129999999999</v>
      </c>
      <c r="AL56" s="3">
        <v>25.980829</v>
      </c>
      <c r="AM56" s="3">
        <v>24.055702</v>
      </c>
      <c r="AN56" s="3">
        <v>23.032053000000001</v>
      </c>
      <c r="AO56" s="3">
        <v>28.072908000000002</v>
      </c>
      <c r="AP56" s="3">
        <v>30.846001000000001</v>
      </c>
      <c r="AQ56" s="3">
        <v>30.270925999999999</v>
      </c>
      <c r="AR56" s="3">
        <v>27.675633999999999</v>
      </c>
      <c r="AS56" s="3">
        <v>28.895593999999999</v>
      </c>
      <c r="AT56" s="3">
        <v>28.420701999999999</v>
      </c>
      <c r="AU56" s="3">
        <v>26.551469999999998</v>
      </c>
      <c r="AV56" s="3">
        <v>24.587488</v>
      </c>
      <c r="AW56" s="3">
        <v>24.429490999999999</v>
      </c>
      <c r="AX56" s="3">
        <v>25.788512999999998</v>
      </c>
      <c r="AY56" s="3">
        <v>27.772047000000001</v>
      </c>
      <c r="AZ56" s="3">
        <v>32.060028000000003</v>
      </c>
      <c r="BA56" s="3">
        <v>27.132801000000001</v>
      </c>
      <c r="BB56" s="3">
        <v>29.460439999999998</v>
      </c>
      <c r="BC56" s="3">
        <v>26.95393</v>
      </c>
      <c r="BD56" s="3">
        <v>26.940149000000002</v>
      </c>
      <c r="BE56" s="3">
        <v>24.572102000000001</v>
      </c>
      <c r="BF56" s="3">
        <v>30.223495</v>
      </c>
      <c r="BG56" s="3">
        <v>29.811062</v>
      </c>
      <c r="BH56" s="3">
        <v>29.738824999999999</v>
      </c>
      <c r="BI56" s="3">
        <v>27.372900000000001</v>
      </c>
      <c r="BJ56" s="3">
        <v>30.328278999999998</v>
      </c>
      <c r="BK56" s="3">
        <v>25.467296999999999</v>
      </c>
      <c r="BL56" s="3">
        <v>25.015940000000001</v>
      </c>
      <c r="BM56" s="3">
        <v>24.224924000000001</v>
      </c>
      <c r="BN56" s="3">
        <v>29.622267000000001</v>
      </c>
      <c r="BO56" s="3">
        <v>30.455929000000001</v>
      </c>
      <c r="BP56" s="3">
        <v>32.355578999999999</v>
      </c>
      <c r="BQ56" s="3">
        <v>27.653335999999999</v>
      </c>
      <c r="BR56" s="3">
        <v>29.278455999999998</v>
      </c>
      <c r="BS56" s="3">
        <v>27.176991000000001</v>
      </c>
      <c r="BT56" s="3">
        <v>29.163575999999999</v>
      </c>
      <c r="BU56" s="3">
        <v>23.867756</v>
      </c>
      <c r="BV56" s="3">
        <v>25.859114000000002</v>
      </c>
      <c r="BW56" s="3">
        <v>26.667141000000001</v>
      </c>
      <c r="BX56" s="3">
        <v>29.845493000000001</v>
      </c>
      <c r="BY56" s="3">
        <v>30.299398</v>
      </c>
      <c r="BZ56" s="3">
        <v>29.308443</v>
      </c>
      <c r="CA56" s="3">
        <v>28.700901000000002</v>
      </c>
      <c r="CB56" s="3">
        <v>27.395071000000002</v>
      </c>
      <c r="CC56" s="3">
        <v>27.756853</v>
      </c>
      <c r="CD56" s="3">
        <v>25.215368000000002</v>
      </c>
      <c r="CE56" s="3">
        <v>28.390898</v>
      </c>
      <c r="CF56" s="3">
        <v>28.939122999999999</v>
      </c>
      <c r="CG56" s="3">
        <v>28.176062000000002</v>
      </c>
      <c r="CH56" s="3">
        <v>28.007905999999998</v>
      </c>
      <c r="CI56" s="3">
        <v>28.603667999999999</v>
      </c>
      <c r="CJ56" s="3">
        <v>27.420887</v>
      </c>
      <c r="CK56" s="3">
        <v>25.306315999999999</v>
      </c>
      <c r="CL56" s="3">
        <v>25.900845</v>
      </c>
      <c r="CM56" s="3">
        <v>28.908812999999999</v>
      </c>
      <c r="CN56" s="3">
        <v>31.031637</v>
      </c>
      <c r="CO56" s="3">
        <v>32.413756999999997</v>
      </c>
      <c r="CP56" s="3">
        <v>25.937308999999999</v>
      </c>
      <c r="CQ56" s="3">
        <v>28.588757999999999</v>
      </c>
      <c r="CR56" s="3">
        <v>30.046641999999999</v>
      </c>
      <c r="CS56" s="3">
        <v>28.213391999999999</v>
      </c>
      <c r="CT56" s="3">
        <v>24.874813</v>
      </c>
      <c r="CU56" s="3">
        <v>25.772953000000001</v>
      </c>
      <c r="CV56" s="3">
        <v>26.353306</v>
      </c>
      <c r="CW56" s="3">
        <v>29.361702000000001</v>
      </c>
      <c r="CX56" s="3">
        <v>30.768523999999999</v>
      </c>
      <c r="CY56" s="3">
        <v>26.078796000000001</v>
      </c>
      <c r="CZ56" s="3">
        <v>28.734774000000002</v>
      </c>
      <c r="DA56" s="3">
        <v>29.965250000000001</v>
      </c>
      <c r="DB56" s="3">
        <v>28.215885</v>
      </c>
      <c r="DC56" s="3">
        <v>27.187201999999999</v>
      </c>
      <c r="DD56" s="3">
        <v>27.367906999999999</v>
      </c>
      <c r="DE56" s="3">
        <v>28.306477000000001</v>
      </c>
      <c r="DF56" s="3">
        <v>27.033152000000001</v>
      </c>
      <c r="DG56" s="3">
        <v>26.467827</v>
      </c>
      <c r="DH56" s="3">
        <v>29.463736999999998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24.53890578</v>
      </c>
      <c r="H58" s="3">
        <f>MAX(M58:GJ58)</f>
        <v>31.477153999999999</v>
      </c>
      <c r="I58" s="3">
        <f>MIN(M58:GJ58)</f>
        <v>20.920363999999999</v>
      </c>
      <c r="J58" s="3">
        <f>_xlfn.STDEV.P(M58:GJ58)</f>
        <v>1.9848617320373856</v>
      </c>
      <c r="K58" s="3">
        <f>_xlfn.VAR.S(M58:GJ58)</f>
        <v>3.9794708033398489</v>
      </c>
      <c r="M58" s="3">
        <v>25.656466999999999</v>
      </c>
      <c r="N58" s="3">
        <v>24.338835</v>
      </c>
      <c r="O58" s="3">
        <v>23.886417000000002</v>
      </c>
      <c r="P58" s="3">
        <v>21.679846000000001</v>
      </c>
      <c r="Q58" s="3">
        <v>22.874628000000001</v>
      </c>
      <c r="R58" s="3">
        <v>26.835650999999999</v>
      </c>
      <c r="S58" s="3">
        <v>22.309345</v>
      </c>
      <c r="T58" s="3">
        <v>24.282944000000001</v>
      </c>
      <c r="U58" s="3">
        <v>24.889779999999998</v>
      </c>
      <c r="V58" s="3">
        <v>26.230136999999999</v>
      </c>
      <c r="W58" s="3">
        <v>23.660076</v>
      </c>
      <c r="X58" s="3">
        <v>24.912962</v>
      </c>
      <c r="Y58" s="3">
        <v>24.327707</v>
      </c>
      <c r="Z58" s="3">
        <v>22.18375</v>
      </c>
      <c r="AA58" s="3">
        <v>24.004874999999998</v>
      </c>
      <c r="AB58" s="3">
        <v>24.072379999999999</v>
      </c>
      <c r="AC58" s="3">
        <v>24.293970000000002</v>
      </c>
      <c r="AD58" s="3">
        <v>27.086758</v>
      </c>
      <c r="AE58" s="3">
        <v>24.395344000000001</v>
      </c>
      <c r="AF58" s="3">
        <v>23.815006</v>
      </c>
      <c r="AG58" s="3">
        <v>23.670193000000001</v>
      </c>
      <c r="AH58" s="3">
        <v>23.548313</v>
      </c>
      <c r="AI58" s="3">
        <v>21.568016</v>
      </c>
      <c r="AJ58" s="3">
        <v>22.366295000000001</v>
      </c>
      <c r="AK58" s="3">
        <v>24.388582</v>
      </c>
      <c r="AL58" s="3">
        <v>27.090401</v>
      </c>
      <c r="AM58" s="3">
        <v>26.229748000000001</v>
      </c>
      <c r="AN58" s="3">
        <v>24.169518</v>
      </c>
      <c r="AO58" s="3">
        <v>24.396001999999999</v>
      </c>
      <c r="AP58" s="3">
        <v>21.597355</v>
      </c>
      <c r="AQ58" s="3">
        <v>25.208109</v>
      </c>
      <c r="AR58" s="3">
        <v>23.536857999999999</v>
      </c>
      <c r="AS58" s="3">
        <v>25.092064000000001</v>
      </c>
      <c r="AT58" s="3">
        <v>26.925761999999999</v>
      </c>
      <c r="AU58" s="3">
        <v>23.379881000000001</v>
      </c>
      <c r="AV58" s="3">
        <v>22.858073999999998</v>
      </c>
      <c r="AW58" s="3">
        <v>26.859687999999998</v>
      </c>
      <c r="AX58" s="3">
        <v>22.815607</v>
      </c>
      <c r="AY58" s="3">
        <v>22.935020000000002</v>
      </c>
      <c r="AZ58" s="3">
        <v>25.314512000000001</v>
      </c>
      <c r="BA58" s="3">
        <v>24.665441999999999</v>
      </c>
      <c r="BB58" s="3">
        <v>24.460058</v>
      </c>
      <c r="BC58" s="3">
        <v>24.780363000000001</v>
      </c>
      <c r="BD58" s="3">
        <v>26.371967000000001</v>
      </c>
      <c r="BE58" s="3">
        <v>23.976559000000002</v>
      </c>
      <c r="BF58" s="3">
        <v>23.613647</v>
      </c>
      <c r="BG58" s="3">
        <v>22.302575999999998</v>
      </c>
      <c r="BH58" s="3">
        <v>22.098140999999998</v>
      </c>
      <c r="BI58" s="3">
        <v>21.171199999999999</v>
      </c>
      <c r="BJ58" s="3">
        <v>26.757439000000002</v>
      </c>
      <c r="BK58" s="3">
        <v>25.312984</v>
      </c>
      <c r="BL58" s="3">
        <v>25.671113999999999</v>
      </c>
      <c r="BM58" s="3">
        <v>30.285616000000001</v>
      </c>
      <c r="BN58" s="3">
        <v>21.814599999999999</v>
      </c>
      <c r="BO58" s="3">
        <v>21.993853000000001</v>
      </c>
      <c r="BP58" s="3">
        <v>24.106076999999999</v>
      </c>
      <c r="BQ58" s="3">
        <v>22.847607</v>
      </c>
      <c r="BR58" s="3">
        <v>24.556923000000001</v>
      </c>
      <c r="BS58" s="3">
        <v>24.407371999999999</v>
      </c>
      <c r="BT58" s="3">
        <v>25.260572</v>
      </c>
      <c r="BU58" s="3">
        <v>24.536591000000001</v>
      </c>
      <c r="BV58" s="3">
        <v>24.506271000000002</v>
      </c>
      <c r="BW58" s="3">
        <v>24.752151000000001</v>
      </c>
      <c r="BX58" s="3">
        <v>23.81381</v>
      </c>
      <c r="BY58" s="3">
        <v>23.770617999999999</v>
      </c>
      <c r="BZ58" s="3">
        <v>24.708658</v>
      </c>
      <c r="CA58" s="3">
        <v>23.951736</v>
      </c>
      <c r="CB58" s="3">
        <v>25.672519999999999</v>
      </c>
      <c r="CC58" s="3">
        <v>24.775210999999999</v>
      </c>
      <c r="CD58" s="3">
        <v>25.491282999999999</v>
      </c>
      <c r="CE58" s="3">
        <v>24.980124</v>
      </c>
      <c r="CF58" s="3">
        <v>22.996355000000001</v>
      </c>
      <c r="CG58" s="3">
        <v>23.949852</v>
      </c>
      <c r="CH58" s="3">
        <v>20.920363999999999</v>
      </c>
      <c r="CI58" s="3">
        <v>25.511852000000001</v>
      </c>
      <c r="CJ58" s="3">
        <v>29.333689</v>
      </c>
      <c r="CK58" s="3">
        <v>23.098343</v>
      </c>
      <c r="CL58" s="3">
        <v>23.342945</v>
      </c>
      <c r="CM58" s="3">
        <v>24.070353999999998</v>
      </c>
      <c r="CN58" s="3">
        <v>27.941047999999999</v>
      </c>
      <c r="CO58" s="3">
        <v>22.158249000000001</v>
      </c>
      <c r="CP58" s="3">
        <v>26.100245999999999</v>
      </c>
      <c r="CQ58" s="3">
        <v>25.008749000000002</v>
      </c>
      <c r="CR58" s="3">
        <v>28.622471000000001</v>
      </c>
      <c r="CS58" s="3">
        <v>24.088754999999999</v>
      </c>
      <c r="CT58" s="3">
        <v>23.440681000000001</v>
      </c>
      <c r="CU58" s="3">
        <v>26.277473000000001</v>
      </c>
      <c r="CV58" s="3">
        <v>23.809839</v>
      </c>
      <c r="CW58" s="3">
        <v>26.903500000000001</v>
      </c>
      <c r="CX58" s="3">
        <v>23.525079999999999</v>
      </c>
      <c r="CY58" s="3">
        <v>31.352104000000001</v>
      </c>
      <c r="CZ58" s="3">
        <v>24.615644</v>
      </c>
      <c r="DA58" s="3">
        <v>25.074192</v>
      </c>
      <c r="DB58" s="3">
        <v>21.635186999999998</v>
      </c>
      <c r="DC58" s="3">
        <v>22.641283000000001</v>
      </c>
      <c r="DD58" s="3">
        <v>26.032475000000002</v>
      </c>
      <c r="DE58" s="3">
        <v>26.614923000000001</v>
      </c>
      <c r="DF58" s="3">
        <v>23.140018000000001</v>
      </c>
      <c r="DG58" s="3">
        <v>31.477153999999999</v>
      </c>
      <c r="DH58" s="3">
        <v>23.107793999999998</v>
      </c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</row>
    <row r="61" spans="2:207" x14ac:dyDescent="0.2">
      <c r="B61" t="s">
        <v>59</v>
      </c>
      <c r="D61" s="1" t="s">
        <v>37</v>
      </c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32.671553420000002</v>
      </c>
      <c r="H62" s="3">
        <f>MAX(M62:GJ62)</f>
        <v>35.318604000000001</v>
      </c>
      <c r="I62" s="3">
        <f>MIN(M62:GJ62)</f>
        <v>29.381720000000001</v>
      </c>
      <c r="J62" s="3">
        <f>_xlfn.STDEV.P(M62:GJ62)</f>
        <v>1.2570057169995146</v>
      </c>
      <c r="K62" s="3">
        <f>_xlfn.VAR.S(M62:GJ62)</f>
        <v>1.5960236086560238</v>
      </c>
      <c r="M62" s="3">
        <v>34.434204000000001</v>
      </c>
      <c r="N62" s="3">
        <v>34.753673999999997</v>
      </c>
      <c r="O62" s="3">
        <v>29.655273000000001</v>
      </c>
      <c r="P62" s="3">
        <v>34.078510000000001</v>
      </c>
      <c r="Q62" s="3">
        <v>30.266940999999999</v>
      </c>
      <c r="R62" s="3">
        <v>33.732613000000001</v>
      </c>
      <c r="S62" s="3">
        <v>31.253171999999999</v>
      </c>
      <c r="T62" s="3">
        <v>33.382683</v>
      </c>
      <c r="U62" s="3">
        <v>33.073650000000001</v>
      </c>
      <c r="V62" s="3">
        <v>33.305885000000004</v>
      </c>
      <c r="W62" s="3">
        <v>31.456555999999999</v>
      </c>
      <c r="X62" s="3">
        <v>33.394965999999997</v>
      </c>
      <c r="Y62" s="3">
        <v>34.198577999999998</v>
      </c>
      <c r="Z62" s="3">
        <v>32.362873</v>
      </c>
      <c r="AA62" s="3">
        <v>33.274334000000003</v>
      </c>
      <c r="AB62" s="3">
        <v>31.378215999999998</v>
      </c>
      <c r="AC62" s="3">
        <v>31.538094000000001</v>
      </c>
      <c r="AD62" s="3">
        <v>32.501980000000003</v>
      </c>
      <c r="AE62" s="3">
        <v>31.191343</v>
      </c>
      <c r="AF62" s="3">
        <v>33.174025999999998</v>
      </c>
      <c r="AG62" s="3">
        <v>31.951011999999999</v>
      </c>
      <c r="AH62" s="3">
        <v>33.243659999999998</v>
      </c>
      <c r="AI62" s="3">
        <v>33.212268999999999</v>
      </c>
      <c r="AJ62" s="3">
        <v>34.301144000000001</v>
      </c>
      <c r="AK62" s="3">
        <v>32.495106</v>
      </c>
      <c r="AL62" s="3">
        <v>33.671298999999998</v>
      </c>
      <c r="AM62" s="3">
        <v>33.415084999999998</v>
      </c>
      <c r="AN62" s="3">
        <v>32.541725</v>
      </c>
      <c r="AO62" s="3">
        <v>33.801712000000002</v>
      </c>
      <c r="AP62" s="3">
        <v>32.441307000000002</v>
      </c>
      <c r="AQ62" s="3">
        <v>32.997096999999997</v>
      </c>
      <c r="AR62" s="3">
        <v>30.674275999999999</v>
      </c>
      <c r="AS62" s="3">
        <v>31.426973</v>
      </c>
      <c r="AT62" s="3">
        <v>33.241168999999999</v>
      </c>
      <c r="AU62" s="3">
        <v>32.441634999999998</v>
      </c>
      <c r="AV62" s="3">
        <v>31.744066</v>
      </c>
      <c r="AW62" s="3">
        <v>32.657505</v>
      </c>
      <c r="AX62" s="3">
        <v>31.23414</v>
      </c>
      <c r="AY62" s="3">
        <v>34.119999</v>
      </c>
      <c r="AZ62" s="3">
        <v>33.580463000000002</v>
      </c>
      <c r="BA62" s="3">
        <v>31.796734000000001</v>
      </c>
      <c r="BB62" s="3">
        <v>34.429625999999999</v>
      </c>
      <c r="BC62" s="3">
        <v>33.117718000000004</v>
      </c>
      <c r="BD62" s="3">
        <v>34.169178000000002</v>
      </c>
      <c r="BE62" s="3">
        <v>30.643260999999999</v>
      </c>
      <c r="BF62" s="3">
        <v>33.482849000000002</v>
      </c>
      <c r="BG62" s="3">
        <v>31.131815</v>
      </c>
      <c r="BH62" s="3">
        <v>33.799484</v>
      </c>
      <c r="BI62" s="3">
        <v>33.077724000000003</v>
      </c>
      <c r="BJ62" s="3">
        <v>30.548857000000002</v>
      </c>
      <c r="BK62" s="3">
        <v>31.4785</v>
      </c>
      <c r="BL62" s="3">
        <v>32.974074999999999</v>
      </c>
      <c r="BM62" s="3">
        <v>31.982336</v>
      </c>
      <c r="BN62" s="3">
        <v>33.247596999999999</v>
      </c>
      <c r="BO62" s="3">
        <v>33.004002</v>
      </c>
      <c r="BP62" s="3">
        <v>32.316119999999998</v>
      </c>
      <c r="BQ62" s="3">
        <v>35.248950999999998</v>
      </c>
      <c r="BR62" s="3">
        <v>33.711094000000003</v>
      </c>
      <c r="BS62" s="3">
        <v>34.694611000000002</v>
      </c>
      <c r="BT62" s="3">
        <v>33.020493000000002</v>
      </c>
      <c r="BU62" s="3">
        <v>31.745487000000001</v>
      </c>
      <c r="BV62" s="3">
        <v>31.635055999999999</v>
      </c>
      <c r="BW62" s="3">
        <v>31.704027</v>
      </c>
      <c r="BX62" s="3">
        <v>31.472225000000002</v>
      </c>
      <c r="BY62" s="3">
        <v>32.244579000000002</v>
      </c>
      <c r="BZ62" s="3">
        <v>34.429180000000002</v>
      </c>
      <c r="CA62" s="3">
        <v>33.192822</v>
      </c>
      <c r="CB62" s="3">
        <v>33.140380999999998</v>
      </c>
      <c r="CC62" s="3">
        <v>29.880845999999998</v>
      </c>
      <c r="CD62" s="3">
        <v>32.647658999999997</v>
      </c>
      <c r="CE62" s="3">
        <v>31.066777999999999</v>
      </c>
      <c r="CF62" s="3">
        <v>34.862186000000001</v>
      </c>
      <c r="CG62" s="3">
        <v>33.840556999999997</v>
      </c>
      <c r="CH62" s="3">
        <v>34.735218000000003</v>
      </c>
      <c r="CI62" s="3">
        <v>33.282443999999998</v>
      </c>
      <c r="CJ62" s="3">
        <v>33.031410000000001</v>
      </c>
      <c r="CK62" s="3">
        <v>32.109226</v>
      </c>
      <c r="CL62" s="3">
        <v>33.214042999999997</v>
      </c>
      <c r="CM62" s="3">
        <v>32.124741</v>
      </c>
      <c r="CN62" s="3">
        <v>32.743076000000002</v>
      </c>
      <c r="CO62" s="3">
        <v>32.243918999999998</v>
      </c>
      <c r="CP62" s="3">
        <v>31.355930000000001</v>
      </c>
      <c r="CQ62" s="3">
        <v>33.079636000000001</v>
      </c>
      <c r="CR62" s="3">
        <v>33.352524000000003</v>
      </c>
      <c r="CS62" s="3">
        <v>33.862839000000001</v>
      </c>
      <c r="CT62" s="3">
        <v>33.725074999999997</v>
      </c>
      <c r="CU62" s="3">
        <v>32.279651999999999</v>
      </c>
      <c r="CV62" s="3">
        <v>30.840997999999999</v>
      </c>
      <c r="CW62" s="3">
        <v>32.750439</v>
      </c>
      <c r="CX62" s="3">
        <v>31.816185000000001</v>
      </c>
      <c r="CY62" s="3">
        <v>35.318604000000001</v>
      </c>
      <c r="CZ62" s="3">
        <v>32.491737000000001</v>
      </c>
      <c r="DA62" s="3">
        <v>32.906033000000001</v>
      </c>
      <c r="DB62" s="3">
        <v>29.381720000000001</v>
      </c>
      <c r="DC62" s="3">
        <v>31.911722000000001</v>
      </c>
      <c r="DD62" s="3">
        <v>34.533420999999997</v>
      </c>
      <c r="DE62" s="3">
        <v>32.308028999999998</v>
      </c>
      <c r="DF62" s="3">
        <v>31.889074000000001</v>
      </c>
      <c r="DG62" s="3">
        <v>30.740725000000001</v>
      </c>
      <c r="DH62" s="3">
        <v>31.790901000000002</v>
      </c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37.641188070000005</v>
      </c>
      <c r="H64" s="3">
        <f>MAX(M64:GJ64)</f>
        <v>43.487941999999997</v>
      </c>
      <c r="I64" s="3">
        <f>MIN(M64:GJ64)</f>
        <v>31.251681999999999</v>
      </c>
      <c r="J64" s="3">
        <f>_xlfn.STDEV.P(M64:GJ64)</f>
        <v>2.6962104023379312</v>
      </c>
      <c r="K64" s="3">
        <f>_xlfn.VAR.S(M64:GJ64)</f>
        <v>7.3429803370457263</v>
      </c>
      <c r="M64" s="3">
        <v>38.519482000000004</v>
      </c>
      <c r="N64" s="3">
        <v>35.865402000000003</v>
      </c>
      <c r="O64" s="3">
        <v>37.723227999999999</v>
      </c>
      <c r="P64" s="3">
        <v>36.449978000000002</v>
      </c>
      <c r="Q64" s="3">
        <v>32.305140999999999</v>
      </c>
      <c r="R64" s="3">
        <v>40.139702</v>
      </c>
      <c r="S64" s="3">
        <v>40.074252999999999</v>
      </c>
      <c r="T64" s="3">
        <v>31.251681999999999</v>
      </c>
      <c r="U64" s="3">
        <v>32.111221</v>
      </c>
      <c r="V64" s="3">
        <v>34.900181000000003</v>
      </c>
      <c r="W64" s="3">
        <v>39.242137999999997</v>
      </c>
      <c r="X64" s="3">
        <v>39.354458000000001</v>
      </c>
      <c r="Y64" s="3">
        <v>34.827289999999998</v>
      </c>
      <c r="Z64" s="3">
        <v>42.309463999999998</v>
      </c>
      <c r="AA64" s="3">
        <v>40.127056000000003</v>
      </c>
      <c r="AB64" s="3">
        <v>34.414493999999998</v>
      </c>
      <c r="AC64" s="3">
        <v>37.229004000000003</v>
      </c>
      <c r="AD64" s="3">
        <v>38.665184000000004</v>
      </c>
      <c r="AE64" s="3">
        <v>39.943432000000001</v>
      </c>
      <c r="AF64" s="3">
        <v>33.586727000000003</v>
      </c>
      <c r="AG64" s="3">
        <v>36.793922000000002</v>
      </c>
      <c r="AH64" s="3">
        <v>31.810576999999999</v>
      </c>
      <c r="AI64" s="3">
        <v>37.336711999999999</v>
      </c>
      <c r="AJ64" s="3">
        <v>39.242764000000001</v>
      </c>
      <c r="AK64" s="3">
        <v>39.718319000000001</v>
      </c>
      <c r="AL64" s="3">
        <v>38.126590999999998</v>
      </c>
      <c r="AM64" s="3">
        <v>36.982624000000001</v>
      </c>
      <c r="AN64" s="3">
        <v>36.252918000000001</v>
      </c>
      <c r="AO64" s="3">
        <v>38.337372000000002</v>
      </c>
      <c r="AP64" s="3">
        <v>40.746197000000002</v>
      </c>
      <c r="AQ64" s="3">
        <v>38.026764</v>
      </c>
      <c r="AR64" s="3">
        <v>38.265953000000003</v>
      </c>
      <c r="AS64" s="3">
        <v>41.040443000000003</v>
      </c>
      <c r="AT64" s="3">
        <v>34.809319000000002</v>
      </c>
      <c r="AU64" s="3">
        <v>43.487941999999997</v>
      </c>
      <c r="AV64" s="3">
        <v>39.067771999999998</v>
      </c>
      <c r="AW64" s="3">
        <v>32.236094999999999</v>
      </c>
      <c r="AX64" s="3">
        <v>33.442303000000003</v>
      </c>
      <c r="AY64" s="3">
        <v>32.050747000000001</v>
      </c>
      <c r="AZ64" s="3">
        <v>34.128365000000002</v>
      </c>
      <c r="BA64" s="3">
        <v>37.347968999999999</v>
      </c>
      <c r="BB64" s="3">
        <v>35.471133999999999</v>
      </c>
      <c r="BC64" s="3">
        <v>33.992561000000002</v>
      </c>
      <c r="BD64" s="3">
        <v>40.127662999999998</v>
      </c>
      <c r="BE64" s="3">
        <v>40.683639999999997</v>
      </c>
      <c r="BF64" s="3">
        <v>38.152377999999999</v>
      </c>
      <c r="BG64" s="3">
        <v>39.868279000000001</v>
      </c>
      <c r="BH64" s="3">
        <v>35.380305999999997</v>
      </c>
      <c r="BI64" s="3">
        <v>37.266537</v>
      </c>
      <c r="BJ64" s="3">
        <v>39.831429</v>
      </c>
      <c r="BK64" s="3">
        <v>38.867901000000003</v>
      </c>
      <c r="BL64" s="3">
        <v>34.629779999999997</v>
      </c>
      <c r="BM64" s="3">
        <v>40.239269</v>
      </c>
      <c r="BN64" s="3">
        <v>37.628822</v>
      </c>
      <c r="BO64" s="3">
        <v>41.472434999999997</v>
      </c>
      <c r="BP64" s="3">
        <v>39.102200000000003</v>
      </c>
      <c r="BQ64" s="3">
        <v>39.197353</v>
      </c>
      <c r="BR64" s="3">
        <v>38.753948000000001</v>
      </c>
      <c r="BS64" s="3">
        <v>36.782874999999997</v>
      </c>
      <c r="BT64" s="3">
        <v>39.549778000000003</v>
      </c>
      <c r="BU64" s="3">
        <v>41.566989999999997</v>
      </c>
      <c r="BV64" s="3">
        <v>38.267296000000002</v>
      </c>
      <c r="BW64" s="3">
        <v>34.456432</v>
      </c>
      <c r="BX64" s="3">
        <v>38.067005000000002</v>
      </c>
      <c r="BY64" s="3">
        <v>41.642600999999999</v>
      </c>
      <c r="BZ64" s="3">
        <v>36.635857000000001</v>
      </c>
      <c r="CA64" s="3">
        <v>37.319949999999999</v>
      </c>
      <c r="CB64" s="3">
        <v>40.279057000000002</v>
      </c>
      <c r="CC64" s="3">
        <v>40.495894999999997</v>
      </c>
      <c r="CD64" s="3">
        <v>39.437344000000003</v>
      </c>
      <c r="CE64" s="3">
        <v>39.692337000000002</v>
      </c>
      <c r="CF64" s="3">
        <v>41.794277000000001</v>
      </c>
      <c r="CG64" s="3">
        <v>34.042949999999998</v>
      </c>
      <c r="CH64" s="3">
        <v>37.616554000000001</v>
      </c>
      <c r="CI64" s="3">
        <v>40.087265000000002</v>
      </c>
      <c r="CJ64" s="3">
        <v>39.307921999999998</v>
      </c>
      <c r="CK64" s="3">
        <v>38.431441999999997</v>
      </c>
      <c r="CL64" s="3">
        <v>40.905524999999997</v>
      </c>
      <c r="CM64" s="3">
        <v>34.541561000000002</v>
      </c>
      <c r="CN64" s="3">
        <v>33.535891999999997</v>
      </c>
      <c r="CO64" s="3">
        <v>36.385970999999998</v>
      </c>
      <c r="CP64" s="3">
        <v>34.051392</v>
      </c>
      <c r="CQ64" s="3">
        <v>35.974220000000003</v>
      </c>
      <c r="CR64" s="3">
        <v>35.992344000000003</v>
      </c>
      <c r="CS64" s="3">
        <v>41.768622999999998</v>
      </c>
      <c r="CT64" s="3">
        <v>37.274639000000001</v>
      </c>
      <c r="CU64" s="3">
        <v>33.495711999999997</v>
      </c>
      <c r="CV64" s="3">
        <v>40.654114</v>
      </c>
      <c r="CW64" s="3">
        <v>37.916088000000002</v>
      </c>
      <c r="CX64" s="3">
        <v>35.536265999999998</v>
      </c>
      <c r="CY64" s="3">
        <v>40.852139000000001</v>
      </c>
      <c r="CZ64" s="3">
        <v>37.967334999999999</v>
      </c>
      <c r="DA64" s="3">
        <v>40.604244000000001</v>
      </c>
      <c r="DB64" s="3">
        <v>36.558639999999997</v>
      </c>
      <c r="DC64" s="3">
        <v>38.092522000000002</v>
      </c>
      <c r="DD64" s="3">
        <v>35.876300999999998</v>
      </c>
      <c r="DE64" s="3">
        <v>38.186005000000002</v>
      </c>
      <c r="DF64" s="3">
        <v>38.441971000000002</v>
      </c>
      <c r="DG64" s="3">
        <v>37.739235000000001</v>
      </c>
      <c r="DH64" s="3">
        <v>37.337420999999999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39.421396999999999</v>
      </c>
      <c r="H66" s="3">
        <f>MAX(M66:GJ66)</f>
        <v>43.018700000000003</v>
      </c>
      <c r="I66" s="3">
        <f>MIN(M66:GJ66)</f>
        <v>36.080185</v>
      </c>
      <c r="J66" s="3">
        <f>_xlfn.STDEV.P(M66:GJ66)</f>
        <v>1.6764849684789302</v>
      </c>
      <c r="K66" s="3">
        <f>_xlfn.VAR.S(M66:GJ66)</f>
        <v>2.838991767207879</v>
      </c>
      <c r="M66" s="3">
        <v>39.298366999999999</v>
      </c>
      <c r="N66" s="3">
        <v>40.824764000000002</v>
      </c>
      <c r="O66" s="3">
        <v>39.610545999999999</v>
      </c>
      <c r="P66" s="3">
        <v>42.661369000000001</v>
      </c>
      <c r="Q66" s="3">
        <v>40.094375999999997</v>
      </c>
      <c r="R66" s="3">
        <v>39.561321</v>
      </c>
      <c r="S66" s="3">
        <v>41.867019999999997</v>
      </c>
      <c r="T66" s="3">
        <v>40.162520999999998</v>
      </c>
      <c r="U66" s="3">
        <v>42.521599000000002</v>
      </c>
      <c r="V66" s="3">
        <v>40.013824</v>
      </c>
      <c r="W66" s="3">
        <v>40.340285999999999</v>
      </c>
      <c r="X66" s="3">
        <v>42.031306999999998</v>
      </c>
      <c r="Y66" s="3">
        <v>37.367103999999998</v>
      </c>
      <c r="Z66" s="3">
        <v>41.278095</v>
      </c>
      <c r="AA66" s="3">
        <v>40.850501999999999</v>
      </c>
      <c r="AB66" s="3">
        <v>40.545746000000001</v>
      </c>
      <c r="AC66" s="3">
        <v>38.953209000000001</v>
      </c>
      <c r="AD66" s="3">
        <v>42.006194999999998</v>
      </c>
      <c r="AE66" s="3">
        <v>40.431713000000002</v>
      </c>
      <c r="AF66" s="3">
        <v>40.317574</v>
      </c>
      <c r="AG66" s="3">
        <v>42.183121</v>
      </c>
      <c r="AH66" s="3">
        <v>39.662745999999999</v>
      </c>
      <c r="AI66" s="3">
        <v>41.452164000000003</v>
      </c>
      <c r="AJ66" s="3">
        <v>40.327080000000002</v>
      </c>
      <c r="AK66" s="3">
        <v>41.536686000000003</v>
      </c>
      <c r="AL66" s="3">
        <v>37.487507000000001</v>
      </c>
      <c r="AM66" s="3">
        <v>38.960239000000001</v>
      </c>
      <c r="AN66" s="3">
        <v>37.934547000000002</v>
      </c>
      <c r="AO66" s="3">
        <v>37.375270999999998</v>
      </c>
      <c r="AP66" s="3">
        <v>38.519669</v>
      </c>
      <c r="AQ66" s="3">
        <v>37.080765</v>
      </c>
      <c r="AR66" s="3">
        <v>37.181849999999997</v>
      </c>
      <c r="AS66" s="3">
        <v>38.665894000000002</v>
      </c>
      <c r="AT66" s="3">
        <v>37.842185999999998</v>
      </c>
      <c r="AU66" s="3">
        <v>39.925075999999997</v>
      </c>
      <c r="AV66" s="3">
        <v>38.904350000000001</v>
      </c>
      <c r="AW66" s="3">
        <v>38.773594000000003</v>
      </c>
      <c r="AX66" s="3">
        <v>37.533690999999997</v>
      </c>
      <c r="AY66" s="3">
        <v>38.566616000000003</v>
      </c>
      <c r="AZ66" s="3">
        <v>37.017727000000001</v>
      </c>
      <c r="BA66" s="3">
        <v>37.084724000000001</v>
      </c>
      <c r="BB66" s="3">
        <v>37.089001000000003</v>
      </c>
      <c r="BC66" s="3">
        <v>39.978664000000002</v>
      </c>
      <c r="BD66" s="3">
        <v>38.041469999999997</v>
      </c>
      <c r="BE66" s="3">
        <v>39.153984000000001</v>
      </c>
      <c r="BF66" s="3">
        <v>39.294189000000003</v>
      </c>
      <c r="BG66" s="3">
        <v>37.701087999999999</v>
      </c>
      <c r="BH66" s="3">
        <v>39.063324000000001</v>
      </c>
      <c r="BI66" s="3">
        <v>36.080185</v>
      </c>
      <c r="BJ66" s="3">
        <v>38.681122000000002</v>
      </c>
      <c r="BK66" s="3">
        <v>38.111503999999996</v>
      </c>
      <c r="BL66" s="3">
        <v>37.723506999999998</v>
      </c>
      <c r="BM66" s="3">
        <v>38.481158999999998</v>
      </c>
      <c r="BN66" s="3">
        <v>37.557471999999997</v>
      </c>
      <c r="BO66" s="3">
        <v>38.222136999999996</v>
      </c>
      <c r="BP66" s="3">
        <v>36.760162000000001</v>
      </c>
      <c r="BQ66" s="3">
        <v>40.879665000000003</v>
      </c>
      <c r="BR66" s="3">
        <v>36.970542999999999</v>
      </c>
      <c r="BS66" s="3">
        <v>37.480362</v>
      </c>
      <c r="BT66" s="3">
        <v>36.813583000000001</v>
      </c>
      <c r="BU66" s="3">
        <v>37.606898999999999</v>
      </c>
      <c r="BV66" s="3">
        <v>37.368763000000001</v>
      </c>
      <c r="BW66" s="3">
        <v>36.573883000000002</v>
      </c>
      <c r="BX66" s="3">
        <v>39.176895000000002</v>
      </c>
      <c r="BY66" s="3">
        <v>37.760761000000002</v>
      </c>
      <c r="BZ66" s="3">
        <v>38.989609000000002</v>
      </c>
      <c r="CA66" s="3">
        <v>37.261043999999998</v>
      </c>
      <c r="CB66" s="3">
        <v>38.669528999999997</v>
      </c>
      <c r="CC66" s="3">
        <v>38.484820999999997</v>
      </c>
      <c r="CD66" s="3">
        <v>38.478909000000002</v>
      </c>
      <c r="CE66" s="3">
        <v>40.795524999999998</v>
      </c>
      <c r="CF66" s="3">
        <v>37.092525000000002</v>
      </c>
      <c r="CG66" s="3">
        <v>37.977623000000001</v>
      </c>
      <c r="CH66" s="3">
        <v>40.728783</v>
      </c>
      <c r="CI66" s="3">
        <v>41.359554000000003</v>
      </c>
      <c r="CJ66" s="3">
        <v>40.159241000000002</v>
      </c>
      <c r="CK66" s="3">
        <v>40.076400999999997</v>
      </c>
      <c r="CL66" s="3">
        <v>40.794376</v>
      </c>
      <c r="CM66" s="3">
        <v>42.600631999999997</v>
      </c>
      <c r="CN66" s="3">
        <v>41.369762000000001</v>
      </c>
      <c r="CO66" s="3">
        <v>39.004559</v>
      </c>
      <c r="CP66" s="3">
        <v>41.306579999999997</v>
      </c>
      <c r="CQ66" s="3">
        <v>40.221995999999997</v>
      </c>
      <c r="CR66" s="3">
        <v>39.895724999999999</v>
      </c>
      <c r="CS66" s="3">
        <v>40.638866</v>
      </c>
      <c r="CT66" s="3">
        <v>41.006259999999997</v>
      </c>
      <c r="CU66" s="3">
        <v>43.018700000000003</v>
      </c>
      <c r="CV66" s="3">
        <v>37.267315000000004</v>
      </c>
      <c r="CW66" s="3">
        <v>42.048473000000001</v>
      </c>
      <c r="CX66" s="3">
        <v>40.231777000000001</v>
      </c>
      <c r="CY66" s="3">
        <v>40.942242</v>
      </c>
      <c r="CZ66" s="3">
        <v>39.925708999999998</v>
      </c>
      <c r="DA66" s="3">
        <v>41.921996999999998</v>
      </c>
      <c r="DB66" s="3">
        <v>40.931339000000001</v>
      </c>
      <c r="DC66" s="3">
        <v>40.285671000000001</v>
      </c>
      <c r="DD66" s="3">
        <v>40.945377000000001</v>
      </c>
      <c r="DE66" s="3">
        <v>39.983604</v>
      </c>
      <c r="DF66" s="3">
        <v>39.983181000000002</v>
      </c>
      <c r="DG66" s="3">
        <v>40.520977000000002</v>
      </c>
      <c r="DH66" s="3">
        <v>39.897754999999997</v>
      </c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26.677295900000001</v>
      </c>
      <c r="H68" s="3">
        <f>MAX(M68:GJ68)</f>
        <v>31.353933000000001</v>
      </c>
      <c r="I68" s="3">
        <f>MIN(M68:GJ68)</f>
        <v>21.128001999999999</v>
      </c>
      <c r="J68" s="3">
        <f>_xlfn.STDEV.P(M68:GJ68)</f>
        <v>2.239647518263713</v>
      </c>
      <c r="K68" s="3">
        <f>_xlfn.VAR.S(M68:GJ68)</f>
        <v>5.0666878849139483</v>
      </c>
      <c r="M68" s="3">
        <v>25.529215000000001</v>
      </c>
      <c r="N68" s="3">
        <v>26.79138</v>
      </c>
      <c r="O68" s="3">
        <v>31.022182000000001</v>
      </c>
      <c r="P68" s="3">
        <v>24.776287</v>
      </c>
      <c r="Q68" s="3">
        <v>29.078441999999999</v>
      </c>
      <c r="R68" s="3">
        <v>23.98171</v>
      </c>
      <c r="S68" s="3">
        <v>22.663405999999998</v>
      </c>
      <c r="T68" s="3">
        <v>21.128001999999999</v>
      </c>
      <c r="U68" s="3">
        <v>30.083029</v>
      </c>
      <c r="V68" s="3">
        <v>25.57254</v>
      </c>
      <c r="W68" s="3">
        <v>29.365143</v>
      </c>
      <c r="X68" s="3">
        <v>28.028233</v>
      </c>
      <c r="Y68" s="3">
        <v>27.307376999999999</v>
      </c>
      <c r="Z68" s="3">
        <v>31.353933000000001</v>
      </c>
      <c r="AA68" s="3">
        <v>27.866571</v>
      </c>
      <c r="AB68" s="3">
        <v>22.981791999999999</v>
      </c>
      <c r="AC68" s="3">
        <v>28.97015</v>
      </c>
      <c r="AD68" s="3">
        <v>25.168913</v>
      </c>
      <c r="AE68" s="3">
        <v>29.105808</v>
      </c>
      <c r="AF68" s="3">
        <v>26.454037</v>
      </c>
      <c r="AG68" s="3">
        <v>24.184080000000002</v>
      </c>
      <c r="AH68" s="3">
        <v>27.267042</v>
      </c>
      <c r="AI68" s="3">
        <v>23.334949000000002</v>
      </c>
      <c r="AJ68" s="3">
        <v>26.884411</v>
      </c>
      <c r="AK68" s="3">
        <v>30.278711000000001</v>
      </c>
      <c r="AL68" s="3">
        <v>29.090485000000001</v>
      </c>
      <c r="AM68" s="3">
        <v>24.589538999999998</v>
      </c>
      <c r="AN68" s="3">
        <v>23.880593999999999</v>
      </c>
      <c r="AO68" s="3">
        <v>24.067547000000001</v>
      </c>
      <c r="AP68" s="3">
        <v>30.036588999999999</v>
      </c>
      <c r="AQ68" s="3">
        <v>25.250622</v>
      </c>
      <c r="AR68" s="3">
        <v>28.199511999999999</v>
      </c>
      <c r="AS68" s="3">
        <v>23.409617999999998</v>
      </c>
      <c r="AT68" s="3">
        <v>28.222166000000001</v>
      </c>
      <c r="AU68" s="3">
        <v>29.131466</v>
      </c>
      <c r="AV68" s="3">
        <v>26.312529000000001</v>
      </c>
      <c r="AW68" s="3">
        <v>24.883436</v>
      </c>
      <c r="AX68" s="3">
        <v>23.775255000000001</v>
      </c>
      <c r="AY68" s="3">
        <v>27.653378</v>
      </c>
      <c r="AZ68" s="3">
        <v>26.640934000000001</v>
      </c>
      <c r="BA68" s="3">
        <v>26.900326</v>
      </c>
      <c r="BB68" s="3">
        <v>28.777543999999999</v>
      </c>
      <c r="BC68" s="3">
        <v>30.071961999999999</v>
      </c>
      <c r="BD68" s="3">
        <v>24.787991000000002</v>
      </c>
      <c r="BE68" s="3">
        <v>25.442539</v>
      </c>
      <c r="BF68" s="3">
        <v>27.280296</v>
      </c>
      <c r="BG68" s="3">
        <v>23.960650999999999</v>
      </c>
      <c r="BH68" s="3">
        <v>23.573650000000001</v>
      </c>
      <c r="BI68" s="3">
        <v>27.760241000000001</v>
      </c>
      <c r="BJ68" s="3">
        <v>26.487883</v>
      </c>
      <c r="BK68" s="3">
        <v>27.710315999999999</v>
      </c>
      <c r="BL68" s="3">
        <v>28.044900999999999</v>
      </c>
      <c r="BM68" s="3">
        <v>27.705487999999999</v>
      </c>
      <c r="BN68" s="3">
        <v>28.565722999999998</v>
      </c>
      <c r="BO68" s="3">
        <v>29.129754999999999</v>
      </c>
      <c r="BP68" s="3">
        <v>25.723887999999999</v>
      </c>
      <c r="BQ68" s="3">
        <v>25.658425999999999</v>
      </c>
      <c r="BR68" s="3">
        <v>25.636955</v>
      </c>
      <c r="BS68" s="3">
        <v>25.502831</v>
      </c>
      <c r="BT68" s="3">
        <v>25.992719999999998</v>
      </c>
      <c r="BU68" s="3">
        <v>27.526890000000002</v>
      </c>
      <c r="BV68" s="3">
        <v>29.522656999999999</v>
      </c>
      <c r="BW68" s="3">
        <v>26.485861</v>
      </c>
      <c r="BX68" s="3">
        <v>29.808914000000001</v>
      </c>
      <c r="BY68" s="3">
        <v>24.012094000000001</v>
      </c>
      <c r="BZ68" s="3">
        <v>30.960539000000001</v>
      </c>
      <c r="CA68" s="3">
        <v>27.558588</v>
      </c>
      <c r="CB68" s="3">
        <v>31.174655999999999</v>
      </c>
      <c r="CC68" s="3">
        <v>28.072673999999999</v>
      </c>
      <c r="CD68" s="3">
        <v>25.596751999999999</v>
      </c>
      <c r="CE68" s="3">
        <v>28.287179999999999</v>
      </c>
      <c r="CF68" s="3">
        <v>22.978387999999999</v>
      </c>
      <c r="CG68" s="3">
        <v>24.200592</v>
      </c>
      <c r="CH68" s="3">
        <v>28.698957</v>
      </c>
      <c r="CI68" s="3">
        <v>23.199287000000002</v>
      </c>
      <c r="CJ68" s="3">
        <v>29.764438999999999</v>
      </c>
      <c r="CK68" s="3">
        <v>26.022058000000001</v>
      </c>
      <c r="CL68" s="3">
        <v>27.567105999999999</v>
      </c>
      <c r="CM68" s="3">
        <v>24.238741000000001</v>
      </c>
      <c r="CN68" s="3">
        <v>29.086666000000001</v>
      </c>
      <c r="CO68" s="3">
        <v>25.289079999999998</v>
      </c>
      <c r="CP68" s="3">
        <v>26.150248999999999</v>
      </c>
      <c r="CQ68" s="3">
        <v>22.483167999999999</v>
      </c>
      <c r="CR68" s="3">
        <v>25.533073000000002</v>
      </c>
      <c r="CS68" s="3">
        <v>28.708947999999999</v>
      </c>
      <c r="CT68" s="3">
        <v>25.492411000000001</v>
      </c>
      <c r="CU68" s="3">
        <v>26.624421999999999</v>
      </c>
      <c r="CV68" s="3">
        <v>24.625242</v>
      </c>
      <c r="CW68" s="3">
        <v>25.668503000000001</v>
      </c>
      <c r="CX68" s="3">
        <v>26.404150000000001</v>
      </c>
      <c r="CY68" s="3">
        <v>28.497323999999999</v>
      </c>
      <c r="CZ68" s="3">
        <v>28.281510999999998</v>
      </c>
      <c r="DA68" s="3">
        <v>29.018958999999999</v>
      </c>
      <c r="DB68" s="3">
        <v>26.593391</v>
      </c>
      <c r="DC68" s="3">
        <v>26.785467000000001</v>
      </c>
      <c r="DD68" s="3">
        <v>24.234503</v>
      </c>
      <c r="DE68" s="3">
        <v>26.505188</v>
      </c>
      <c r="DF68" s="3">
        <v>26.210263999999999</v>
      </c>
      <c r="DG68" s="3">
        <v>26.401733</v>
      </c>
      <c r="DH68" s="3">
        <v>24.423866</v>
      </c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29.523862199999989</v>
      </c>
      <c r="H70" s="3">
        <f>MAX(M70:GJ70)</f>
        <v>35.707664000000001</v>
      </c>
      <c r="I70" s="3">
        <f>MIN(M70:GJ70)</f>
        <v>23.441296000000001</v>
      </c>
      <c r="J70" s="3">
        <f>_xlfn.STDEV.P(M70:GJ70)</f>
        <v>2.3364738399392446</v>
      </c>
      <c r="K70" s="3">
        <f>_xlfn.VAR.S(M70:GJ70)</f>
        <v>5.5142525300206451</v>
      </c>
      <c r="M70" s="3">
        <v>26.896737999999999</v>
      </c>
      <c r="N70" s="3">
        <v>26.331713000000001</v>
      </c>
      <c r="O70" s="3">
        <v>31.395952000000001</v>
      </c>
      <c r="P70" s="3">
        <v>27.804881999999999</v>
      </c>
      <c r="Q70" s="3">
        <v>31.331150000000001</v>
      </c>
      <c r="R70" s="3">
        <v>30.989979000000002</v>
      </c>
      <c r="S70" s="3">
        <v>26.332069000000001</v>
      </c>
      <c r="T70" s="3">
        <v>31.205742000000001</v>
      </c>
      <c r="U70" s="3">
        <v>27.579377999999998</v>
      </c>
      <c r="V70" s="3">
        <v>30.092151999999999</v>
      </c>
      <c r="W70" s="3">
        <v>31.472769</v>
      </c>
      <c r="X70" s="3">
        <v>29.996645000000001</v>
      </c>
      <c r="Y70" s="3">
        <v>30.836264</v>
      </c>
      <c r="Z70" s="3">
        <v>28.308964</v>
      </c>
      <c r="AA70" s="3">
        <v>35.707664000000001</v>
      </c>
      <c r="AB70" s="3">
        <v>32.141936999999999</v>
      </c>
      <c r="AC70" s="3">
        <v>30.266007999999999</v>
      </c>
      <c r="AD70" s="3">
        <v>29.330393000000001</v>
      </c>
      <c r="AE70" s="3">
        <v>27.616602</v>
      </c>
      <c r="AF70" s="3">
        <v>24.794589999999999</v>
      </c>
      <c r="AG70" s="3">
        <v>30.35989</v>
      </c>
      <c r="AH70" s="3">
        <v>26.430796000000001</v>
      </c>
      <c r="AI70" s="3">
        <v>25.805145</v>
      </c>
      <c r="AJ70" s="3">
        <v>32.566257</v>
      </c>
      <c r="AK70" s="3">
        <v>29.636892</v>
      </c>
      <c r="AL70" s="3">
        <v>29.363911000000002</v>
      </c>
      <c r="AM70" s="3">
        <v>27.275772</v>
      </c>
      <c r="AN70" s="3">
        <v>27.616206999999999</v>
      </c>
      <c r="AO70" s="3">
        <v>29.076864</v>
      </c>
      <c r="AP70" s="3">
        <v>28.888020000000001</v>
      </c>
      <c r="AQ70" s="3">
        <v>32.506701999999997</v>
      </c>
      <c r="AR70" s="3">
        <v>30.372624999999999</v>
      </c>
      <c r="AS70" s="3">
        <v>31.199089000000001</v>
      </c>
      <c r="AT70" s="3">
        <v>28.916508</v>
      </c>
      <c r="AU70" s="3">
        <v>32.380305999999997</v>
      </c>
      <c r="AV70" s="3">
        <v>28.673656000000001</v>
      </c>
      <c r="AW70" s="3">
        <v>30.051871999999999</v>
      </c>
      <c r="AX70" s="3">
        <v>31.810110000000002</v>
      </c>
      <c r="AY70" s="3">
        <v>26.833670000000001</v>
      </c>
      <c r="AZ70" s="3">
        <v>32.952010999999999</v>
      </c>
      <c r="BA70" s="3">
        <v>32.582687</v>
      </c>
      <c r="BB70" s="3">
        <v>33.713760000000001</v>
      </c>
      <c r="BC70" s="3">
        <v>28.513248000000001</v>
      </c>
      <c r="BD70" s="3">
        <v>29.856663000000001</v>
      </c>
      <c r="BE70" s="3">
        <v>28.458957999999999</v>
      </c>
      <c r="BF70" s="3">
        <v>30.734272000000001</v>
      </c>
      <c r="BG70" s="3">
        <v>28.232437000000001</v>
      </c>
      <c r="BH70" s="3">
        <v>28.847000000000001</v>
      </c>
      <c r="BI70" s="3">
        <v>29.985012000000001</v>
      </c>
      <c r="BJ70" s="3">
        <v>29.517799</v>
      </c>
      <c r="BK70" s="3">
        <v>28.861588000000001</v>
      </c>
      <c r="BL70" s="3">
        <v>26.018218999999998</v>
      </c>
      <c r="BM70" s="3">
        <v>27.641643999999999</v>
      </c>
      <c r="BN70" s="3">
        <v>27.894204999999999</v>
      </c>
      <c r="BO70" s="3">
        <v>25.248083000000001</v>
      </c>
      <c r="BP70" s="3">
        <v>29.388784000000001</v>
      </c>
      <c r="BQ70" s="3">
        <v>27.776062</v>
      </c>
      <c r="BR70" s="3">
        <v>29.248501000000001</v>
      </c>
      <c r="BS70" s="3">
        <v>29.745546000000001</v>
      </c>
      <c r="BT70" s="3">
        <v>30.171382999999999</v>
      </c>
      <c r="BU70" s="3">
        <v>30.864191000000002</v>
      </c>
      <c r="BV70" s="3">
        <v>29.826409999999999</v>
      </c>
      <c r="BW70" s="3">
        <v>30.426960000000001</v>
      </c>
      <c r="BX70" s="3">
        <v>29.390196</v>
      </c>
      <c r="BY70" s="3">
        <v>32.438189999999999</v>
      </c>
      <c r="BZ70" s="3">
        <v>33.341048999999998</v>
      </c>
      <c r="CA70" s="3">
        <v>33.647300999999999</v>
      </c>
      <c r="CB70" s="3">
        <v>31.005044999999999</v>
      </c>
      <c r="CC70" s="3">
        <v>29.287621999999999</v>
      </c>
      <c r="CD70" s="3">
        <v>28.239933000000001</v>
      </c>
      <c r="CE70" s="3">
        <v>30.565895000000001</v>
      </c>
      <c r="CF70" s="3">
        <v>28.687222999999999</v>
      </c>
      <c r="CG70" s="3">
        <v>29.075227999999999</v>
      </c>
      <c r="CH70" s="3">
        <v>30.919872000000002</v>
      </c>
      <c r="CI70" s="3">
        <v>30.012533000000001</v>
      </c>
      <c r="CJ70" s="3">
        <v>29.311758000000001</v>
      </c>
      <c r="CK70" s="3">
        <v>33.503734999999999</v>
      </c>
      <c r="CL70" s="3">
        <v>30.012733000000001</v>
      </c>
      <c r="CM70" s="3">
        <v>27.667290000000001</v>
      </c>
      <c r="CN70" s="3">
        <v>33.679305999999997</v>
      </c>
      <c r="CO70" s="3">
        <v>30.925305999999999</v>
      </c>
      <c r="CP70" s="3">
        <v>27.398033000000002</v>
      </c>
      <c r="CQ70" s="3">
        <v>24.563714999999998</v>
      </c>
      <c r="CR70" s="3">
        <v>24.538478999999999</v>
      </c>
      <c r="CS70" s="3">
        <v>23.441296000000001</v>
      </c>
      <c r="CT70" s="3">
        <v>29.064167000000001</v>
      </c>
      <c r="CU70" s="3">
        <v>27.006954</v>
      </c>
      <c r="CV70" s="3">
        <v>28.213808</v>
      </c>
      <c r="CW70" s="3">
        <v>31.074242000000002</v>
      </c>
      <c r="CX70" s="3">
        <v>31.883980000000001</v>
      </c>
      <c r="CY70" s="3">
        <v>32.982951999999997</v>
      </c>
      <c r="CZ70" s="3">
        <v>30.091518000000001</v>
      </c>
      <c r="DA70" s="3">
        <v>32.284663999999999</v>
      </c>
      <c r="DB70" s="3">
        <v>29.697683000000001</v>
      </c>
      <c r="DC70" s="3">
        <v>25.596115000000001</v>
      </c>
      <c r="DD70" s="3">
        <v>27.126042999999999</v>
      </c>
      <c r="DE70" s="3">
        <v>27.163567</v>
      </c>
      <c r="DF70" s="3">
        <v>27.968357000000001</v>
      </c>
      <c r="DG70" s="3">
        <v>31.391000999999999</v>
      </c>
      <c r="DH70" s="3">
        <v>32.488124999999997</v>
      </c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</row>
    <row r="72" spans="2:207" x14ac:dyDescent="0.2">
      <c r="M72" s="3"/>
      <c r="N72" s="3"/>
    </row>
    <row r="73" spans="2:207" x14ac:dyDescent="0.2">
      <c r="B73" t="s">
        <v>59</v>
      </c>
      <c r="D73" s="1" t="s">
        <v>41</v>
      </c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35.156079450000014</v>
      </c>
      <c r="H74" s="3">
        <f>MAX(M74:GJ74)</f>
        <v>39.042586999999997</v>
      </c>
      <c r="I74" s="3">
        <f>MIN(M74:GJ74)</f>
        <v>31.107689000000001</v>
      </c>
      <c r="J74" s="3">
        <f>_xlfn.STDEV.P(M74:GJ74)</f>
        <v>1.4666295937220777</v>
      </c>
      <c r="K74" s="3">
        <f>_xlfn.VAR.S(M74:GJ74)</f>
        <v>2.1727296617993801</v>
      </c>
      <c r="M74" s="3">
        <v>35.405918</v>
      </c>
      <c r="N74" s="3">
        <v>33.271090999999998</v>
      </c>
      <c r="O74" s="3">
        <v>35.319808999999999</v>
      </c>
      <c r="P74" s="3">
        <v>33.634636</v>
      </c>
      <c r="Q74" s="3">
        <v>31.107689000000001</v>
      </c>
      <c r="R74" s="3">
        <v>34.347991999999998</v>
      </c>
      <c r="S74" s="3">
        <v>32.513953999999998</v>
      </c>
      <c r="T74" s="3">
        <v>35.004486</v>
      </c>
      <c r="U74" s="3">
        <v>34.384417999999997</v>
      </c>
      <c r="V74" s="3">
        <v>33.950344000000001</v>
      </c>
      <c r="W74" s="3">
        <v>37.350380000000001</v>
      </c>
      <c r="X74" s="3">
        <v>32.251640000000002</v>
      </c>
      <c r="Y74" s="3">
        <v>39.042586999999997</v>
      </c>
      <c r="Z74" s="3">
        <v>33.931449999999998</v>
      </c>
      <c r="AA74" s="3">
        <v>34.924621999999999</v>
      </c>
      <c r="AB74" s="3">
        <v>32.791457999999999</v>
      </c>
      <c r="AC74" s="3">
        <v>32.128056000000001</v>
      </c>
      <c r="AD74" s="3">
        <v>36.405192999999997</v>
      </c>
      <c r="AE74" s="3">
        <v>35.587803000000001</v>
      </c>
      <c r="AF74" s="3">
        <v>34.828690000000002</v>
      </c>
      <c r="AG74" s="3">
        <v>36.525528000000001</v>
      </c>
      <c r="AH74" s="3">
        <v>35.110988999999996</v>
      </c>
      <c r="AI74" s="3">
        <v>31.650379000000001</v>
      </c>
      <c r="AJ74" s="3">
        <v>37.717537</v>
      </c>
      <c r="AK74" s="3">
        <v>33.178623000000002</v>
      </c>
      <c r="AL74" s="3">
        <v>34.784816999999997</v>
      </c>
      <c r="AM74" s="3">
        <v>34.052436999999998</v>
      </c>
      <c r="AN74" s="3">
        <v>34.706577000000003</v>
      </c>
      <c r="AO74" s="3">
        <v>34.843037000000002</v>
      </c>
      <c r="AP74" s="3">
        <v>33.845463000000002</v>
      </c>
      <c r="AQ74" s="3">
        <v>36.057968000000002</v>
      </c>
      <c r="AR74" s="3">
        <v>35.736156000000001</v>
      </c>
      <c r="AS74" s="3">
        <v>36.408622999999999</v>
      </c>
      <c r="AT74" s="3">
        <v>34.918540999999998</v>
      </c>
      <c r="AU74" s="3">
        <v>34.775241999999999</v>
      </c>
      <c r="AV74" s="3">
        <v>35.568916000000002</v>
      </c>
      <c r="AW74" s="3">
        <v>34.545386999999998</v>
      </c>
      <c r="AX74" s="3">
        <v>36.300776999999997</v>
      </c>
      <c r="AY74" s="3">
        <v>36.181519000000002</v>
      </c>
      <c r="AZ74" s="3">
        <v>36.123382999999997</v>
      </c>
      <c r="BA74" s="3">
        <v>33.958069000000002</v>
      </c>
      <c r="BB74" s="3">
        <v>38.137797999999997</v>
      </c>
      <c r="BC74" s="3">
        <v>34.216118000000002</v>
      </c>
      <c r="BD74" s="3">
        <v>37.328631999999999</v>
      </c>
      <c r="BE74" s="3">
        <v>36.129620000000003</v>
      </c>
      <c r="BF74" s="3">
        <v>36.312420000000003</v>
      </c>
      <c r="BG74" s="3">
        <v>36.491061999999999</v>
      </c>
      <c r="BH74" s="3">
        <v>34.788097</v>
      </c>
      <c r="BI74" s="3">
        <v>35.382488000000002</v>
      </c>
      <c r="BJ74" s="3">
        <v>36.925086999999998</v>
      </c>
      <c r="BK74" s="3">
        <v>35.434745999999997</v>
      </c>
      <c r="BL74" s="3">
        <v>36.083171999999998</v>
      </c>
      <c r="BM74" s="3">
        <v>35.613647</v>
      </c>
      <c r="BN74" s="3">
        <v>35.558917999999998</v>
      </c>
      <c r="BO74" s="3">
        <v>35.080376000000001</v>
      </c>
      <c r="BP74" s="3">
        <v>35.214325000000002</v>
      </c>
      <c r="BQ74" s="3">
        <v>36.274628</v>
      </c>
      <c r="BR74" s="3">
        <v>34.983601</v>
      </c>
      <c r="BS74" s="3">
        <v>33.962082000000002</v>
      </c>
      <c r="BT74" s="3">
        <v>35.069775</v>
      </c>
      <c r="BU74" s="3">
        <v>37.03828</v>
      </c>
      <c r="BV74" s="3">
        <v>33.960743000000001</v>
      </c>
      <c r="BW74" s="3">
        <v>33.052382999999999</v>
      </c>
      <c r="BX74" s="3">
        <v>34.947723000000003</v>
      </c>
      <c r="BY74" s="3">
        <v>36.399287999999999</v>
      </c>
      <c r="BZ74" s="3">
        <v>34.519505000000002</v>
      </c>
      <c r="CA74" s="3">
        <v>35.212116000000002</v>
      </c>
      <c r="CB74" s="3">
        <v>36.663119999999999</v>
      </c>
      <c r="CC74" s="3">
        <v>36.609679999999997</v>
      </c>
      <c r="CD74" s="3">
        <v>35.373404999999998</v>
      </c>
      <c r="CE74" s="3">
        <v>35.088622999999998</v>
      </c>
      <c r="CF74" s="3">
        <v>31.236060999999999</v>
      </c>
      <c r="CG74" s="3">
        <v>35.810360000000003</v>
      </c>
      <c r="CH74" s="3">
        <v>36.676524999999998</v>
      </c>
      <c r="CI74" s="3">
        <v>35.665179999999999</v>
      </c>
      <c r="CJ74" s="3">
        <v>35.443176000000001</v>
      </c>
      <c r="CK74" s="3">
        <v>34.582560999999998</v>
      </c>
      <c r="CL74" s="3">
        <v>36.432236000000003</v>
      </c>
      <c r="CM74" s="3">
        <v>33.366759999999999</v>
      </c>
      <c r="CN74" s="3">
        <v>34.654781</v>
      </c>
      <c r="CO74" s="3">
        <v>35.155223999999997</v>
      </c>
      <c r="CP74" s="3">
        <v>34.829399000000002</v>
      </c>
      <c r="CQ74" s="3">
        <v>36.575389999999999</v>
      </c>
      <c r="CR74" s="3">
        <v>33.767960000000002</v>
      </c>
      <c r="CS74" s="3">
        <v>35.402526999999999</v>
      </c>
      <c r="CT74" s="3">
        <v>38.401477999999997</v>
      </c>
      <c r="CU74" s="3">
        <v>34.236286</v>
      </c>
      <c r="CV74" s="3">
        <v>34.781883000000001</v>
      </c>
      <c r="CW74" s="3">
        <v>35.321548</v>
      </c>
      <c r="CX74" s="3">
        <v>35.048721</v>
      </c>
      <c r="CY74" s="3">
        <v>38.455970999999998</v>
      </c>
      <c r="CZ74" s="3">
        <v>34.92371</v>
      </c>
      <c r="DA74" s="3">
        <v>36.296722000000003</v>
      </c>
      <c r="DB74" s="3">
        <v>35.843322999999998</v>
      </c>
      <c r="DC74" s="3">
        <v>34.803016999999997</v>
      </c>
      <c r="DD74" s="3">
        <v>35.861629000000001</v>
      </c>
      <c r="DE74" s="3">
        <v>35.358891</v>
      </c>
      <c r="DF74" s="3">
        <v>33.871558999999998</v>
      </c>
      <c r="DG74" s="3">
        <v>33.497833</v>
      </c>
      <c r="DH74" s="3">
        <v>36.283591999999999</v>
      </c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33.619132989999997</v>
      </c>
      <c r="H76" s="3">
        <f>MAX(M76:GJ76)</f>
        <v>43.023411000000003</v>
      </c>
      <c r="I76" s="3">
        <f>MIN(M76:GJ76)</f>
        <v>28.365214999999999</v>
      </c>
      <c r="J76" s="3">
        <f>_xlfn.STDEV.P(M76:GJ76)</f>
        <v>2.7892896682538861</v>
      </c>
      <c r="K76" s="3">
        <f>_xlfn.VAR.S(M76:GJ76)</f>
        <v>7.8587240943715901</v>
      </c>
      <c r="M76" s="3">
        <v>35.537318999999997</v>
      </c>
      <c r="N76" s="3">
        <v>36.482044000000002</v>
      </c>
      <c r="O76" s="3">
        <v>33.659351000000001</v>
      </c>
      <c r="P76" s="3">
        <v>36.251705000000001</v>
      </c>
      <c r="Q76" s="3">
        <v>34.563136999999998</v>
      </c>
      <c r="R76" s="3">
        <v>31.084623000000001</v>
      </c>
      <c r="S76" s="3">
        <v>29.607161000000001</v>
      </c>
      <c r="T76" s="3">
        <v>40.411858000000002</v>
      </c>
      <c r="U76" s="3">
        <v>37.542659999999998</v>
      </c>
      <c r="V76" s="3">
        <v>34.274982000000001</v>
      </c>
      <c r="W76" s="3">
        <v>43.023411000000003</v>
      </c>
      <c r="X76" s="3">
        <v>34.103416000000003</v>
      </c>
      <c r="Y76" s="3">
        <v>35.337153999999998</v>
      </c>
      <c r="Z76" s="3">
        <v>33.321758000000003</v>
      </c>
      <c r="AA76" s="3">
        <v>29.504221000000001</v>
      </c>
      <c r="AB76" s="3">
        <v>37.481330999999997</v>
      </c>
      <c r="AC76" s="3">
        <v>37.426884000000001</v>
      </c>
      <c r="AD76" s="3">
        <v>34.243237000000001</v>
      </c>
      <c r="AE76" s="3">
        <v>37.342154999999998</v>
      </c>
      <c r="AF76" s="3">
        <v>36.549670999999996</v>
      </c>
      <c r="AG76" s="3">
        <v>39.274577999999998</v>
      </c>
      <c r="AH76" s="3">
        <v>39.863849999999999</v>
      </c>
      <c r="AI76" s="3">
        <v>35.120480000000001</v>
      </c>
      <c r="AJ76" s="3">
        <v>34.169212000000002</v>
      </c>
      <c r="AK76" s="3">
        <v>35.039631</v>
      </c>
      <c r="AL76" s="3">
        <v>32.851559000000002</v>
      </c>
      <c r="AM76" s="3">
        <v>37.281177999999997</v>
      </c>
      <c r="AN76" s="3">
        <v>32.314594</v>
      </c>
      <c r="AO76" s="3">
        <v>33.596984999999997</v>
      </c>
      <c r="AP76" s="3">
        <v>33.869911000000002</v>
      </c>
      <c r="AQ76" s="3">
        <v>32.261684000000002</v>
      </c>
      <c r="AR76" s="3">
        <v>31.142454000000001</v>
      </c>
      <c r="AS76" s="3">
        <v>33.343159</v>
      </c>
      <c r="AT76" s="3">
        <v>32.037520999999998</v>
      </c>
      <c r="AU76" s="3">
        <v>33.338622999999998</v>
      </c>
      <c r="AV76" s="3">
        <v>34.706543000000003</v>
      </c>
      <c r="AW76" s="3">
        <v>35.021042000000001</v>
      </c>
      <c r="AX76" s="3">
        <v>31.354738000000001</v>
      </c>
      <c r="AY76" s="3">
        <v>32.106833999999999</v>
      </c>
      <c r="AZ76" s="3">
        <v>33.064449000000003</v>
      </c>
      <c r="BA76" s="3">
        <v>30.670888999999999</v>
      </c>
      <c r="BB76" s="3">
        <v>37.455494000000002</v>
      </c>
      <c r="BC76" s="3">
        <v>28.939889999999998</v>
      </c>
      <c r="BD76" s="3">
        <v>31.725211999999999</v>
      </c>
      <c r="BE76" s="3">
        <v>35.795783999999998</v>
      </c>
      <c r="BF76" s="3">
        <v>34.871600999999998</v>
      </c>
      <c r="BG76" s="3">
        <v>36.166640999999998</v>
      </c>
      <c r="BH76" s="3">
        <v>32.415931999999998</v>
      </c>
      <c r="BI76" s="3">
        <v>29.174434999999999</v>
      </c>
      <c r="BJ76" s="3">
        <v>30.131544000000002</v>
      </c>
      <c r="BK76" s="3">
        <v>29.714279000000001</v>
      </c>
      <c r="BL76" s="3">
        <v>34.975555</v>
      </c>
      <c r="BM76" s="3">
        <v>35.966068</v>
      </c>
      <c r="BN76" s="3">
        <v>33.366947000000003</v>
      </c>
      <c r="BO76" s="3">
        <v>36.088554000000002</v>
      </c>
      <c r="BP76" s="3">
        <v>37.082695000000001</v>
      </c>
      <c r="BQ76" s="3">
        <v>34.883223999999998</v>
      </c>
      <c r="BR76" s="3">
        <v>32.182423</v>
      </c>
      <c r="BS76" s="3">
        <v>34.788829999999997</v>
      </c>
      <c r="BT76" s="3">
        <v>29.736032000000002</v>
      </c>
      <c r="BU76" s="3">
        <v>31.112673000000001</v>
      </c>
      <c r="BV76" s="3">
        <v>32.725380000000001</v>
      </c>
      <c r="BW76" s="3">
        <v>31.690725</v>
      </c>
      <c r="BX76" s="3">
        <v>33.165568999999998</v>
      </c>
      <c r="BY76" s="3">
        <v>29.957346000000001</v>
      </c>
      <c r="BZ76" s="3">
        <v>31.387339000000001</v>
      </c>
      <c r="CA76" s="3">
        <v>33.954853</v>
      </c>
      <c r="CB76" s="3">
        <v>30.830310999999998</v>
      </c>
      <c r="CC76" s="3">
        <v>30.599436000000001</v>
      </c>
      <c r="CD76" s="3">
        <v>32.987946000000001</v>
      </c>
      <c r="CE76" s="3">
        <v>31.065348</v>
      </c>
      <c r="CF76" s="3">
        <v>34.95393</v>
      </c>
      <c r="CG76" s="3">
        <v>34.600887</v>
      </c>
      <c r="CH76" s="3">
        <v>31.957488999999999</v>
      </c>
      <c r="CI76" s="3">
        <v>34.598633</v>
      </c>
      <c r="CJ76" s="3">
        <v>29.959009000000002</v>
      </c>
      <c r="CK76" s="3">
        <v>37.658478000000002</v>
      </c>
      <c r="CL76" s="3">
        <v>37.093741999999999</v>
      </c>
      <c r="CM76" s="3">
        <v>33.930218000000004</v>
      </c>
      <c r="CN76" s="3">
        <v>36.437759</v>
      </c>
      <c r="CO76" s="3">
        <v>32.669041</v>
      </c>
      <c r="CP76" s="3">
        <v>32.978740999999999</v>
      </c>
      <c r="CQ76" s="3">
        <v>30.727139000000001</v>
      </c>
      <c r="CR76" s="3">
        <v>30.925152000000001</v>
      </c>
      <c r="CS76" s="3">
        <v>30.634954</v>
      </c>
      <c r="CT76" s="3">
        <v>33.637661000000001</v>
      </c>
      <c r="CU76" s="3">
        <v>36.667450000000002</v>
      </c>
      <c r="CV76" s="3">
        <v>30.828039</v>
      </c>
      <c r="CW76" s="3">
        <v>33.668033999999999</v>
      </c>
      <c r="CX76" s="3">
        <v>33.526809999999998</v>
      </c>
      <c r="CY76" s="3">
        <v>31.867384000000001</v>
      </c>
      <c r="CZ76" s="3">
        <v>30.672729</v>
      </c>
      <c r="DA76" s="3">
        <v>28.365214999999999</v>
      </c>
      <c r="DB76" s="3">
        <v>29.563245999999999</v>
      </c>
      <c r="DC76" s="3">
        <v>36.610435000000003</v>
      </c>
      <c r="DD76" s="3">
        <v>30.457084999999999</v>
      </c>
      <c r="DE76" s="3">
        <v>35.184100999999998</v>
      </c>
      <c r="DF76" s="3">
        <v>33.536597999999998</v>
      </c>
      <c r="DG76" s="3">
        <v>29.838293</v>
      </c>
      <c r="DH76" s="3">
        <v>33.248989000000002</v>
      </c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38.240326449999998</v>
      </c>
      <c r="H78" s="3">
        <f>MAX(M78:GJ78)</f>
        <v>45.898895000000003</v>
      </c>
      <c r="I78" s="3">
        <f>MIN(M78:GJ78)</f>
        <v>34.023398999999998</v>
      </c>
      <c r="J78" s="3">
        <f>_xlfn.STDEV.P(M78:GJ78)</f>
        <v>1.9154250585613759</v>
      </c>
      <c r="K78" s="3">
        <f>_xlfn.VAR.S(M78:GJ78)</f>
        <v>3.7059122777422728</v>
      </c>
      <c r="M78" s="3">
        <v>37.374324999999999</v>
      </c>
      <c r="N78" s="3">
        <v>36.116604000000002</v>
      </c>
      <c r="O78" s="3">
        <v>38.385306999999997</v>
      </c>
      <c r="P78" s="3">
        <v>42.066989999999997</v>
      </c>
      <c r="Q78" s="3">
        <v>37.334522</v>
      </c>
      <c r="R78" s="3">
        <v>38.139811999999999</v>
      </c>
      <c r="S78" s="3">
        <v>42.236012000000002</v>
      </c>
      <c r="T78" s="3">
        <v>39.533436000000002</v>
      </c>
      <c r="U78" s="3">
        <v>45.898895000000003</v>
      </c>
      <c r="V78" s="3">
        <v>39.190117000000001</v>
      </c>
      <c r="W78" s="3">
        <v>39.780399000000003</v>
      </c>
      <c r="X78" s="3">
        <v>42.202145000000002</v>
      </c>
      <c r="Y78" s="3">
        <v>36.517220000000002</v>
      </c>
      <c r="Z78" s="3">
        <v>42.722431</v>
      </c>
      <c r="AA78" s="3">
        <v>38.684708000000001</v>
      </c>
      <c r="AB78" s="3">
        <v>40.468657999999998</v>
      </c>
      <c r="AC78" s="3">
        <v>38.404815999999997</v>
      </c>
      <c r="AD78" s="3">
        <v>41.055557</v>
      </c>
      <c r="AE78" s="3">
        <v>36.214877999999999</v>
      </c>
      <c r="AF78" s="3">
        <v>39.19838</v>
      </c>
      <c r="AG78" s="3">
        <v>39.85754</v>
      </c>
      <c r="AH78" s="3">
        <v>39.051006000000001</v>
      </c>
      <c r="AI78" s="3">
        <v>38.945408</v>
      </c>
      <c r="AJ78" s="3">
        <v>38.198188999999999</v>
      </c>
      <c r="AK78" s="3">
        <v>37.890816000000001</v>
      </c>
      <c r="AL78" s="3">
        <v>38.541229000000001</v>
      </c>
      <c r="AM78" s="3">
        <v>38.383217000000002</v>
      </c>
      <c r="AN78" s="3">
        <v>37.747013000000003</v>
      </c>
      <c r="AO78" s="3">
        <v>35.645339999999997</v>
      </c>
      <c r="AP78" s="3">
        <v>36.333092000000001</v>
      </c>
      <c r="AQ78" s="3">
        <v>37.290970000000002</v>
      </c>
      <c r="AR78" s="3">
        <v>38.309607999999997</v>
      </c>
      <c r="AS78" s="3">
        <v>37.254413999999997</v>
      </c>
      <c r="AT78" s="3">
        <v>36.156086000000002</v>
      </c>
      <c r="AU78" s="3">
        <v>39.478481000000002</v>
      </c>
      <c r="AV78" s="3">
        <v>38.045555</v>
      </c>
      <c r="AW78" s="3">
        <v>38.286655000000003</v>
      </c>
      <c r="AX78" s="3">
        <v>39.160004000000001</v>
      </c>
      <c r="AY78" s="3">
        <v>37.552765000000001</v>
      </c>
      <c r="AZ78" s="3">
        <v>38.309466999999998</v>
      </c>
      <c r="BA78" s="3">
        <v>37.164154000000003</v>
      </c>
      <c r="BB78" s="3">
        <v>37.178642000000004</v>
      </c>
      <c r="BC78" s="3">
        <v>39.161324</v>
      </c>
      <c r="BD78" s="3">
        <v>34.757351</v>
      </c>
      <c r="BE78" s="3">
        <v>38.102302999999999</v>
      </c>
      <c r="BF78" s="3">
        <v>37.977528</v>
      </c>
      <c r="BG78" s="3">
        <v>36.473427000000001</v>
      </c>
      <c r="BH78" s="3">
        <v>36.389347000000001</v>
      </c>
      <c r="BI78" s="3">
        <v>36.196289</v>
      </c>
      <c r="BJ78" s="3">
        <v>37.553818</v>
      </c>
      <c r="BK78" s="3">
        <v>35.432589999999998</v>
      </c>
      <c r="BL78" s="3">
        <v>36.790283000000002</v>
      </c>
      <c r="BM78" s="3">
        <v>37.039993000000003</v>
      </c>
      <c r="BN78" s="3">
        <v>36.257998999999998</v>
      </c>
      <c r="BO78" s="3">
        <v>38.098587000000002</v>
      </c>
      <c r="BP78" s="3">
        <v>36.856257999999997</v>
      </c>
      <c r="BQ78" s="3">
        <v>36.892639000000003</v>
      </c>
      <c r="BR78" s="3">
        <v>34.023398999999998</v>
      </c>
      <c r="BS78" s="3">
        <v>36.856662999999998</v>
      </c>
      <c r="BT78" s="3">
        <v>36.606392</v>
      </c>
      <c r="BU78" s="3">
        <v>37.498409000000002</v>
      </c>
      <c r="BV78" s="3">
        <v>35.733353000000001</v>
      </c>
      <c r="BW78" s="3">
        <v>37.336323</v>
      </c>
      <c r="BX78" s="3">
        <v>36.889400000000002</v>
      </c>
      <c r="BY78" s="3">
        <v>37.881283000000003</v>
      </c>
      <c r="BZ78" s="3">
        <v>36.122337000000002</v>
      </c>
      <c r="CA78" s="3">
        <v>34.824558000000003</v>
      </c>
      <c r="CB78" s="3">
        <v>36.515602000000001</v>
      </c>
      <c r="CC78" s="3">
        <v>38.010170000000002</v>
      </c>
      <c r="CD78" s="3">
        <v>37.110450999999998</v>
      </c>
      <c r="CE78" s="3">
        <v>40.150841</v>
      </c>
      <c r="CF78" s="3">
        <v>36.453040999999999</v>
      </c>
      <c r="CG78" s="3">
        <v>36.526581</v>
      </c>
      <c r="CH78" s="3">
        <v>39.673672000000003</v>
      </c>
      <c r="CI78" s="3">
        <v>38.992621999999997</v>
      </c>
      <c r="CJ78" s="3">
        <v>39.928165</v>
      </c>
      <c r="CK78" s="3">
        <v>37.185214999999999</v>
      </c>
      <c r="CL78" s="3">
        <v>37.631999999999998</v>
      </c>
      <c r="CM78" s="3">
        <v>42.295802999999999</v>
      </c>
      <c r="CN78" s="3">
        <v>40.202838999999997</v>
      </c>
      <c r="CO78" s="3">
        <v>36.846477999999998</v>
      </c>
      <c r="CP78" s="3">
        <v>41.017829999999996</v>
      </c>
      <c r="CQ78" s="3">
        <v>39.869067999999999</v>
      </c>
      <c r="CR78" s="3">
        <v>39.847068999999998</v>
      </c>
      <c r="CS78" s="3">
        <v>38.665035000000003</v>
      </c>
      <c r="CT78" s="3">
        <v>40.348140999999998</v>
      </c>
      <c r="CU78" s="3">
        <v>41.697670000000002</v>
      </c>
      <c r="CV78" s="3">
        <v>37.827128999999999</v>
      </c>
      <c r="CW78" s="3">
        <v>40.964118999999997</v>
      </c>
      <c r="CX78" s="3">
        <v>38.830463000000002</v>
      </c>
      <c r="CY78" s="3">
        <v>39.963242000000001</v>
      </c>
      <c r="CZ78" s="3">
        <v>36.773884000000002</v>
      </c>
      <c r="DA78" s="3">
        <v>39.869166999999997</v>
      </c>
      <c r="DB78" s="3">
        <v>37.975796000000003</v>
      </c>
      <c r="DC78" s="3">
        <v>37.134048</v>
      </c>
      <c r="DD78" s="3">
        <v>38.829009999999997</v>
      </c>
      <c r="DE78" s="3">
        <v>39.075428000000002</v>
      </c>
      <c r="DF78" s="3">
        <v>38.690303999999998</v>
      </c>
      <c r="DG78" s="3">
        <v>37.770454000000001</v>
      </c>
      <c r="DH78" s="3">
        <v>37.304592</v>
      </c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31.285002359999979</v>
      </c>
      <c r="H80" s="3">
        <f>MAX(M80:GJ80)</f>
        <v>35.613791999999997</v>
      </c>
      <c r="I80" s="3">
        <f>MIN(M80:GJ80)</f>
        <v>28.677220999999999</v>
      </c>
      <c r="J80" s="3">
        <f>_xlfn.STDEV.P(M80:GJ80)</f>
        <v>1.0924264949368125</v>
      </c>
      <c r="K80" s="3">
        <f>_xlfn.VAR.S(M80:GJ80)</f>
        <v>1.2054501483231614</v>
      </c>
      <c r="M80" s="3">
        <v>32.655982999999999</v>
      </c>
      <c r="N80" s="3">
        <v>31.067934000000001</v>
      </c>
      <c r="O80" s="3">
        <v>32.599003000000003</v>
      </c>
      <c r="P80" s="3">
        <v>31.293005000000001</v>
      </c>
      <c r="Q80" s="3">
        <v>32.736156000000001</v>
      </c>
      <c r="R80" s="3">
        <v>33.555199000000002</v>
      </c>
      <c r="S80" s="3">
        <v>34.679504000000001</v>
      </c>
      <c r="T80" s="3">
        <v>30.84836</v>
      </c>
      <c r="U80" s="3">
        <v>32.392310999999999</v>
      </c>
      <c r="V80" s="3">
        <v>31.826775000000001</v>
      </c>
      <c r="W80" s="3">
        <v>31.447821000000001</v>
      </c>
      <c r="X80" s="3">
        <v>30.415226000000001</v>
      </c>
      <c r="Y80" s="3">
        <v>31.54738</v>
      </c>
      <c r="Z80" s="3">
        <v>33.526062000000003</v>
      </c>
      <c r="AA80" s="3">
        <v>30.814316000000002</v>
      </c>
      <c r="AB80" s="3">
        <v>30.867739</v>
      </c>
      <c r="AC80" s="3">
        <v>29.687574000000001</v>
      </c>
      <c r="AD80" s="3">
        <v>32.124664000000003</v>
      </c>
      <c r="AE80" s="3">
        <v>31.236295999999999</v>
      </c>
      <c r="AF80" s="3">
        <v>32.718746000000003</v>
      </c>
      <c r="AG80" s="3">
        <v>32.203147999999999</v>
      </c>
      <c r="AH80" s="3">
        <v>31.174662000000001</v>
      </c>
      <c r="AI80" s="3">
        <v>32.820979999999999</v>
      </c>
      <c r="AJ80" s="3">
        <v>31.195941999999999</v>
      </c>
      <c r="AK80" s="3">
        <v>35.613791999999997</v>
      </c>
      <c r="AL80" s="3">
        <v>30.838453000000001</v>
      </c>
      <c r="AM80" s="3">
        <v>29.287907000000001</v>
      </c>
      <c r="AN80" s="3">
        <v>30.575175999999999</v>
      </c>
      <c r="AO80" s="3">
        <v>30.341866</v>
      </c>
      <c r="AP80" s="3">
        <v>32.904266</v>
      </c>
      <c r="AQ80" s="3">
        <v>30.240442000000002</v>
      </c>
      <c r="AR80" s="3">
        <v>31.932721999999998</v>
      </c>
      <c r="AS80" s="3">
        <v>31.397261</v>
      </c>
      <c r="AT80" s="3">
        <v>30.971004000000001</v>
      </c>
      <c r="AU80" s="3">
        <v>29.960782999999999</v>
      </c>
      <c r="AV80" s="3">
        <v>30.938839000000002</v>
      </c>
      <c r="AW80" s="3">
        <v>31.673272999999998</v>
      </c>
      <c r="AX80" s="3">
        <v>31.871929000000002</v>
      </c>
      <c r="AY80" s="3">
        <v>30.676855</v>
      </c>
      <c r="AZ80" s="3">
        <v>30.756857</v>
      </c>
      <c r="BA80" s="3">
        <v>31.923466000000001</v>
      </c>
      <c r="BB80" s="3">
        <v>30.162054000000001</v>
      </c>
      <c r="BC80" s="3">
        <v>31.057805999999999</v>
      </c>
      <c r="BD80" s="3">
        <v>30.424351000000001</v>
      </c>
      <c r="BE80" s="3">
        <v>31.246943000000002</v>
      </c>
      <c r="BF80" s="3">
        <v>31.390833000000001</v>
      </c>
      <c r="BG80" s="3">
        <v>32.343029000000001</v>
      </c>
      <c r="BH80" s="3">
        <v>31.197717999999998</v>
      </c>
      <c r="BI80" s="3">
        <v>30.510041999999999</v>
      </c>
      <c r="BJ80" s="3">
        <v>31.960059999999999</v>
      </c>
      <c r="BK80" s="3">
        <v>31.684031000000001</v>
      </c>
      <c r="BL80" s="3">
        <v>30.184436999999999</v>
      </c>
      <c r="BM80" s="3">
        <v>30.924901999999999</v>
      </c>
      <c r="BN80" s="3">
        <v>31.167652</v>
      </c>
      <c r="BO80" s="3">
        <v>30.253454000000001</v>
      </c>
      <c r="BP80" s="3">
        <v>31.863512</v>
      </c>
      <c r="BQ80" s="3">
        <v>33.009151000000003</v>
      </c>
      <c r="BR80" s="3">
        <v>32.599079000000003</v>
      </c>
      <c r="BS80" s="3">
        <v>30.878342</v>
      </c>
      <c r="BT80" s="3">
        <v>30.944748000000001</v>
      </c>
      <c r="BU80" s="3">
        <v>30.502687000000002</v>
      </c>
      <c r="BV80" s="3">
        <v>30.086760000000002</v>
      </c>
      <c r="BW80" s="3">
        <v>32.712859999999999</v>
      </c>
      <c r="BX80" s="3">
        <v>31.004861999999999</v>
      </c>
      <c r="BY80" s="3">
        <v>30.460453000000001</v>
      </c>
      <c r="BZ80" s="3">
        <v>32.334601999999997</v>
      </c>
      <c r="CA80" s="3">
        <v>30.730297</v>
      </c>
      <c r="CB80" s="3">
        <v>30.976305</v>
      </c>
      <c r="CC80" s="3">
        <v>31.081175000000002</v>
      </c>
      <c r="CD80" s="3">
        <v>31.839289000000001</v>
      </c>
      <c r="CE80" s="3">
        <v>29.72784</v>
      </c>
      <c r="CF80" s="3">
        <v>31.787931</v>
      </c>
      <c r="CG80" s="3">
        <v>31.708078</v>
      </c>
      <c r="CH80" s="3">
        <v>29.999289000000001</v>
      </c>
      <c r="CI80" s="3">
        <v>32.869937999999998</v>
      </c>
      <c r="CJ80" s="3">
        <v>31.994212999999998</v>
      </c>
      <c r="CK80" s="3">
        <v>29.68112</v>
      </c>
      <c r="CL80" s="3">
        <v>30.255533</v>
      </c>
      <c r="CM80" s="3">
        <v>31.060203999999999</v>
      </c>
      <c r="CN80" s="3">
        <v>30.320838999999999</v>
      </c>
      <c r="CO80" s="3">
        <v>32.149169999999998</v>
      </c>
      <c r="CP80" s="3">
        <v>30.806598999999999</v>
      </c>
      <c r="CQ80" s="3">
        <v>31.127039</v>
      </c>
      <c r="CR80" s="3">
        <v>30.371397000000002</v>
      </c>
      <c r="CS80" s="3">
        <v>30.467625000000002</v>
      </c>
      <c r="CT80" s="3">
        <v>31.076101000000001</v>
      </c>
      <c r="CU80" s="3">
        <v>30.362901999999998</v>
      </c>
      <c r="CV80" s="3">
        <v>31.890915</v>
      </c>
      <c r="CW80" s="3">
        <v>29.706887999999999</v>
      </c>
      <c r="CX80" s="3">
        <v>30.343163000000001</v>
      </c>
      <c r="CY80" s="3">
        <v>30.027934999999999</v>
      </c>
      <c r="CZ80" s="3">
        <v>30.749853000000002</v>
      </c>
      <c r="DA80" s="3">
        <v>32.034377999999997</v>
      </c>
      <c r="DB80" s="3">
        <v>30.841940000000001</v>
      </c>
      <c r="DC80" s="3">
        <v>31.422941000000002</v>
      </c>
      <c r="DD80" s="3">
        <v>30.984819000000002</v>
      </c>
      <c r="DE80" s="3">
        <v>31.563427000000001</v>
      </c>
      <c r="DF80" s="3">
        <v>28.677220999999999</v>
      </c>
      <c r="DG80" s="3">
        <v>30.482029000000001</v>
      </c>
      <c r="DH80" s="3">
        <v>31.137798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31.33315747</v>
      </c>
      <c r="H82" s="3">
        <f>MAX(M82:GJ82)</f>
        <v>35.694988000000002</v>
      </c>
      <c r="I82" s="3">
        <f>MIN(M82:GJ82)</f>
        <v>27.498156000000002</v>
      </c>
      <c r="J82" s="3">
        <f>_xlfn.STDEV.P(M82:GJ82)</f>
        <v>1.8900598350106992</v>
      </c>
      <c r="K82" s="3">
        <f>_xlfn.VAR.S(M82:GJ82)</f>
        <v>3.6084102827481526</v>
      </c>
      <c r="M82" s="3">
        <v>30.564008999999999</v>
      </c>
      <c r="N82" s="3">
        <v>28.964971999999999</v>
      </c>
      <c r="O82" s="3">
        <v>32.689841999999999</v>
      </c>
      <c r="P82" s="3">
        <v>31.558239</v>
      </c>
      <c r="Q82" s="3">
        <v>30.259557999999998</v>
      </c>
      <c r="R82" s="3">
        <v>32.104712999999997</v>
      </c>
      <c r="S82" s="3">
        <v>33.902481000000002</v>
      </c>
      <c r="T82" s="3">
        <v>28.897469000000001</v>
      </c>
      <c r="U82" s="3">
        <v>30.612822000000001</v>
      </c>
      <c r="V82" s="3">
        <v>33.002068000000001</v>
      </c>
      <c r="W82" s="3">
        <v>29.107963999999999</v>
      </c>
      <c r="X82" s="3">
        <v>29.887688000000001</v>
      </c>
      <c r="Y82" s="3">
        <v>33.361609999999999</v>
      </c>
      <c r="Z82" s="3">
        <v>29.089860999999999</v>
      </c>
      <c r="AA82" s="3">
        <v>31.749796</v>
      </c>
      <c r="AB82" s="3">
        <v>29.751892000000002</v>
      </c>
      <c r="AC82" s="3">
        <v>28.83802</v>
      </c>
      <c r="AD82" s="3">
        <v>32.228648999999997</v>
      </c>
      <c r="AE82" s="3">
        <v>33.552864</v>
      </c>
      <c r="AF82" s="3">
        <v>29.185573999999999</v>
      </c>
      <c r="AG82" s="3">
        <v>31.779637999999998</v>
      </c>
      <c r="AH82" s="3">
        <v>31.290071000000001</v>
      </c>
      <c r="AI82" s="3">
        <v>28.043119000000001</v>
      </c>
      <c r="AJ82" s="3">
        <v>29.471838000000002</v>
      </c>
      <c r="AK82" s="3">
        <v>33.912112999999998</v>
      </c>
      <c r="AL82" s="3">
        <v>32.244751000000001</v>
      </c>
      <c r="AM82" s="3">
        <v>29.372501</v>
      </c>
      <c r="AN82" s="3">
        <v>31.314458999999999</v>
      </c>
      <c r="AO82" s="3">
        <v>32.363441000000002</v>
      </c>
      <c r="AP82" s="3">
        <v>31.185680000000001</v>
      </c>
      <c r="AQ82" s="3">
        <v>31.547149999999998</v>
      </c>
      <c r="AR82" s="3">
        <v>31.354794999999999</v>
      </c>
      <c r="AS82" s="3">
        <v>27.913822</v>
      </c>
      <c r="AT82" s="3">
        <v>31.947927</v>
      </c>
      <c r="AU82" s="3">
        <v>31.95645</v>
      </c>
      <c r="AV82" s="3">
        <v>29.384305999999999</v>
      </c>
      <c r="AW82" s="3">
        <v>31.349592000000001</v>
      </c>
      <c r="AX82" s="3">
        <v>34.574097000000002</v>
      </c>
      <c r="AY82" s="3">
        <v>30.978255999999998</v>
      </c>
      <c r="AZ82" s="3">
        <v>32.273079000000003</v>
      </c>
      <c r="BA82" s="3">
        <v>32.313938</v>
      </c>
      <c r="BB82" s="3">
        <v>30.185692</v>
      </c>
      <c r="BC82" s="3">
        <v>32.037188999999998</v>
      </c>
      <c r="BD82" s="3">
        <v>33.668579000000001</v>
      </c>
      <c r="BE82" s="3">
        <v>29.574501000000001</v>
      </c>
      <c r="BF82" s="3">
        <v>31.773291</v>
      </c>
      <c r="BG82" s="3">
        <v>29.441842999999999</v>
      </c>
      <c r="BH82" s="3">
        <v>27.726859999999999</v>
      </c>
      <c r="BI82" s="3">
        <v>29.920534</v>
      </c>
      <c r="BJ82" s="3">
        <v>35.551765000000003</v>
      </c>
      <c r="BK82" s="3">
        <v>31.997323999999999</v>
      </c>
      <c r="BL82" s="3">
        <v>30.176220000000001</v>
      </c>
      <c r="BM82" s="3">
        <v>34.089066000000003</v>
      </c>
      <c r="BN82" s="3">
        <v>30.198145</v>
      </c>
      <c r="BO82" s="3">
        <v>30.713497</v>
      </c>
      <c r="BP82" s="3">
        <v>30.535971</v>
      </c>
      <c r="BQ82" s="3">
        <v>30.813794999999999</v>
      </c>
      <c r="BR82" s="3">
        <v>28.979766999999999</v>
      </c>
      <c r="BS82" s="3">
        <v>34.398563000000003</v>
      </c>
      <c r="BT82" s="3">
        <v>30.704699000000002</v>
      </c>
      <c r="BU82" s="3">
        <v>29.883043000000001</v>
      </c>
      <c r="BV82" s="3">
        <v>30.429521999999999</v>
      </c>
      <c r="BW82" s="3">
        <v>35.304156999999996</v>
      </c>
      <c r="BX82" s="3">
        <v>31.871331999999999</v>
      </c>
      <c r="BY82" s="3">
        <v>30.651067999999999</v>
      </c>
      <c r="BZ82" s="3">
        <v>30.267181000000001</v>
      </c>
      <c r="CA82" s="3">
        <v>34.880105999999998</v>
      </c>
      <c r="CB82" s="3">
        <v>32.155177999999999</v>
      </c>
      <c r="CC82" s="3">
        <v>30.753508</v>
      </c>
      <c r="CD82" s="3">
        <v>31.203205000000001</v>
      </c>
      <c r="CE82" s="3">
        <v>33.005215</v>
      </c>
      <c r="CF82" s="3">
        <v>28.070467000000001</v>
      </c>
      <c r="CG82" s="3">
        <v>28.729979</v>
      </c>
      <c r="CH82" s="3">
        <v>29.101832999999999</v>
      </c>
      <c r="CI82" s="3">
        <v>35.183880000000002</v>
      </c>
      <c r="CJ82" s="3">
        <v>32.231647000000002</v>
      </c>
      <c r="CK82" s="3">
        <v>32.420174000000003</v>
      </c>
      <c r="CL82" s="3">
        <v>32.622387000000003</v>
      </c>
      <c r="CM82" s="3">
        <v>28.850608999999999</v>
      </c>
      <c r="CN82" s="3">
        <v>32.879173000000002</v>
      </c>
      <c r="CO82" s="3">
        <v>32.801205000000003</v>
      </c>
      <c r="CP82" s="3">
        <v>32.60022</v>
      </c>
      <c r="CQ82" s="3">
        <v>30.476676999999999</v>
      </c>
      <c r="CR82" s="3">
        <v>31.034044000000002</v>
      </c>
      <c r="CS82" s="3">
        <v>30.669513999999999</v>
      </c>
      <c r="CT82" s="3">
        <v>27.498156000000002</v>
      </c>
      <c r="CU82" s="3">
        <v>31.562716000000002</v>
      </c>
      <c r="CV82" s="3">
        <v>35.694988000000002</v>
      </c>
      <c r="CW82" s="3">
        <v>31.992049999999999</v>
      </c>
      <c r="CX82" s="3">
        <v>29.476832999999999</v>
      </c>
      <c r="CY82" s="3">
        <v>32.226619999999997</v>
      </c>
      <c r="CZ82" s="3">
        <v>32.060580999999999</v>
      </c>
      <c r="DA82" s="3">
        <v>29.485643</v>
      </c>
      <c r="DB82" s="3">
        <v>32.870201000000002</v>
      </c>
      <c r="DC82" s="3">
        <v>31.731847999999999</v>
      </c>
      <c r="DD82" s="3">
        <v>35.059956</v>
      </c>
      <c r="DE82" s="3">
        <v>33.067256999999998</v>
      </c>
      <c r="DF82" s="3">
        <v>28.630831000000001</v>
      </c>
      <c r="DG82" s="3">
        <v>31.858405999999999</v>
      </c>
      <c r="DH82" s="3">
        <v>33.655921999999997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</row>
    <row r="84" spans="2:207" x14ac:dyDescent="0.2">
      <c r="M84" s="3"/>
      <c r="N84" s="3"/>
    </row>
    <row r="85" spans="2:207" x14ac:dyDescent="0.2">
      <c r="B85" t="s">
        <v>59</v>
      </c>
      <c r="D85" s="1" t="s">
        <v>40</v>
      </c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14.672319280000002</v>
      </c>
      <c r="H86" s="3">
        <f>MAX(M86:GJ86)</f>
        <v>17.209230000000002</v>
      </c>
      <c r="I86" s="3">
        <f>MIN(M86:GJ86)</f>
        <v>12.307501</v>
      </c>
      <c r="J86" s="3">
        <f>_xlfn.STDEV.P(M86:GJ86)</f>
        <v>0.97798475352195624</v>
      </c>
      <c r="K86" s="3">
        <f>_xlfn.VAR.S(M86:GJ86)</f>
        <v>0.96611533143575912</v>
      </c>
      <c r="M86" s="3">
        <v>15.225078999999999</v>
      </c>
      <c r="N86" s="3">
        <v>15.885505999999999</v>
      </c>
      <c r="O86" s="3">
        <v>14.049326000000001</v>
      </c>
      <c r="P86" s="3">
        <v>15.177568000000001</v>
      </c>
      <c r="Q86" s="3">
        <v>13.635904999999999</v>
      </c>
      <c r="R86" s="3">
        <v>16.078023999999999</v>
      </c>
      <c r="S86" s="3">
        <v>14.141105</v>
      </c>
      <c r="T86" s="3">
        <v>15.529391</v>
      </c>
      <c r="U86" s="3">
        <v>14.304214</v>
      </c>
      <c r="V86" s="3">
        <v>14.037476</v>
      </c>
      <c r="W86" s="3">
        <v>14.37274</v>
      </c>
      <c r="X86" s="3">
        <v>14.237201000000001</v>
      </c>
      <c r="Y86" s="3">
        <v>17.209230000000002</v>
      </c>
      <c r="Z86" s="3">
        <v>14.204378999999999</v>
      </c>
      <c r="AA86" s="3">
        <v>14.109914</v>
      </c>
      <c r="AB86" s="3">
        <v>13.028456</v>
      </c>
      <c r="AC86" s="3">
        <v>12.307501</v>
      </c>
      <c r="AD86" s="3">
        <v>13.939012</v>
      </c>
      <c r="AE86" s="3">
        <v>15.180033999999999</v>
      </c>
      <c r="AF86" s="3">
        <v>14.071448</v>
      </c>
      <c r="AG86" s="3">
        <v>14.208974</v>
      </c>
      <c r="AH86" s="3">
        <v>14.932740000000001</v>
      </c>
      <c r="AI86" s="3">
        <v>14.09845</v>
      </c>
      <c r="AJ86" s="3">
        <v>16.498697</v>
      </c>
      <c r="AK86" s="3">
        <v>13.990380999999999</v>
      </c>
      <c r="AL86" s="3">
        <v>14.877126000000001</v>
      </c>
      <c r="AM86" s="3">
        <v>14.476715</v>
      </c>
      <c r="AN86" s="3">
        <v>14.705985</v>
      </c>
      <c r="AO86" s="3">
        <v>15.799673</v>
      </c>
      <c r="AP86" s="3">
        <v>13.904346</v>
      </c>
      <c r="AQ86" s="3">
        <v>14.784271</v>
      </c>
      <c r="AR86" s="3">
        <v>13.982194</v>
      </c>
      <c r="AS86" s="3">
        <v>13.849323</v>
      </c>
      <c r="AT86" s="3">
        <v>15.229324</v>
      </c>
      <c r="AU86" s="3">
        <v>13.395572</v>
      </c>
      <c r="AV86" s="3">
        <v>14.036096000000001</v>
      </c>
      <c r="AW86" s="3">
        <v>14.063611</v>
      </c>
      <c r="AX86" s="3">
        <v>15.135104999999999</v>
      </c>
      <c r="AY86" s="3">
        <v>16.413971</v>
      </c>
      <c r="AZ86" s="3">
        <v>15.335865</v>
      </c>
      <c r="BA86" s="3">
        <v>13.347023</v>
      </c>
      <c r="BB86" s="3">
        <v>16.893915</v>
      </c>
      <c r="BC86" s="3">
        <v>14.879594000000001</v>
      </c>
      <c r="BD86" s="3">
        <v>16.922331</v>
      </c>
      <c r="BE86" s="3">
        <v>13.736231</v>
      </c>
      <c r="BF86" s="3">
        <v>15.798420999999999</v>
      </c>
      <c r="BG86" s="3">
        <v>14.208546999999999</v>
      </c>
      <c r="BH86" s="3">
        <v>16.463208999999999</v>
      </c>
      <c r="BI86" s="3">
        <v>15.63757</v>
      </c>
      <c r="BJ86" s="3">
        <v>13.751587000000001</v>
      </c>
      <c r="BK86" s="3">
        <v>14.296474</v>
      </c>
      <c r="BL86" s="3">
        <v>15.117682</v>
      </c>
      <c r="BM86" s="3">
        <v>14.160318999999999</v>
      </c>
      <c r="BN86" s="3">
        <v>16.317136999999999</v>
      </c>
      <c r="BO86" s="3">
        <v>14.537668999999999</v>
      </c>
      <c r="BP86" s="3">
        <v>13.882880999999999</v>
      </c>
      <c r="BQ86" s="3">
        <v>16.566808999999999</v>
      </c>
      <c r="BR86" s="3">
        <v>14.860879000000001</v>
      </c>
      <c r="BS86" s="3">
        <v>15.681115</v>
      </c>
      <c r="BT86" s="3">
        <v>14.566393</v>
      </c>
      <c r="BU86" s="3">
        <v>14.767590999999999</v>
      </c>
      <c r="BV86" s="3">
        <v>14.115767</v>
      </c>
      <c r="BW86" s="3">
        <v>14.195949000000001</v>
      </c>
      <c r="BX86" s="3">
        <v>14.098072</v>
      </c>
      <c r="BY86" s="3">
        <v>13.775437</v>
      </c>
      <c r="BZ86" s="3">
        <v>15.650264999999999</v>
      </c>
      <c r="CA86" s="3">
        <v>14.706416000000001</v>
      </c>
      <c r="CB86" s="3">
        <v>14.483169</v>
      </c>
      <c r="CC86" s="3">
        <v>13.998243</v>
      </c>
      <c r="CD86" s="3">
        <v>13.797198</v>
      </c>
      <c r="CE86" s="3">
        <v>14.080225</v>
      </c>
      <c r="CF86" s="3">
        <v>12.515959000000001</v>
      </c>
      <c r="CG86" s="3">
        <v>14.747487</v>
      </c>
      <c r="CH86" s="3">
        <v>16.533548</v>
      </c>
      <c r="CI86" s="3">
        <v>15.746058</v>
      </c>
      <c r="CJ86" s="3">
        <v>14.010254</v>
      </c>
      <c r="CK86" s="3">
        <v>14.291373999999999</v>
      </c>
      <c r="CL86" s="3">
        <v>14.757272</v>
      </c>
      <c r="CM86" s="3">
        <v>14.041969</v>
      </c>
      <c r="CN86" s="3">
        <v>14.153063</v>
      </c>
      <c r="CO86" s="3">
        <v>14.061832000000001</v>
      </c>
      <c r="CP86" s="3">
        <v>13.844913</v>
      </c>
      <c r="CQ86" s="3">
        <v>15.441711</v>
      </c>
      <c r="CR86" s="3">
        <v>14.319155</v>
      </c>
      <c r="CS86" s="3">
        <v>15.339855</v>
      </c>
      <c r="CT86" s="3">
        <v>16.406433</v>
      </c>
      <c r="CU86" s="3">
        <v>14.106021999999999</v>
      </c>
      <c r="CV86" s="3">
        <v>13.921806999999999</v>
      </c>
      <c r="CW86" s="3">
        <v>13.853211</v>
      </c>
      <c r="CX86" s="3">
        <v>14.156449</v>
      </c>
      <c r="CY86" s="3">
        <v>16.772707</v>
      </c>
      <c r="CZ86" s="3">
        <v>14.225910000000001</v>
      </c>
      <c r="DA86" s="3">
        <v>14.122202</v>
      </c>
      <c r="DB86" s="3">
        <v>14.350441</v>
      </c>
      <c r="DC86" s="3">
        <v>14.397672999999999</v>
      </c>
      <c r="DD86" s="3">
        <v>16.271379</v>
      </c>
      <c r="DE86" s="3">
        <v>14.552588</v>
      </c>
      <c r="DF86" s="3">
        <v>14.088791000000001</v>
      </c>
      <c r="DG86" s="3">
        <v>14.100073999999999</v>
      </c>
      <c r="DH86" s="3">
        <v>14.365745</v>
      </c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14.618066010000005</v>
      </c>
      <c r="H88" s="3">
        <f>MAX(M88:GJ88)</f>
        <v>17.705589</v>
      </c>
      <c r="I88" s="3">
        <f>MIN(M88:GJ88)</f>
        <v>10.265658999999999</v>
      </c>
      <c r="J88" s="3">
        <f>_xlfn.STDEV.P(M88:GJ88)</f>
        <v>1.7387478190317254</v>
      </c>
      <c r="K88" s="3">
        <f>_xlfn.VAR.S(M88:GJ88)</f>
        <v>3.0537817961490559</v>
      </c>
      <c r="M88" s="3">
        <v>16.848555000000001</v>
      </c>
      <c r="N88" s="3">
        <v>14.682612000000001</v>
      </c>
      <c r="O88" s="3">
        <v>15.771535</v>
      </c>
      <c r="P88" s="3">
        <v>15.372438000000001</v>
      </c>
      <c r="Q88" s="3">
        <v>12.486407</v>
      </c>
      <c r="R88" s="3">
        <v>17.123578999999999</v>
      </c>
      <c r="S88" s="3">
        <v>15.309374999999999</v>
      </c>
      <c r="T88" s="3">
        <v>13.278503000000001</v>
      </c>
      <c r="U88" s="3">
        <v>14.723827999999999</v>
      </c>
      <c r="V88" s="3">
        <v>11.211607000000001</v>
      </c>
      <c r="W88" s="3">
        <v>15.542113000000001</v>
      </c>
      <c r="X88" s="3">
        <v>15.204713</v>
      </c>
      <c r="Y88" s="3">
        <v>12.944786000000001</v>
      </c>
      <c r="Z88" s="3">
        <v>15.326104000000001</v>
      </c>
      <c r="AA88" s="3">
        <v>15.114629000000001</v>
      </c>
      <c r="AB88" s="3">
        <v>13.404654000000001</v>
      </c>
      <c r="AC88" s="3">
        <v>12.371886</v>
      </c>
      <c r="AD88" s="3">
        <v>14.757911999999999</v>
      </c>
      <c r="AE88" s="3">
        <v>16.106843999999999</v>
      </c>
      <c r="AF88" s="3">
        <v>12.648132</v>
      </c>
      <c r="AG88" s="3">
        <v>13.822900000000001</v>
      </c>
      <c r="AH88" s="3">
        <v>12.83114</v>
      </c>
      <c r="AI88" s="3">
        <v>16.292669</v>
      </c>
      <c r="AJ88" s="3">
        <v>16.549893999999998</v>
      </c>
      <c r="AK88" s="3">
        <v>14.471054000000001</v>
      </c>
      <c r="AL88" s="3">
        <v>15.182233</v>
      </c>
      <c r="AM88" s="3">
        <v>16.298855</v>
      </c>
      <c r="AN88" s="3">
        <v>15.356842</v>
      </c>
      <c r="AO88" s="3">
        <v>11.827177000000001</v>
      </c>
      <c r="AP88" s="3">
        <v>16.022189999999998</v>
      </c>
      <c r="AQ88" s="3">
        <v>12.835654</v>
      </c>
      <c r="AR88" s="3">
        <v>15.134853</v>
      </c>
      <c r="AS88" s="3">
        <v>15.379702</v>
      </c>
      <c r="AT88" s="3">
        <v>16.245380000000001</v>
      </c>
      <c r="AU88" s="3">
        <v>17.705589</v>
      </c>
      <c r="AV88" s="3">
        <v>13.504111999999999</v>
      </c>
      <c r="AW88" s="3">
        <v>16.872595</v>
      </c>
      <c r="AX88" s="3">
        <v>13.878690000000001</v>
      </c>
      <c r="AY88" s="3">
        <v>12.227264</v>
      </c>
      <c r="AZ88" s="3">
        <v>11.633296</v>
      </c>
      <c r="BA88" s="3">
        <v>14.283198000000001</v>
      </c>
      <c r="BB88" s="3">
        <v>15.298335</v>
      </c>
      <c r="BC88" s="3">
        <v>13.981992</v>
      </c>
      <c r="BD88" s="3">
        <v>13.772902999999999</v>
      </c>
      <c r="BE88" s="3">
        <v>15.588639000000001</v>
      </c>
      <c r="BF88" s="3">
        <v>14.538703999999999</v>
      </c>
      <c r="BG88" s="3">
        <v>16.817229999999999</v>
      </c>
      <c r="BH88" s="3">
        <v>16.928847999999999</v>
      </c>
      <c r="BI88" s="3">
        <v>17.03229</v>
      </c>
      <c r="BJ88" s="3">
        <v>13.674341</v>
      </c>
      <c r="BK88" s="3">
        <v>15.787751</v>
      </c>
      <c r="BL88" s="3">
        <v>15.892014</v>
      </c>
      <c r="BM88" s="3">
        <v>15.326311</v>
      </c>
      <c r="BN88" s="3">
        <v>15.249953</v>
      </c>
      <c r="BO88" s="3">
        <v>14.268499</v>
      </c>
      <c r="BP88" s="3">
        <v>13.511576</v>
      </c>
      <c r="BQ88" s="3">
        <v>17.378886999999999</v>
      </c>
      <c r="BR88" s="3">
        <v>15.135457000000001</v>
      </c>
      <c r="BS88" s="3">
        <v>12.283702</v>
      </c>
      <c r="BT88" s="3">
        <v>17.053909000000001</v>
      </c>
      <c r="BU88" s="3">
        <v>17.036625000000001</v>
      </c>
      <c r="BV88" s="3">
        <v>15.33187</v>
      </c>
      <c r="BW88" s="3">
        <v>14.085379</v>
      </c>
      <c r="BX88" s="3">
        <v>13.642054</v>
      </c>
      <c r="BY88" s="3">
        <v>13.579159000000001</v>
      </c>
      <c r="BZ88" s="3">
        <v>14.064959999999999</v>
      </c>
      <c r="CA88" s="3">
        <v>14.670030000000001</v>
      </c>
      <c r="CB88" s="3">
        <v>13.167127000000001</v>
      </c>
      <c r="CC88" s="3">
        <v>17.679846000000001</v>
      </c>
      <c r="CD88" s="3">
        <v>15.138000999999999</v>
      </c>
      <c r="CE88" s="3">
        <v>14.192603</v>
      </c>
      <c r="CF88" s="3">
        <v>15.303303</v>
      </c>
      <c r="CG88" s="3">
        <v>12.232573</v>
      </c>
      <c r="CH88" s="3">
        <v>15.817805999999999</v>
      </c>
      <c r="CI88" s="3">
        <v>13.85393</v>
      </c>
      <c r="CJ88" s="3">
        <v>15.373163</v>
      </c>
      <c r="CK88" s="3">
        <v>16.536764000000002</v>
      </c>
      <c r="CL88" s="3">
        <v>17.058332</v>
      </c>
      <c r="CM88" s="3">
        <v>11.22349</v>
      </c>
      <c r="CN88" s="3">
        <v>12.400263000000001</v>
      </c>
      <c r="CO88" s="3">
        <v>11.718047</v>
      </c>
      <c r="CP88" s="3">
        <v>14.467301000000001</v>
      </c>
      <c r="CQ88" s="3">
        <v>14.388849</v>
      </c>
      <c r="CR88" s="3">
        <v>15.569940000000001</v>
      </c>
      <c r="CS88" s="3">
        <v>14.538561</v>
      </c>
      <c r="CT88" s="3">
        <v>10.398755</v>
      </c>
      <c r="CU88" s="3">
        <v>14.553172999999999</v>
      </c>
      <c r="CV88" s="3">
        <v>17.19669</v>
      </c>
      <c r="CW88" s="3">
        <v>10.968852999999999</v>
      </c>
      <c r="CX88" s="3">
        <v>10.265658999999999</v>
      </c>
      <c r="CY88" s="3">
        <v>14.468052999999999</v>
      </c>
      <c r="CZ88" s="3">
        <v>15.155175</v>
      </c>
      <c r="DA88" s="3">
        <v>13.589122</v>
      </c>
      <c r="DB88" s="3">
        <v>14.693585000000001</v>
      </c>
      <c r="DC88" s="3">
        <v>14.699483000000001</v>
      </c>
      <c r="DD88" s="3">
        <v>13.203208999999999</v>
      </c>
      <c r="DE88" s="3">
        <v>17.655704</v>
      </c>
      <c r="DF88" s="3">
        <v>14.743544999999999</v>
      </c>
      <c r="DG88" s="3">
        <v>17.095091</v>
      </c>
      <c r="DH88" s="3">
        <v>11.943688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15.364299850000002</v>
      </c>
      <c r="H90" s="3">
        <f>MAX(M90:GJ90)</f>
        <v>19.071026</v>
      </c>
      <c r="I90" s="3">
        <f>MIN(M90:GJ90)</f>
        <v>13.392004999999999</v>
      </c>
      <c r="J90" s="3">
        <f>_xlfn.STDEV.P(M90:GJ90)</f>
        <v>0.98193472254950209</v>
      </c>
      <c r="K90" s="3">
        <f>_xlfn.VAR.S(M90:GJ90)</f>
        <v>0.97393515085693694</v>
      </c>
      <c r="M90" s="3">
        <v>15.500857</v>
      </c>
      <c r="N90" s="3">
        <v>15.465158000000001</v>
      </c>
      <c r="O90" s="3">
        <v>14.177891000000001</v>
      </c>
      <c r="P90" s="3">
        <v>14.348115</v>
      </c>
      <c r="Q90" s="3">
        <v>15.30321</v>
      </c>
      <c r="R90" s="3">
        <v>14.532254999999999</v>
      </c>
      <c r="S90" s="3">
        <v>14.627967</v>
      </c>
      <c r="T90" s="3">
        <v>15.461653999999999</v>
      </c>
      <c r="U90" s="3">
        <v>16.433206999999999</v>
      </c>
      <c r="V90" s="3">
        <v>14.852259999999999</v>
      </c>
      <c r="W90" s="3">
        <v>14.810302</v>
      </c>
      <c r="X90" s="3">
        <v>17.965896999999998</v>
      </c>
      <c r="Y90" s="3">
        <v>13.661239</v>
      </c>
      <c r="Z90" s="3">
        <v>16.074821</v>
      </c>
      <c r="AA90" s="3">
        <v>14.57197</v>
      </c>
      <c r="AB90" s="3">
        <v>13.804449999999999</v>
      </c>
      <c r="AC90" s="3">
        <v>15.467674000000001</v>
      </c>
      <c r="AD90" s="3">
        <v>14.110329999999999</v>
      </c>
      <c r="AE90" s="3">
        <v>14.984083</v>
      </c>
      <c r="AF90" s="3">
        <v>16.130081000000001</v>
      </c>
      <c r="AG90" s="3">
        <v>15.119641</v>
      </c>
      <c r="AH90" s="3">
        <v>15.372676</v>
      </c>
      <c r="AI90" s="3">
        <v>14.625147</v>
      </c>
      <c r="AJ90" s="3">
        <v>15.147361999999999</v>
      </c>
      <c r="AK90" s="3">
        <v>15.76164</v>
      </c>
      <c r="AL90" s="3">
        <v>15.376016999999999</v>
      </c>
      <c r="AM90" s="3">
        <v>15.777395</v>
      </c>
      <c r="AN90" s="3">
        <v>14.956151</v>
      </c>
      <c r="AO90" s="3">
        <v>14.965624999999999</v>
      </c>
      <c r="AP90" s="3">
        <v>15.53313</v>
      </c>
      <c r="AQ90" s="3">
        <v>14.669905</v>
      </c>
      <c r="AR90" s="3">
        <v>15.157195</v>
      </c>
      <c r="AS90" s="3">
        <v>15.558685000000001</v>
      </c>
      <c r="AT90" s="3">
        <v>15.200377</v>
      </c>
      <c r="AU90" s="3">
        <v>16.716747000000002</v>
      </c>
      <c r="AV90" s="3">
        <v>15.975866</v>
      </c>
      <c r="AW90" s="3">
        <v>15.865710999999999</v>
      </c>
      <c r="AX90" s="3">
        <v>14.570733000000001</v>
      </c>
      <c r="AY90" s="3">
        <v>15.745127</v>
      </c>
      <c r="AZ90" s="3">
        <v>14.067534</v>
      </c>
      <c r="BA90" s="3">
        <v>15.368342</v>
      </c>
      <c r="BB90" s="3">
        <v>15.362045</v>
      </c>
      <c r="BC90" s="3">
        <v>17.469954999999999</v>
      </c>
      <c r="BD90" s="3">
        <v>15.120327</v>
      </c>
      <c r="BE90" s="3">
        <v>15.377193</v>
      </c>
      <c r="BF90" s="3">
        <v>15.531043</v>
      </c>
      <c r="BG90" s="3">
        <v>14.385552000000001</v>
      </c>
      <c r="BH90" s="3">
        <v>15.770880999999999</v>
      </c>
      <c r="BI90" s="3">
        <v>13.395763000000001</v>
      </c>
      <c r="BJ90" s="3">
        <v>15.656043</v>
      </c>
      <c r="BK90" s="3">
        <v>16.940363000000001</v>
      </c>
      <c r="BL90" s="3">
        <v>13.943251999999999</v>
      </c>
      <c r="BM90" s="3">
        <v>15.944169</v>
      </c>
      <c r="BN90" s="3">
        <v>15.610374999999999</v>
      </c>
      <c r="BO90" s="3">
        <v>16.712477</v>
      </c>
      <c r="BP90" s="3">
        <v>15.199510999999999</v>
      </c>
      <c r="BQ90" s="3">
        <v>16.522282000000001</v>
      </c>
      <c r="BR90" s="3">
        <v>15.185907</v>
      </c>
      <c r="BS90" s="3">
        <v>15.363708000000001</v>
      </c>
      <c r="BT90" s="3">
        <v>14.306564</v>
      </c>
      <c r="BU90" s="3">
        <v>15.964278</v>
      </c>
      <c r="BV90" s="3">
        <v>15.100434</v>
      </c>
      <c r="BW90" s="3">
        <v>15.014956</v>
      </c>
      <c r="BX90" s="3">
        <v>17.411736999999999</v>
      </c>
      <c r="BY90" s="3">
        <v>14.218537</v>
      </c>
      <c r="BZ90" s="3">
        <v>15.847763</v>
      </c>
      <c r="CA90" s="3">
        <v>15.565137999999999</v>
      </c>
      <c r="CB90" s="3">
        <v>15.673382</v>
      </c>
      <c r="CC90" s="3">
        <v>17.161187999999999</v>
      </c>
      <c r="CD90" s="3">
        <v>16.603003000000001</v>
      </c>
      <c r="CE90" s="3">
        <v>15.632564</v>
      </c>
      <c r="CF90" s="3">
        <v>15.47199</v>
      </c>
      <c r="CG90" s="3">
        <v>15.380782</v>
      </c>
      <c r="CH90" s="3">
        <v>17.835882000000002</v>
      </c>
      <c r="CI90" s="3">
        <v>16.971147999999999</v>
      </c>
      <c r="CJ90" s="3">
        <v>15.098725999999999</v>
      </c>
      <c r="CK90" s="3">
        <v>14.472058000000001</v>
      </c>
      <c r="CL90" s="3">
        <v>14.161906999999999</v>
      </c>
      <c r="CM90" s="3">
        <v>16.017828000000002</v>
      </c>
      <c r="CN90" s="3">
        <v>15.758369</v>
      </c>
      <c r="CO90" s="3">
        <v>15.042725000000001</v>
      </c>
      <c r="CP90" s="3">
        <v>14.020246</v>
      </c>
      <c r="CQ90" s="3">
        <v>15.569917999999999</v>
      </c>
      <c r="CR90" s="3">
        <v>14.607745</v>
      </c>
      <c r="CS90" s="3">
        <v>15.224129</v>
      </c>
      <c r="CT90" s="3">
        <v>15.336077</v>
      </c>
      <c r="CU90" s="3">
        <v>19.071026</v>
      </c>
      <c r="CV90" s="3">
        <v>13.392004999999999</v>
      </c>
      <c r="CW90" s="3">
        <v>16.523775000000001</v>
      </c>
      <c r="CX90" s="3">
        <v>14.608955999999999</v>
      </c>
      <c r="CY90" s="3">
        <v>14.310326</v>
      </c>
      <c r="CZ90" s="3">
        <v>15.390618</v>
      </c>
      <c r="DA90" s="3">
        <v>14.318562999999999</v>
      </c>
      <c r="DB90" s="3">
        <v>15.015396000000001</v>
      </c>
      <c r="DC90" s="3">
        <v>15.482244</v>
      </c>
      <c r="DD90" s="3">
        <v>14.841811</v>
      </c>
      <c r="DE90" s="3">
        <v>15.679982000000001</v>
      </c>
      <c r="DF90" s="3">
        <v>13.965693</v>
      </c>
      <c r="DG90" s="3">
        <v>15.311229000000001</v>
      </c>
      <c r="DH90" s="3">
        <v>15.744014</v>
      </c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14.749901149999998</v>
      </c>
      <c r="H92" s="3">
        <f>MAX(M92:GJ92)</f>
        <v>17.010344</v>
      </c>
      <c r="I92" s="3">
        <f>MIN(M92:GJ92)</f>
        <v>10.665899</v>
      </c>
      <c r="J92" s="3">
        <f>_xlfn.STDEV.P(M92:GJ92)</f>
        <v>1.294010558411216</v>
      </c>
      <c r="K92" s="3">
        <f>_xlfn.VAR.S(M92:GJ92)</f>
        <v>1.6913770962421282</v>
      </c>
      <c r="M92" s="3">
        <v>16.221878</v>
      </c>
      <c r="N92" s="3">
        <v>14.129967000000001</v>
      </c>
      <c r="O92" s="3">
        <v>16.252452999999999</v>
      </c>
      <c r="P92" s="3">
        <v>14.682311</v>
      </c>
      <c r="Q92" s="3">
        <v>14.68549</v>
      </c>
      <c r="R92" s="3">
        <v>15.91732</v>
      </c>
      <c r="S92" s="3">
        <v>15.150418</v>
      </c>
      <c r="T92" s="3">
        <v>15.9533</v>
      </c>
      <c r="U92" s="3">
        <v>16.644102</v>
      </c>
      <c r="V92" s="3">
        <v>15.916463</v>
      </c>
      <c r="W92" s="3">
        <v>15.938345999999999</v>
      </c>
      <c r="X92" s="3">
        <v>16.164795000000002</v>
      </c>
      <c r="Y92" s="3">
        <v>13.113254</v>
      </c>
      <c r="Z92" s="3">
        <v>14.702812</v>
      </c>
      <c r="AA92" s="3">
        <v>16.666844999999999</v>
      </c>
      <c r="AB92" s="3">
        <v>13.048601</v>
      </c>
      <c r="AC92" s="3">
        <v>14.639887</v>
      </c>
      <c r="AD92" s="3">
        <v>14.357018</v>
      </c>
      <c r="AE92" s="3">
        <v>15.463590999999999</v>
      </c>
      <c r="AF92" s="3">
        <v>16.216944000000002</v>
      </c>
      <c r="AG92" s="3">
        <v>13.033692</v>
      </c>
      <c r="AH92" s="3">
        <v>14.972351</v>
      </c>
      <c r="AI92" s="3">
        <v>16.159711999999999</v>
      </c>
      <c r="AJ92" s="3">
        <v>15.718356</v>
      </c>
      <c r="AK92" s="3">
        <v>11.750104</v>
      </c>
      <c r="AL92" s="3">
        <v>15.7705</v>
      </c>
      <c r="AM92" s="3">
        <v>15.14324</v>
      </c>
      <c r="AN92" s="3">
        <v>14.209016</v>
      </c>
      <c r="AO92" s="3">
        <v>14.342252</v>
      </c>
      <c r="AP92" s="3">
        <v>12.351642</v>
      </c>
      <c r="AQ92" s="3">
        <v>16.048438999999998</v>
      </c>
      <c r="AR92" s="3">
        <v>14.674784000000001</v>
      </c>
      <c r="AS92" s="3">
        <v>15.624317</v>
      </c>
      <c r="AT92" s="3">
        <v>16.065667999999999</v>
      </c>
      <c r="AU92" s="3">
        <v>15.022648999999999</v>
      </c>
      <c r="AV92" s="3">
        <v>14.058039000000001</v>
      </c>
      <c r="AW92" s="3">
        <v>12.301069</v>
      </c>
      <c r="AX92" s="3">
        <v>13.543741000000001</v>
      </c>
      <c r="AY92" s="3">
        <v>13.006570999999999</v>
      </c>
      <c r="AZ92" s="3">
        <v>15.302781</v>
      </c>
      <c r="BA92" s="3">
        <v>14.78459</v>
      </c>
      <c r="BB92" s="3">
        <v>15.117346</v>
      </c>
      <c r="BC92" s="3">
        <v>13.86022</v>
      </c>
      <c r="BD92" s="3">
        <v>15.697255999999999</v>
      </c>
      <c r="BE92" s="3">
        <v>15.04983</v>
      </c>
      <c r="BF92" s="3">
        <v>15.270128</v>
      </c>
      <c r="BG92" s="3">
        <v>13.597728</v>
      </c>
      <c r="BH92" s="3">
        <v>16.663924999999999</v>
      </c>
      <c r="BI92" s="3">
        <v>13.981586999999999</v>
      </c>
      <c r="BJ92" s="3">
        <v>15.616403</v>
      </c>
      <c r="BK92" s="3">
        <v>15.845518</v>
      </c>
      <c r="BL92" s="3">
        <v>13.905651000000001</v>
      </c>
      <c r="BM92" s="3">
        <v>15.658151</v>
      </c>
      <c r="BN92" s="3">
        <v>12.526552000000001</v>
      </c>
      <c r="BO92" s="3">
        <v>10.665899</v>
      </c>
      <c r="BP92" s="3">
        <v>17.010344</v>
      </c>
      <c r="BQ92" s="3">
        <v>16.198021000000001</v>
      </c>
      <c r="BR92" s="3">
        <v>15.577337999999999</v>
      </c>
      <c r="BS92" s="3">
        <v>16.086459999999999</v>
      </c>
      <c r="BT92" s="3">
        <v>15.427426000000001</v>
      </c>
      <c r="BU92" s="3">
        <v>14.841386999999999</v>
      </c>
      <c r="BV92" s="3">
        <v>14.207046999999999</v>
      </c>
      <c r="BW92" s="3">
        <v>14.227145999999999</v>
      </c>
      <c r="BX92" s="3">
        <v>12.70139</v>
      </c>
      <c r="BY92" s="3">
        <v>13.469027000000001</v>
      </c>
      <c r="BZ92" s="3">
        <v>15.480318</v>
      </c>
      <c r="CA92" s="3">
        <v>14.520047</v>
      </c>
      <c r="CB92" s="3">
        <v>12.230848999999999</v>
      </c>
      <c r="CC92" s="3">
        <v>15.247769999999999</v>
      </c>
      <c r="CD92" s="3">
        <v>15.521595</v>
      </c>
      <c r="CE92" s="3">
        <v>15.243055999999999</v>
      </c>
      <c r="CF92" s="3">
        <v>15.128769</v>
      </c>
      <c r="CG92" s="3">
        <v>15.528371</v>
      </c>
      <c r="CH92" s="3">
        <v>13.952617999999999</v>
      </c>
      <c r="CI92" s="3">
        <v>14.927896</v>
      </c>
      <c r="CJ92" s="3">
        <v>16.495070999999999</v>
      </c>
      <c r="CK92" s="3">
        <v>11.458920000000001</v>
      </c>
      <c r="CL92" s="3">
        <v>15.920254</v>
      </c>
      <c r="CM92" s="3">
        <v>14.442553999999999</v>
      </c>
      <c r="CN92" s="3">
        <v>14.165277</v>
      </c>
      <c r="CO92" s="3">
        <v>13.283917000000001</v>
      </c>
      <c r="CP92" s="3">
        <v>12.937189999999999</v>
      </c>
      <c r="CQ92" s="3">
        <v>15.139101</v>
      </c>
      <c r="CR92" s="3">
        <v>15.132510999999999</v>
      </c>
      <c r="CS92" s="3">
        <v>16.096836</v>
      </c>
      <c r="CT92" s="3">
        <v>15.914802</v>
      </c>
      <c r="CU92" s="3">
        <v>14.223742</v>
      </c>
      <c r="CV92" s="3">
        <v>14.145213</v>
      </c>
      <c r="CW92" s="3">
        <v>11.860305</v>
      </c>
      <c r="CX92" s="3">
        <v>13.75736</v>
      </c>
      <c r="CY92" s="3">
        <v>14.876198</v>
      </c>
      <c r="CZ92" s="3">
        <v>14.292135999999999</v>
      </c>
      <c r="DA92" s="3">
        <v>15.329338999999999</v>
      </c>
      <c r="DB92" s="3">
        <v>15.226742</v>
      </c>
      <c r="DC92" s="3">
        <v>15.736769000000001</v>
      </c>
      <c r="DD92" s="3">
        <v>14.160628000000001</v>
      </c>
      <c r="DE92" s="3">
        <v>13.011184</v>
      </c>
      <c r="DF92" s="3">
        <v>15.611687999999999</v>
      </c>
      <c r="DG92" s="3">
        <v>14.862738</v>
      </c>
      <c r="DH92" s="3">
        <v>16.177263</v>
      </c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15.157053509999995</v>
      </c>
      <c r="H94" s="3">
        <f>MAX(M94:GJ94)</f>
        <v>17.783833999999999</v>
      </c>
      <c r="I94" s="3">
        <f>MIN(M94:GJ94)</f>
        <v>11.92914</v>
      </c>
      <c r="J94" s="3">
        <f>_xlfn.STDEV.P(M94:GJ94)</f>
        <v>0.94628763868802046</v>
      </c>
      <c r="K94" s="3">
        <f>_xlfn.VAR.S(M94:GJ94)</f>
        <v>0.90450534861994913</v>
      </c>
      <c r="M94" s="3">
        <v>15.429314</v>
      </c>
      <c r="N94" s="3">
        <v>15.610536</v>
      </c>
      <c r="O94" s="3">
        <v>15.101333</v>
      </c>
      <c r="P94" s="3">
        <v>14.502708</v>
      </c>
      <c r="Q94" s="3">
        <v>15.720333999999999</v>
      </c>
      <c r="R94" s="3">
        <v>15.037076000000001</v>
      </c>
      <c r="S94" s="3">
        <v>15.044002000000001</v>
      </c>
      <c r="T94" s="3">
        <v>16.101237999999999</v>
      </c>
      <c r="U94" s="3">
        <v>15.879685</v>
      </c>
      <c r="V94" s="3">
        <v>15.579273000000001</v>
      </c>
      <c r="W94" s="3">
        <v>15.374084</v>
      </c>
      <c r="X94" s="3">
        <v>16.706220999999999</v>
      </c>
      <c r="Y94" s="3">
        <v>15.698071000000001</v>
      </c>
      <c r="Z94" s="3">
        <v>15.370431</v>
      </c>
      <c r="AA94" s="3">
        <v>16.421797000000002</v>
      </c>
      <c r="AB94" s="3">
        <v>15.510450000000001</v>
      </c>
      <c r="AC94" s="3">
        <v>15.507849999999999</v>
      </c>
      <c r="AD94" s="3">
        <v>14.929546999999999</v>
      </c>
      <c r="AE94" s="3">
        <v>13.161163</v>
      </c>
      <c r="AF94" s="3">
        <v>14.537326999999999</v>
      </c>
      <c r="AG94" s="3">
        <v>12.821802</v>
      </c>
      <c r="AH94" s="3">
        <v>16.142229</v>
      </c>
      <c r="AI94" s="3">
        <v>14.650487</v>
      </c>
      <c r="AJ94" s="3">
        <v>15.953727000000001</v>
      </c>
      <c r="AK94" s="3">
        <v>14.719390000000001</v>
      </c>
      <c r="AL94" s="3">
        <v>15.395409000000001</v>
      </c>
      <c r="AM94" s="3">
        <v>15.286333000000001</v>
      </c>
      <c r="AN94" s="3">
        <v>15.017144999999999</v>
      </c>
      <c r="AO94" s="3">
        <v>14.827946000000001</v>
      </c>
      <c r="AP94" s="3">
        <v>14.180501</v>
      </c>
      <c r="AQ94" s="3">
        <v>14.269135</v>
      </c>
      <c r="AR94" s="3">
        <v>15.916365000000001</v>
      </c>
      <c r="AS94" s="3">
        <v>14.750937</v>
      </c>
      <c r="AT94" s="3">
        <v>16.410212000000001</v>
      </c>
      <c r="AU94" s="3">
        <v>14.978695</v>
      </c>
      <c r="AV94" s="3">
        <v>15.463944</v>
      </c>
      <c r="AW94" s="3">
        <v>13.956217000000001</v>
      </c>
      <c r="AX94" s="3">
        <v>15.624966000000001</v>
      </c>
      <c r="AY94" s="3">
        <v>14.466549000000001</v>
      </c>
      <c r="AZ94" s="3">
        <v>16.936140000000002</v>
      </c>
      <c r="BA94" s="3">
        <v>15.780138000000001</v>
      </c>
      <c r="BB94" s="3">
        <v>14.259869</v>
      </c>
      <c r="BC94" s="3">
        <v>13.971124</v>
      </c>
      <c r="BD94" s="3">
        <v>13.776576</v>
      </c>
      <c r="BE94" s="3">
        <v>14.73531</v>
      </c>
      <c r="BF94" s="3">
        <v>12.816609</v>
      </c>
      <c r="BG94" s="3">
        <v>15.510102</v>
      </c>
      <c r="BH94" s="3">
        <v>15.318393</v>
      </c>
      <c r="BI94" s="3">
        <v>15.616317</v>
      </c>
      <c r="BJ94" s="3">
        <v>15.311538000000001</v>
      </c>
      <c r="BK94" s="3">
        <v>15.373661999999999</v>
      </c>
      <c r="BL94" s="3">
        <v>15.510711000000001</v>
      </c>
      <c r="BM94" s="3">
        <v>13.712166</v>
      </c>
      <c r="BN94" s="3">
        <v>14.347545999999999</v>
      </c>
      <c r="BO94" s="3">
        <v>14.378712999999999</v>
      </c>
      <c r="BP94" s="3">
        <v>14.441032999999999</v>
      </c>
      <c r="BQ94" s="3">
        <v>14.705189000000001</v>
      </c>
      <c r="BR94" s="3">
        <v>15.47096</v>
      </c>
      <c r="BS94" s="3">
        <v>15.983166000000001</v>
      </c>
      <c r="BT94" s="3">
        <v>16.715592999999998</v>
      </c>
      <c r="BU94" s="3">
        <v>16.735422</v>
      </c>
      <c r="BV94" s="3">
        <v>13.425546000000001</v>
      </c>
      <c r="BW94" s="3">
        <v>15.393703</v>
      </c>
      <c r="BX94" s="3">
        <v>15.696896000000001</v>
      </c>
      <c r="BY94" s="3">
        <v>15.209396</v>
      </c>
      <c r="BZ94" s="3">
        <v>15.387658</v>
      </c>
      <c r="CA94" s="3">
        <v>16.067920999999998</v>
      </c>
      <c r="CB94" s="3">
        <v>13.858098</v>
      </c>
      <c r="CC94" s="3">
        <v>15.085747</v>
      </c>
      <c r="CD94" s="3">
        <v>14.454219999999999</v>
      </c>
      <c r="CE94" s="3">
        <v>11.92914</v>
      </c>
      <c r="CF94" s="3">
        <v>15.542655</v>
      </c>
      <c r="CG94" s="3">
        <v>14.858328999999999</v>
      </c>
      <c r="CH94" s="3">
        <v>15.790481</v>
      </c>
      <c r="CI94" s="3">
        <v>15.460629000000001</v>
      </c>
      <c r="CJ94" s="3">
        <v>15.980801</v>
      </c>
      <c r="CK94" s="3">
        <v>15.655599</v>
      </c>
      <c r="CL94" s="3">
        <v>14.384244000000001</v>
      </c>
      <c r="CM94" s="3">
        <v>14.985699</v>
      </c>
      <c r="CN94" s="3">
        <v>16.388563000000001</v>
      </c>
      <c r="CO94" s="3">
        <v>14.771674000000001</v>
      </c>
      <c r="CP94" s="3">
        <v>15.474838999999999</v>
      </c>
      <c r="CQ94" s="3">
        <v>15.970807000000001</v>
      </c>
      <c r="CR94" s="3">
        <v>17.138802999999999</v>
      </c>
      <c r="CS94" s="3">
        <v>14.366891000000001</v>
      </c>
      <c r="CT94" s="3">
        <v>15.373321000000001</v>
      </c>
      <c r="CU94" s="3">
        <v>16.29261</v>
      </c>
      <c r="CV94" s="3">
        <v>15.021103999999999</v>
      </c>
      <c r="CW94" s="3">
        <v>14.111053</v>
      </c>
      <c r="CX94" s="3">
        <v>16.081126999999999</v>
      </c>
      <c r="CY94" s="3">
        <v>15.2957</v>
      </c>
      <c r="CZ94" s="3">
        <v>15.483829</v>
      </c>
      <c r="DA94" s="3">
        <v>17.783833999999999</v>
      </c>
      <c r="DB94" s="3">
        <v>15.216372</v>
      </c>
      <c r="DC94" s="3">
        <v>14.601523</v>
      </c>
      <c r="DD94" s="3">
        <v>13.905241</v>
      </c>
      <c r="DE94" s="3">
        <v>14.399126000000001</v>
      </c>
      <c r="DF94" s="3">
        <v>15.666297</v>
      </c>
      <c r="DG94" s="3">
        <v>14.212294999999999</v>
      </c>
      <c r="DH94" s="3">
        <v>15.522874</v>
      </c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  <row r="100" spans="13:112" x14ac:dyDescent="0.2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2026-03-05T18:59:37Z</dcterms:modified>
</cp:coreProperties>
</file>