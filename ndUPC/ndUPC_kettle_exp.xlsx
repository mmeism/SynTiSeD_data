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ndUPC/"/>
    </mc:Choice>
  </mc:AlternateContent>
  <xr:revisionPtr revIDLastSave="0" documentId="13_ncr:1_{1D2CF524-043A-D54D-9F0B-A54CB781C509}" xr6:coauthVersionLast="47" xr6:coauthVersionMax="47" xr10:uidLastSave="{00000000-0000-0000-0000-000000000000}"/>
  <bookViews>
    <workbookView xWindow="0" yWindow="5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7" i="1" l="1"/>
  <c r="J47" i="1"/>
  <c r="I47" i="1"/>
  <c r="H47" i="1"/>
  <c r="G47" i="1"/>
  <c r="F47" i="1"/>
  <c r="K45" i="1"/>
  <c r="J45" i="1"/>
  <c r="I45" i="1"/>
  <c r="H45" i="1"/>
  <c r="G45" i="1"/>
  <c r="F45" i="1"/>
  <c r="K43" i="1"/>
  <c r="J43" i="1"/>
  <c r="I43" i="1"/>
  <c r="H43" i="1"/>
  <c r="G43" i="1"/>
  <c r="F43" i="1"/>
  <c r="K41" i="1"/>
  <c r="J41" i="1"/>
  <c r="I41" i="1"/>
  <c r="H41" i="1"/>
  <c r="G41" i="1"/>
  <c r="F41" i="1"/>
  <c r="K39" i="1"/>
  <c r="J39" i="1"/>
  <c r="I39" i="1"/>
  <c r="H39" i="1"/>
  <c r="G39" i="1"/>
  <c r="F39" i="1"/>
  <c r="K35" i="1"/>
  <c r="J35" i="1"/>
  <c r="I35" i="1"/>
  <c r="H35" i="1"/>
  <c r="G35" i="1"/>
  <c r="F35" i="1"/>
  <c r="K33" i="1"/>
  <c r="J33" i="1"/>
  <c r="I33" i="1"/>
  <c r="H33" i="1"/>
  <c r="G33" i="1"/>
  <c r="F33" i="1"/>
  <c r="K31" i="1"/>
  <c r="J31" i="1"/>
  <c r="I31" i="1"/>
  <c r="H31" i="1"/>
  <c r="G31" i="1"/>
  <c r="F31" i="1"/>
  <c r="K29" i="1"/>
  <c r="J29" i="1"/>
  <c r="I29" i="1"/>
  <c r="H29" i="1"/>
  <c r="G29" i="1"/>
  <c r="F29" i="1"/>
  <c r="K27" i="1"/>
  <c r="J27" i="1"/>
  <c r="I27" i="1"/>
  <c r="H27" i="1"/>
  <c r="G27" i="1"/>
  <c r="F27" i="1"/>
  <c r="K23" i="1"/>
  <c r="J23" i="1"/>
  <c r="I23" i="1"/>
  <c r="H23" i="1"/>
  <c r="G23" i="1"/>
  <c r="F23" i="1"/>
  <c r="K21" i="1"/>
  <c r="J21" i="1"/>
  <c r="I21" i="1"/>
  <c r="H21" i="1"/>
  <c r="G21" i="1"/>
  <c r="F21" i="1"/>
  <c r="K19" i="1"/>
  <c r="J19" i="1"/>
  <c r="I19" i="1"/>
  <c r="H19" i="1"/>
  <c r="G19" i="1"/>
  <c r="F19" i="1"/>
  <c r="K17" i="1"/>
  <c r="J17" i="1"/>
  <c r="I17" i="1"/>
  <c r="H17" i="1"/>
  <c r="G17" i="1"/>
  <c r="F17" i="1"/>
  <c r="K15" i="1"/>
  <c r="J15" i="1"/>
  <c r="I15" i="1"/>
  <c r="H15" i="1"/>
  <c r="G15" i="1"/>
  <c r="F15" i="1"/>
  <c r="G7" i="1" l="1"/>
  <c r="G8" i="1"/>
  <c r="G11" i="1"/>
  <c r="G9" i="1"/>
  <c r="G10" i="1"/>
</calcChain>
</file>

<file path=xl/sharedStrings.xml><?xml version="1.0" encoding="utf-8"?>
<sst xmlns="http://schemas.openxmlformats.org/spreadsheetml/2006/main" count="78" uniqueCount="46">
  <si>
    <t>Konfig:</t>
  </si>
  <si>
    <t>device: kettle</t>
  </si>
  <si>
    <t>NILM Algorithms:</t>
  </si>
  <si>
    <t>Metric</t>
  </si>
  <si>
    <t>Mean</t>
  </si>
  <si>
    <t>Experiments</t>
  </si>
  <si>
    <t>MAE</t>
  </si>
  <si>
    <t>DAE</t>
  </si>
  <si>
    <t>RNN</t>
  </si>
  <si>
    <t>WindowGRU</t>
  </si>
  <si>
    <t>Seq2Seq</t>
  </si>
  <si>
    <t>Seq2Point</t>
  </si>
  <si>
    <t>Max</t>
  </si>
  <si>
    <t>Min</t>
  </si>
  <si>
    <t>Variance</t>
  </si>
  <si>
    <t>Standart deviation</t>
  </si>
  <si>
    <t>für alle Algorithmen stardart NILM settings</t>
  </si>
  <si>
    <t>Number of exp</t>
  </si>
  <si>
    <t>buildings': 8</t>
  </si>
  <si>
    <t>buildings': 11</t>
  </si>
  <si>
    <t>buildings': 17</t>
  </si>
  <si>
    <t>reale Testdaten(hh_08):</t>
  </si>
  <si>
    <t>reale Testdaten(hh_11):</t>
  </si>
  <si>
    <t>reale Testdaten(hh_17):</t>
  </si>
  <si>
    <t>start_time': '2020-01-03'</t>
  </si>
  <si>
    <t>end_time': '2020-01-31'</t>
  </si>
  <si>
    <t>start_time': '2019-12-12'</t>
  </si>
  <si>
    <t>end_time': '2019-12-29'</t>
  </si>
  <si>
    <t>start_time': '2020-01-07'</t>
  </si>
  <si>
    <t>start_time': '2020-01-31'</t>
  </si>
  <si>
    <t>validierung: Validation from training data (15%)</t>
  </si>
  <si>
    <t>train_synth (hh_01):</t>
  </si>
  <si>
    <t>train_synth (hh_04):</t>
  </si>
  <si>
    <t>train_synth (hh_07):</t>
  </si>
  <si>
    <t>train_synth (hh_14):</t>
  </si>
  <si>
    <t>WindowGRU_total</t>
  </si>
  <si>
    <t>Seq2Point_total</t>
  </si>
  <si>
    <t>RNN_total</t>
  </si>
  <si>
    <t>DAE_total</t>
  </si>
  <si>
    <t>Seq2Seq_total</t>
  </si>
  <si>
    <t>start_time': '2024-04-01'</t>
  </si>
  <si>
    <t>end_time': '2024-04-14'</t>
  </si>
  <si>
    <t>train: ndUPC_dataset.h5</t>
  </si>
  <si>
    <t>test_real: test_dataset.h5</t>
  </si>
  <si>
    <t>MAE_total</t>
  </si>
  <si>
    <t>test_dataset.h5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</si>
</sst>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63"/>
  <sheetViews>
    <sheetView tabSelected="1" workbookViewId="0">
      <selection activeCell="C8" sqref="C8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</v>
      </c>
    </row>
    <row r="3" spans="1:207" x14ac:dyDescent="0.2">
      <c r="A3" t="s">
        <v>42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31</v>
      </c>
      <c r="B4" s="2" t="s">
        <v>40</v>
      </c>
      <c r="C4" s="2" t="s">
        <v>41</v>
      </c>
      <c r="E4" s="2"/>
      <c r="F4" s="2"/>
      <c r="G4" s="2"/>
      <c r="H4" s="2"/>
      <c r="I4" s="2"/>
      <c r="J4" s="2"/>
      <c r="K4" s="2"/>
      <c r="L4" s="2"/>
    </row>
    <row r="5" spans="1:207" x14ac:dyDescent="0.2">
      <c r="A5" t="s">
        <v>32</v>
      </c>
      <c r="B5" s="2" t="s">
        <v>40</v>
      </c>
      <c r="C5" s="2" t="s">
        <v>41</v>
      </c>
      <c r="E5" s="2"/>
      <c r="F5" s="2"/>
      <c r="G5" s="2"/>
      <c r="H5" s="2"/>
      <c r="I5" s="2"/>
      <c r="J5" s="2"/>
      <c r="K5" s="2"/>
      <c r="L5" s="2"/>
    </row>
    <row r="6" spans="1:207" x14ac:dyDescent="0.2">
      <c r="A6" t="s">
        <v>33</v>
      </c>
      <c r="B6" s="2" t="s">
        <v>40</v>
      </c>
      <c r="C6" s="2" t="s">
        <v>41</v>
      </c>
      <c r="E6" s="2"/>
      <c r="F6" s="2"/>
      <c r="G6" s="4" t="s">
        <v>44</v>
      </c>
      <c r="H6" s="2"/>
      <c r="I6" s="2"/>
      <c r="J6" s="2"/>
      <c r="K6" s="2"/>
      <c r="L6" s="2"/>
    </row>
    <row r="7" spans="1:207" x14ac:dyDescent="0.2">
      <c r="A7" t="s">
        <v>34</v>
      </c>
      <c r="B7" s="2" t="s">
        <v>40</v>
      </c>
      <c r="C7" s="2" t="s">
        <v>41</v>
      </c>
      <c r="E7" s="2"/>
      <c r="F7" t="s">
        <v>37</v>
      </c>
      <c r="G7" s="3">
        <f>SUM(G15,G27,G39)/3</f>
        <v>138.84382075666664</v>
      </c>
    </row>
    <row r="8" spans="1:207" x14ac:dyDescent="0.2">
      <c r="A8" t="s">
        <v>43</v>
      </c>
      <c r="E8" s="2"/>
      <c r="F8" t="s">
        <v>35</v>
      </c>
      <c r="G8" s="3">
        <f>SUM(G17,G29,G41)/3</f>
        <v>44.377896716666669</v>
      </c>
    </row>
    <row r="9" spans="1:207" x14ac:dyDescent="0.2">
      <c r="A9" t="s">
        <v>30</v>
      </c>
      <c r="B9" s="2"/>
      <c r="C9" s="2"/>
      <c r="F9" t="s">
        <v>38</v>
      </c>
      <c r="G9" s="3">
        <f>SUM(G19,G31,G43)/3</f>
        <v>97.716903983333339</v>
      </c>
    </row>
    <row r="10" spans="1:207" x14ac:dyDescent="0.2">
      <c r="A10" t="s">
        <v>16</v>
      </c>
      <c r="F10" t="s">
        <v>39</v>
      </c>
      <c r="G10" s="3">
        <f>SUM(G21,G33,G45)/3</f>
        <v>151.79485407333331</v>
      </c>
    </row>
    <row r="11" spans="1:207" x14ac:dyDescent="0.2">
      <c r="F11" t="s">
        <v>36</v>
      </c>
      <c r="G11" s="3">
        <f>SUM(G23,G35,G47)/3</f>
        <v>153.82830725000005</v>
      </c>
    </row>
    <row r="13" spans="1:207" x14ac:dyDescent="0.2">
      <c r="B13" t="s">
        <v>45</v>
      </c>
      <c r="D13" s="1" t="s">
        <v>21</v>
      </c>
    </row>
    <row r="14" spans="1:207" x14ac:dyDescent="0.2">
      <c r="B14" s="2" t="s">
        <v>18</v>
      </c>
      <c r="D14" s="1" t="s">
        <v>2</v>
      </c>
      <c r="E14" s="1" t="s">
        <v>3</v>
      </c>
      <c r="F14" s="1" t="s">
        <v>17</v>
      </c>
      <c r="G14" s="1" t="s">
        <v>4</v>
      </c>
      <c r="H14" s="1" t="s">
        <v>12</v>
      </c>
      <c r="I14" s="1" t="s">
        <v>13</v>
      </c>
      <c r="J14" s="1" t="s">
        <v>15</v>
      </c>
      <c r="K14" s="1" t="s">
        <v>14</v>
      </c>
      <c r="L14" s="1"/>
      <c r="M14" s="1" t="s">
        <v>5</v>
      </c>
    </row>
    <row r="15" spans="1:207" x14ac:dyDescent="0.2">
      <c r="B15" s="2" t="s">
        <v>24</v>
      </c>
      <c r="D15" t="s">
        <v>8</v>
      </c>
      <c r="E15" t="s">
        <v>6</v>
      </c>
      <c r="F15">
        <f>COUNT(M15:GJ15)</f>
        <v>100</v>
      </c>
      <c r="G15" s="3">
        <f>AVERAGE(M15:GJ15)</f>
        <v>265.51218289999997</v>
      </c>
      <c r="H15" s="3">
        <f>MAX(M15:GJ15)</f>
        <v>296.45953400000002</v>
      </c>
      <c r="I15" s="3">
        <f>MIN(M15:GJ15)</f>
        <v>234.17550700000001</v>
      </c>
      <c r="J15" s="3">
        <f>_xlfn.STDEV.P(M15:GJ15)</f>
        <v>12.572449186934845</v>
      </c>
      <c r="K15" s="3">
        <f>_xlfn.VAR.S(M15:GJ15)</f>
        <v>159.66310965460471</v>
      </c>
      <c r="M15" s="3">
        <v>275.50589000000002</v>
      </c>
      <c r="N15" s="3">
        <v>250.136932</v>
      </c>
      <c r="O15" s="3">
        <v>262.403503</v>
      </c>
      <c r="P15" s="3">
        <v>265.30514499999998</v>
      </c>
      <c r="Q15" s="3">
        <v>259.51739500000002</v>
      </c>
      <c r="R15" s="3">
        <v>262.37289399999997</v>
      </c>
      <c r="S15" s="3">
        <v>247.11601300000001</v>
      </c>
      <c r="T15" s="3">
        <v>263.91854899999998</v>
      </c>
      <c r="U15" s="3">
        <v>260.73803700000002</v>
      </c>
      <c r="V15" s="3">
        <v>267.44931000000003</v>
      </c>
      <c r="W15" s="3">
        <v>281.57043499999997</v>
      </c>
      <c r="X15" s="3">
        <v>255.10072299999999</v>
      </c>
      <c r="Y15" s="3">
        <v>277.75491299999999</v>
      </c>
      <c r="Z15" s="3">
        <v>256.77502399999997</v>
      </c>
      <c r="AA15" s="3">
        <v>240.64797999999999</v>
      </c>
      <c r="AB15" s="3">
        <v>269.44018599999998</v>
      </c>
      <c r="AC15" s="3">
        <v>275.82431000000003</v>
      </c>
      <c r="AD15" s="3">
        <v>278.09173600000003</v>
      </c>
      <c r="AE15" s="3">
        <v>264.69421399999999</v>
      </c>
      <c r="AF15" s="3">
        <v>257.01678500000003</v>
      </c>
      <c r="AG15" s="3">
        <v>296.45953400000002</v>
      </c>
      <c r="AH15" s="3">
        <v>257.188965</v>
      </c>
      <c r="AI15" s="3">
        <v>240.69908100000001</v>
      </c>
      <c r="AJ15" s="3">
        <v>282.13665800000001</v>
      </c>
      <c r="AK15" s="3">
        <v>250.37652600000001</v>
      </c>
      <c r="AL15" s="3">
        <v>248.598984</v>
      </c>
      <c r="AM15" s="3">
        <v>255.84498600000001</v>
      </c>
      <c r="AN15" s="3">
        <v>251.66461200000001</v>
      </c>
      <c r="AO15" s="3">
        <v>265.00604199999998</v>
      </c>
      <c r="AP15" s="3">
        <v>264.74121100000002</v>
      </c>
      <c r="AQ15" s="3">
        <v>275.51544200000001</v>
      </c>
      <c r="AR15" s="3">
        <v>264.43124399999999</v>
      </c>
      <c r="AS15" s="3">
        <v>261.97723400000001</v>
      </c>
      <c r="AT15" s="3">
        <v>264.550568</v>
      </c>
      <c r="AU15" s="3">
        <v>260.95101899999997</v>
      </c>
      <c r="AV15" s="3">
        <v>274.03613300000001</v>
      </c>
      <c r="AW15" s="3">
        <v>267.55191000000002</v>
      </c>
      <c r="AX15" s="3">
        <v>234.17550700000001</v>
      </c>
      <c r="AY15" s="3">
        <v>255.957077</v>
      </c>
      <c r="AZ15" s="3">
        <v>249.48526000000001</v>
      </c>
      <c r="BA15" s="3">
        <v>257.141052</v>
      </c>
      <c r="BB15" s="3">
        <v>274.43832400000002</v>
      </c>
      <c r="BC15" s="3">
        <v>269.66357399999998</v>
      </c>
      <c r="BD15" s="3">
        <v>260.80325299999998</v>
      </c>
      <c r="BE15" s="3">
        <v>259.68188500000002</v>
      </c>
      <c r="BF15" s="3">
        <v>277.19500699999998</v>
      </c>
      <c r="BG15" s="3">
        <v>262.599335</v>
      </c>
      <c r="BH15" s="3">
        <v>262.98397799999998</v>
      </c>
      <c r="BI15" s="3">
        <v>282.51403800000003</v>
      </c>
      <c r="BJ15" s="3">
        <v>251.52739</v>
      </c>
      <c r="BK15" s="3">
        <v>275.50589000000002</v>
      </c>
      <c r="BL15" s="3">
        <v>250.136932</v>
      </c>
      <c r="BM15" s="3">
        <v>262.403503</v>
      </c>
      <c r="BN15" s="3">
        <v>265.30514499999998</v>
      </c>
      <c r="BO15" s="3">
        <v>259.51739500000002</v>
      </c>
      <c r="BP15" s="3">
        <v>262.37289399999997</v>
      </c>
      <c r="BQ15" s="3">
        <v>247.11601300000001</v>
      </c>
      <c r="BR15" s="3">
        <v>263.91854899999998</v>
      </c>
      <c r="BS15" s="3">
        <v>260.73803700000002</v>
      </c>
      <c r="BT15" s="3">
        <v>267.44931000000003</v>
      </c>
      <c r="BU15" s="3">
        <v>281.57043499999997</v>
      </c>
      <c r="BV15" s="3">
        <v>255.10072299999999</v>
      </c>
      <c r="BW15" s="3">
        <v>277.75491299999999</v>
      </c>
      <c r="BX15" s="3">
        <v>256.77502399999997</v>
      </c>
      <c r="BY15" s="3">
        <v>240.64797999999999</v>
      </c>
      <c r="BZ15" s="3">
        <v>269.44018599999998</v>
      </c>
      <c r="CA15" s="3">
        <v>275.82431000000003</v>
      </c>
      <c r="CB15" s="3">
        <v>278.09173600000003</v>
      </c>
      <c r="CC15" s="3">
        <v>264.69421399999999</v>
      </c>
      <c r="CD15" s="3">
        <v>257.01678500000003</v>
      </c>
      <c r="CE15" s="3">
        <v>296.45953400000002</v>
      </c>
      <c r="CF15" s="3">
        <v>257.188965</v>
      </c>
      <c r="CG15" s="3">
        <v>240.69908100000001</v>
      </c>
      <c r="CH15" s="3">
        <v>282.13665800000001</v>
      </c>
      <c r="CI15" s="3">
        <v>250.37652600000001</v>
      </c>
      <c r="CJ15" s="3">
        <v>267.03732300000001</v>
      </c>
      <c r="CK15" s="3">
        <v>255.06109599999999</v>
      </c>
      <c r="CL15" s="3">
        <v>270.44528200000002</v>
      </c>
      <c r="CM15" s="3">
        <v>271.25808699999999</v>
      </c>
      <c r="CN15" s="3">
        <v>261.16867100000002</v>
      </c>
      <c r="CO15" s="3">
        <v>257.25585899999999</v>
      </c>
      <c r="CP15" s="3">
        <v>276.95452899999998</v>
      </c>
      <c r="CQ15" s="3">
        <v>267.37469499999997</v>
      </c>
      <c r="CR15" s="3">
        <v>266.30441300000001</v>
      </c>
      <c r="CS15" s="3">
        <v>283.68457000000001</v>
      </c>
      <c r="CT15" s="3">
        <v>293.11209100000002</v>
      </c>
      <c r="CU15" s="3">
        <v>279.26028400000001</v>
      </c>
      <c r="CV15" s="3">
        <v>289.81552099999999</v>
      </c>
      <c r="CW15" s="3">
        <v>263.49795499999999</v>
      </c>
      <c r="CX15" s="3">
        <v>261.86627199999998</v>
      </c>
      <c r="CY15" s="3">
        <v>278.01525900000001</v>
      </c>
      <c r="CZ15" s="3">
        <v>263.49041699999998</v>
      </c>
      <c r="DA15" s="3">
        <v>270.47177099999999</v>
      </c>
      <c r="DB15" s="3">
        <v>273.54733299999998</v>
      </c>
      <c r="DC15" s="3">
        <v>270.56051600000001</v>
      </c>
      <c r="DD15" s="3">
        <v>270.05969199999998</v>
      </c>
      <c r="DE15" s="3">
        <v>263.26535000000001</v>
      </c>
      <c r="DF15" s="3">
        <v>291.55859400000003</v>
      </c>
      <c r="DG15" s="3">
        <v>290.64233400000001</v>
      </c>
      <c r="DH15" s="3">
        <v>265.99383499999999</v>
      </c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B16" s="2" t="s">
        <v>29</v>
      </c>
      <c r="G16" s="3"/>
      <c r="H16" s="3"/>
      <c r="I16" s="3"/>
      <c r="J16" s="3"/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D17" t="s">
        <v>9</v>
      </c>
      <c r="E17" t="s">
        <v>6</v>
      </c>
      <c r="F17">
        <f>COUNT(M17:GJ17)</f>
        <v>100</v>
      </c>
      <c r="G17" s="3">
        <f>AVERAGE(M17:GJ17)</f>
        <v>79.385923140000003</v>
      </c>
      <c r="H17" s="3">
        <f>MAX(M17:GJ17)</f>
        <v>153.57270800000001</v>
      </c>
      <c r="I17" s="3">
        <f>MIN(M17:GJ17)</f>
        <v>48.780762000000003</v>
      </c>
      <c r="J17" s="3">
        <f>_xlfn.STDEV.P(M17:GJ17)</f>
        <v>20.960273730504795</v>
      </c>
      <c r="K17" s="3">
        <f>_xlfn.VAR.S(M17:GJ17)</f>
        <v>443.77078268453573</v>
      </c>
      <c r="M17" s="3">
        <v>48.780762000000003</v>
      </c>
      <c r="N17" s="3">
        <v>63.385978999999999</v>
      </c>
      <c r="O17" s="3">
        <v>63.523617000000002</v>
      </c>
      <c r="P17" s="3">
        <v>61.073543999999998</v>
      </c>
      <c r="Q17" s="3">
        <v>67.565628000000004</v>
      </c>
      <c r="R17" s="3">
        <v>91.180199000000002</v>
      </c>
      <c r="S17" s="3">
        <v>111.762474</v>
      </c>
      <c r="T17" s="3">
        <v>107.928032</v>
      </c>
      <c r="U17" s="3">
        <v>90.633140999999995</v>
      </c>
      <c r="V17" s="3">
        <v>88.021766999999997</v>
      </c>
      <c r="W17" s="3">
        <v>52.620688999999999</v>
      </c>
      <c r="X17" s="3">
        <v>49.539000999999999</v>
      </c>
      <c r="Y17" s="3">
        <v>113.71478999999999</v>
      </c>
      <c r="Z17" s="3">
        <v>115.993256</v>
      </c>
      <c r="AA17" s="3">
        <v>70.399360999999999</v>
      </c>
      <c r="AB17" s="3">
        <v>73.045936999999995</v>
      </c>
      <c r="AC17" s="3">
        <v>81.630134999999996</v>
      </c>
      <c r="AD17" s="3">
        <v>78.463927999999996</v>
      </c>
      <c r="AE17" s="3">
        <v>69.257164000000003</v>
      </c>
      <c r="AF17" s="3">
        <v>74.431319999999999</v>
      </c>
      <c r="AG17" s="3">
        <v>80.358086</v>
      </c>
      <c r="AH17" s="3">
        <v>60.268196000000003</v>
      </c>
      <c r="AI17" s="3">
        <v>68.906272999999999</v>
      </c>
      <c r="AJ17" s="3">
        <v>77.110191</v>
      </c>
      <c r="AK17" s="3">
        <v>109.729919</v>
      </c>
      <c r="AL17" s="3">
        <v>93.419785000000005</v>
      </c>
      <c r="AM17" s="3">
        <v>96.923682999999997</v>
      </c>
      <c r="AN17" s="3">
        <v>57.279277999999998</v>
      </c>
      <c r="AO17" s="3">
        <v>61.678401999999998</v>
      </c>
      <c r="AP17" s="3">
        <v>72.020638000000005</v>
      </c>
      <c r="AQ17" s="3">
        <v>58.992229000000002</v>
      </c>
      <c r="AR17" s="3">
        <v>99.029739000000006</v>
      </c>
      <c r="AS17" s="3">
        <v>86.017798999999997</v>
      </c>
      <c r="AT17" s="3">
        <v>76.795829999999995</v>
      </c>
      <c r="AU17" s="3">
        <v>88.609009</v>
      </c>
      <c r="AV17" s="3">
        <v>55.271071999999997</v>
      </c>
      <c r="AW17" s="3">
        <v>49.493533999999997</v>
      </c>
      <c r="AX17" s="3">
        <v>118.32719400000001</v>
      </c>
      <c r="AY17" s="3">
        <v>79.591362000000004</v>
      </c>
      <c r="AZ17" s="3">
        <v>78.036652000000004</v>
      </c>
      <c r="BA17" s="3">
        <v>77.396591000000001</v>
      </c>
      <c r="BB17" s="3">
        <v>77.824325999999999</v>
      </c>
      <c r="BC17" s="3">
        <v>74.864966999999993</v>
      </c>
      <c r="BD17" s="3">
        <v>57.622180999999998</v>
      </c>
      <c r="BE17" s="3">
        <v>73.409408999999997</v>
      </c>
      <c r="BF17" s="3">
        <v>153.57270800000001</v>
      </c>
      <c r="BG17" s="3">
        <v>89.373405000000005</v>
      </c>
      <c r="BH17" s="3">
        <v>68.365478999999993</v>
      </c>
      <c r="BI17" s="3">
        <v>104.993927</v>
      </c>
      <c r="BJ17" s="3">
        <v>67.350707999999997</v>
      </c>
      <c r="BK17" s="3">
        <v>81.936546000000007</v>
      </c>
      <c r="BL17" s="3">
        <v>87.887237999999996</v>
      </c>
      <c r="BM17" s="3">
        <v>59.134082999999997</v>
      </c>
      <c r="BN17" s="3">
        <v>60.643504999999998</v>
      </c>
      <c r="BO17" s="3">
        <v>124.892639</v>
      </c>
      <c r="BP17" s="3">
        <v>61.221148999999997</v>
      </c>
      <c r="BQ17" s="3">
        <v>70.019806000000003</v>
      </c>
      <c r="BR17" s="3">
        <v>80.731658999999993</v>
      </c>
      <c r="BS17" s="3">
        <v>79.997726</v>
      </c>
      <c r="BT17" s="3">
        <v>66.604202000000001</v>
      </c>
      <c r="BU17" s="3">
        <v>63.585853999999998</v>
      </c>
      <c r="BV17" s="3">
        <v>75.039597000000001</v>
      </c>
      <c r="BW17" s="3">
        <v>101.43759900000001</v>
      </c>
      <c r="BX17" s="3">
        <v>81.098267000000007</v>
      </c>
      <c r="BY17" s="3">
        <v>116.343086</v>
      </c>
      <c r="BZ17" s="3">
        <v>49.926631999999998</v>
      </c>
      <c r="CA17" s="3">
        <v>83.448302999999996</v>
      </c>
      <c r="CB17" s="3">
        <v>74.406493999999995</v>
      </c>
      <c r="CC17" s="3">
        <v>57.110157000000001</v>
      </c>
      <c r="CD17" s="3">
        <v>63.788189000000003</v>
      </c>
      <c r="CE17" s="3">
        <v>131.17041</v>
      </c>
      <c r="CF17" s="3">
        <v>71.389221000000006</v>
      </c>
      <c r="CG17" s="3">
        <v>62.760643000000002</v>
      </c>
      <c r="CH17" s="3">
        <v>114.151802</v>
      </c>
      <c r="CI17" s="3">
        <v>70.053894</v>
      </c>
      <c r="CJ17" s="3">
        <v>57.032142999999998</v>
      </c>
      <c r="CK17" s="3">
        <v>54.103642000000001</v>
      </c>
      <c r="CL17" s="3">
        <v>55.206104000000003</v>
      </c>
      <c r="CM17" s="3">
        <v>67.863022000000001</v>
      </c>
      <c r="CN17" s="3">
        <v>88.105682000000002</v>
      </c>
      <c r="CO17" s="3">
        <v>85.360123000000002</v>
      </c>
      <c r="CP17" s="3">
        <v>68.398467999999994</v>
      </c>
      <c r="CQ17" s="3">
        <v>78.543876999999995</v>
      </c>
      <c r="CR17" s="3">
        <v>86.543792999999994</v>
      </c>
      <c r="CS17" s="3">
        <v>131.804428</v>
      </c>
      <c r="CT17" s="3">
        <v>60.955672999999997</v>
      </c>
      <c r="CU17" s="3">
        <v>64.163780000000003</v>
      </c>
      <c r="CV17" s="3">
        <v>95.755470000000003</v>
      </c>
      <c r="CW17" s="3">
        <v>74.215935000000002</v>
      </c>
      <c r="CX17" s="3">
        <v>71.250275000000002</v>
      </c>
      <c r="CY17" s="3">
        <v>85.988724000000005</v>
      </c>
      <c r="CZ17" s="3">
        <v>71.043448999999995</v>
      </c>
      <c r="DA17" s="3">
        <v>80.576087999999999</v>
      </c>
      <c r="DB17" s="3">
        <v>81.817070000000001</v>
      </c>
      <c r="DC17" s="3">
        <v>79.387062</v>
      </c>
      <c r="DD17" s="3">
        <v>134.708527</v>
      </c>
      <c r="DE17" s="3">
        <v>60.041629999999998</v>
      </c>
      <c r="DF17" s="3">
        <v>97.528198000000003</v>
      </c>
      <c r="DG17" s="3">
        <v>73.043189999999996</v>
      </c>
      <c r="DH17" s="3">
        <v>60.793964000000003</v>
      </c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D19" t="s">
        <v>7</v>
      </c>
      <c r="E19" t="s">
        <v>6</v>
      </c>
      <c r="F19">
        <f>COUNT(M19:GJ19)</f>
        <v>100</v>
      </c>
      <c r="G19" s="3">
        <f>AVERAGE(M19:GJ19)</f>
        <v>189.74848632999999</v>
      </c>
      <c r="H19" s="3">
        <f>MAX(M19:GJ19)</f>
        <v>229.377365</v>
      </c>
      <c r="I19" s="3">
        <f>MIN(M19:GJ19)</f>
        <v>127.253967</v>
      </c>
      <c r="J19" s="3">
        <f>_xlfn.STDEV.P(M19:GJ19)</f>
        <v>18.754533296722986</v>
      </c>
      <c r="K19" s="3">
        <f>_xlfn.VAR.S(M19:GJ19)</f>
        <v>355.28537290696079</v>
      </c>
      <c r="M19" s="3">
        <v>182.389465</v>
      </c>
      <c r="N19" s="3">
        <v>191.94512900000001</v>
      </c>
      <c r="O19" s="3">
        <v>185.715576</v>
      </c>
      <c r="P19" s="3">
        <v>203.324783</v>
      </c>
      <c r="Q19" s="3">
        <v>229.377365</v>
      </c>
      <c r="R19" s="3">
        <v>211.56033300000001</v>
      </c>
      <c r="S19" s="3">
        <v>150.833832</v>
      </c>
      <c r="T19" s="3">
        <v>176.042877</v>
      </c>
      <c r="U19" s="3">
        <v>127.253967</v>
      </c>
      <c r="V19" s="3">
        <v>164.35055500000001</v>
      </c>
      <c r="W19" s="3">
        <v>152.60484299999999</v>
      </c>
      <c r="X19" s="3">
        <v>172.61708100000001</v>
      </c>
      <c r="Y19" s="3">
        <v>175.01229900000001</v>
      </c>
      <c r="Z19" s="3">
        <v>213.36158800000001</v>
      </c>
      <c r="AA19" s="3">
        <v>221.82240300000001</v>
      </c>
      <c r="AB19" s="3">
        <v>159.94975299999999</v>
      </c>
      <c r="AC19" s="3">
        <v>201.62013200000001</v>
      </c>
      <c r="AD19" s="3">
        <v>144.52499399999999</v>
      </c>
      <c r="AE19" s="3">
        <v>137.64459199999999</v>
      </c>
      <c r="AF19" s="3">
        <v>209.073792</v>
      </c>
      <c r="AG19" s="3">
        <v>195.04745500000001</v>
      </c>
      <c r="AH19" s="3">
        <v>177.23945599999999</v>
      </c>
      <c r="AI19" s="3">
        <v>194.68154899999999</v>
      </c>
      <c r="AJ19" s="3">
        <v>169.558685</v>
      </c>
      <c r="AK19" s="3">
        <v>147.00071700000001</v>
      </c>
      <c r="AL19" s="3">
        <v>186.23585499999999</v>
      </c>
      <c r="AM19" s="3">
        <v>203.34556599999999</v>
      </c>
      <c r="AN19" s="3">
        <v>184.81561300000001</v>
      </c>
      <c r="AO19" s="3">
        <v>207.13012699999999</v>
      </c>
      <c r="AP19" s="3">
        <v>197.606674</v>
      </c>
      <c r="AQ19" s="3">
        <v>181.416245</v>
      </c>
      <c r="AR19" s="3">
        <v>182.53321800000001</v>
      </c>
      <c r="AS19" s="3">
        <v>200.45417800000001</v>
      </c>
      <c r="AT19" s="3">
        <v>209.08801299999999</v>
      </c>
      <c r="AU19" s="3">
        <v>211.00135800000001</v>
      </c>
      <c r="AV19" s="3">
        <v>198.56823700000001</v>
      </c>
      <c r="AW19" s="3">
        <v>188.55282600000001</v>
      </c>
      <c r="AX19" s="3">
        <v>156.88996900000001</v>
      </c>
      <c r="AY19" s="3">
        <v>205.82170099999999</v>
      </c>
      <c r="AZ19" s="3">
        <v>198.13063</v>
      </c>
      <c r="BA19" s="3">
        <v>170.254166</v>
      </c>
      <c r="BB19" s="3">
        <v>193.43727100000001</v>
      </c>
      <c r="BC19" s="3">
        <v>170.26689099999999</v>
      </c>
      <c r="BD19" s="3">
        <v>186.33158900000001</v>
      </c>
      <c r="BE19" s="3">
        <v>180.062241</v>
      </c>
      <c r="BF19" s="3">
        <v>209.71353099999999</v>
      </c>
      <c r="BG19" s="3">
        <v>208.29367099999999</v>
      </c>
      <c r="BH19" s="3">
        <v>160.580566</v>
      </c>
      <c r="BI19" s="3">
        <v>223.74250799999999</v>
      </c>
      <c r="BJ19" s="3">
        <v>196.08010899999999</v>
      </c>
      <c r="BK19" s="3">
        <v>196.18895000000001</v>
      </c>
      <c r="BL19" s="3">
        <v>172.69203200000001</v>
      </c>
      <c r="BM19" s="3">
        <v>195.505875</v>
      </c>
      <c r="BN19" s="3">
        <v>172.44433599999999</v>
      </c>
      <c r="BO19" s="3">
        <v>196.72030599999999</v>
      </c>
      <c r="BP19" s="3">
        <v>185.21658300000001</v>
      </c>
      <c r="BQ19" s="3">
        <v>211.35022000000001</v>
      </c>
      <c r="BR19" s="3">
        <v>195.470947</v>
      </c>
      <c r="BS19" s="3">
        <v>207.184189</v>
      </c>
      <c r="BT19" s="3">
        <v>193.21258499999999</v>
      </c>
      <c r="BU19" s="3">
        <v>204.94220000000001</v>
      </c>
      <c r="BV19" s="3">
        <v>176.43634</v>
      </c>
      <c r="BW19" s="3">
        <v>183.084824</v>
      </c>
      <c r="BX19" s="3">
        <v>184.31720000000001</v>
      </c>
      <c r="BY19" s="3">
        <v>163.50891100000001</v>
      </c>
      <c r="BZ19" s="3">
        <v>186.00508099999999</v>
      </c>
      <c r="CA19" s="3">
        <v>198.20236199999999</v>
      </c>
      <c r="CB19" s="3">
        <v>206.31626900000001</v>
      </c>
      <c r="CC19" s="3">
        <v>209.476868</v>
      </c>
      <c r="CD19" s="3">
        <v>177.17472799999999</v>
      </c>
      <c r="CE19" s="3">
        <v>194.83998099999999</v>
      </c>
      <c r="CF19" s="3">
        <v>197.42085299999999</v>
      </c>
      <c r="CG19" s="3">
        <v>201.297134</v>
      </c>
      <c r="CH19" s="3">
        <v>194.55909700000001</v>
      </c>
      <c r="CI19" s="3">
        <v>219.817352</v>
      </c>
      <c r="CJ19" s="3">
        <v>204.32238799999999</v>
      </c>
      <c r="CK19" s="3">
        <v>185.41213999999999</v>
      </c>
      <c r="CL19" s="3">
        <v>184.81097399999999</v>
      </c>
      <c r="CM19" s="3">
        <v>204.29698200000001</v>
      </c>
      <c r="CN19" s="3">
        <v>188.58612099999999</v>
      </c>
      <c r="CO19" s="3">
        <v>190.61807300000001</v>
      </c>
      <c r="CP19" s="3">
        <v>204.871689</v>
      </c>
      <c r="CQ19" s="3">
        <v>180.65696700000001</v>
      </c>
      <c r="CR19" s="3">
        <v>195.286835</v>
      </c>
      <c r="CS19" s="3">
        <v>204.38110399999999</v>
      </c>
      <c r="CT19" s="3">
        <v>202.42172199999999</v>
      </c>
      <c r="CU19" s="3">
        <v>196.896332</v>
      </c>
      <c r="CV19" s="3">
        <v>205.49597199999999</v>
      </c>
      <c r="CW19" s="3">
        <v>187.51771500000001</v>
      </c>
      <c r="CX19" s="3">
        <v>186.27273600000001</v>
      </c>
      <c r="CY19" s="3">
        <v>172.33174099999999</v>
      </c>
      <c r="CZ19" s="3">
        <v>201.61874399999999</v>
      </c>
      <c r="DA19" s="3">
        <v>197.10815400000001</v>
      </c>
      <c r="DB19" s="3">
        <v>203.368439</v>
      </c>
      <c r="DC19" s="3">
        <v>178.325928</v>
      </c>
      <c r="DD19" s="3">
        <v>199.565765</v>
      </c>
      <c r="DE19" s="3">
        <v>182.77491800000001</v>
      </c>
      <c r="DF19" s="3">
        <v>185.21249399999999</v>
      </c>
      <c r="DG19" s="3">
        <v>211.26689099999999</v>
      </c>
      <c r="DH19" s="3">
        <v>193.13661200000001</v>
      </c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G20" s="3"/>
      <c r="H20" s="3"/>
      <c r="I20" s="3"/>
      <c r="J20" s="3"/>
      <c r="K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D21" t="s">
        <v>10</v>
      </c>
      <c r="E21" t="s">
        <v>6</v>
      </c>
      <c r="F21">
        <f>COUNT(M21:GJ21)</f>
        <v>100</v>
      </c>
      <c r="G21" s="3">
        <f>AVERAGE(M21:GJ21)</f>
        <v>311.14488753999996</v>
      </c>
      <c r="H21" s="3">
        <f>MAX(M21:GJ21)</f>
        <v>441.44348100000002</v>
      </c>
      <c r="I21" s="3">
        <f>MIN(M21:GJ21)</f>
        <v>236.969269</v>
      </c>
      <c r="J21" s="3">
        <f>_xlfn.STDEV.P(M21:GJ21)</f>
        <v>42.495292488081787</v>
      </c>
      <c r="K21" s="3">
        <f>_xlfn.VAR.S(M21:GJ21)</f>
        <v>1824.0907915632495</v>
      </c>
      <c r="M21" s="3">
        <v>316.66342200000003</v>
      </c>
      <c r="N21" s="3">
        <v>280.39318800000001</v>
      </c>
      <c r="O21" s="3">
        <v>304.23483299999998</v>
      </c>
      <c r="P21" s="3">
        <v>328.49456800000002</v>
      </c>
      <c r="Q21" s="3">
        <v>262.05929600000002</v>
      </c>
      <c r="R21" s="3">
        <v>236.969269</v>
      </c>
      <c r="S21" s="3">
        <v>297.35406499999999</v>
      </c>
      <c r="T21" s="3">
        <v>324.44723499999998</v>
      </c>
      <c r="U21" s="3">
        <v>356.16503899999998</v>
      </c>
      <c r="V21" s="3">
        <v>376.62890599999997</v>
      </c>
      <c r="W21" s="3">
        <v>309.895691</v>
      </c>
      <c r="X21" s="3">
        <v>284.00717200000003</v>
      </c>
      <c r="Y21" s="3">
        <v>286.91409299999998</v>
      </c>
      <c r="Z21" s="3">
        <v>271.55011000000002</v>
      </c>
      <c r="AA21" s="3">
        <v>275.57000699999998</v>
      </c>
      <c r="AB21" s="3">
        <v>356.39926100000002</v>
      </c>
      <c r="AC21" s="3">
        <v>284.108002</v>
      </c>
      <c r="AD21" s="3">
        <v>349.76043700000002</v>
      </c>
      <c r="AE21" s="3">
        <v>286.36724900000002</v>
      </c>
      <c r="AF21" s="3">
        <v>259.44601399999999</v>
      </c>
      <c r="AG21" s="3">
        <v>344.64462300000002</v>
      </c>
      <c r="AH21" s="3">
        <v>295.64025900000001</v>
      </c>
      <c r="AI21" s="3">
        <v>279.19506799999999</v>
      </c>
      <c r="AJ21" s="3">
        <v>390.65597500000001</v>
      </c>
      <c r="AK21" s="3">
        <v>296.95196499999997</v>
      </c>
      <c r="AL21" s="3">
        <v>315.09973100000002</v>
      </c>
      <c r="AM21" s="3">
        <v>303.36431900000002</v>
      </c>
      <c r="AN21" s="3">
        <v>318.77780200000001</v>
      </c>
      <c r="AO21" s="3">
        <v>330.87780800000002</v>
      </c>
      <c r="AP21" s="3">
        <v>284.17880200000002</v>
      </c>
      <c r="AQ21" s="3">
        <v>248.37237500000001</v>
      </c>
      <c r="AR21" s="3">
        <v>249.406372</v>
      </c>
      <c r="AS21" s="3">
        <v>313.11135899999999</v>
      </c>
      <c r="AT21" s="3">
        <v>397.49377399999997</v>
      </c>
      <c r="AU21" s="3">
        <v>325.172394</v>
      </c>
      <c r="AV21" s="3">
        <v>278.72048999999998</v>
      </c>
      <c r="AW21" s="3">
        <v>320.442047</v>
      </c>
      <c r="AX21" s="3">
        <v>289.80081200000001</v>
      </c>
      <c r="AY21" s="3">
        <v>243.20413199999999</v>
      </c>
      <c r="AZ21" s="3">
        <v>350.07195999999999</v>
      </c>
      <c r="BA21" s="3">
        <v>394.49896200000001</v>
      </c>
      <c r="BB21" s="3">
        <v>264.55059799999998</v>
      </c>
      <c r="BC21" s="3">
        <v>336.488068</v>
      </c>
      <c r="BD21" s="3">
        <v>316.77032500000001</v>
      </c>
      <c r="BE21" s="3">
        <v>387.69259599999998</v>
      </c>
      <c r="BF21" s="3">
        <v>328.33221400000002</v>
      </c>
      <c r="BG21" s="3">
        <v>291.60183699999999</v>
      </c>
      <c r="BH21" s="3">
        <v>260.64486699999998</v>
      </c>
      <c r="BI21" s="3">
        <v>441.44348100000002</v>
      </c>
      <c r="BJ21" s="3">
        <v>292.91192599999999</v>
      </c>
      <c r="BK21" s="3">
        <v>340.71572900000001</v>
      </c>
      <c r="BL21" s="3">
        <v>262.73477200000002</v>
      </c>
      <c r="BM21" s="3">
        <v>293.90182499999997</v>
      </c>
      <c r="BN21" s="3">
        <v>288.680542</v>
      </c>
      <c r="BO21" s="3">
        <v>273.718231</v>
      </c>
      <c r="BP21" s="3">
        <v>261.87380999999999</v>
      </c>
      <c r="BQ21" s="3">
        <v>270.28066999999999</v>
      </c>
      <c r="BR21" s="3">
        <v>274.16137700000002</v>
      </c>
      <c r="BS21" s="3">
        <v>410.018372</v>
      </c>
      <c r="BT21" s="3">
        <v>324.50140399999998</v>
      </c>
      <c r="BU21" s="3">
        <v>352.55496199999999</v>
      </c>
      <c r="BV21" s="3">
        <v>323.58889799999997</v>
      </c>
      <c r="BW21" s="3">
        <v>283.01394699999997</v>
      </c>
      <c r="BX21" s="3">
        <v>263.40670799999998</v>
      </c>
      <c r="BY21" s="3">
        <v>350.26629600000001</v>
      </c>
      <c r="BZ21" s="3">
        <v>320.70040899999998</v>
      </c>
      <c r="CA21" s="3">
        <v>269.06985500000002</v>
      </c>
      <c r="CB21" s="3">
        <v>344.61712599999998</v>
      </c>
      <c r="CC21" s="3">
        <v>346.74667399999998</v>
      </c>
      <c r="CD21" s="3">
        <v>332.79855300000003</v>
      </c>
      <c r="CE21" s="3">
        <v>351.05017099999998</v>
      </c>
      <c r="CF21" s="3">
        <v>272.45169099999998</v>
      </c>
      <c r="CG21" s="3">
        <v>296.97778299999999</v>
      </c>
      <c r="CH21" s="3">
        <v>346.19271900000001</v>
      </c>
      <c r="CI21" s="3">
        <v>292.83969100000002</v>
      </c>
      <c r="CJ21" s="3">
        <v>362.16449</v>
      </c>
      <c r="CK21" s="3">
        <v>346.12460299999998</v>
      </c>
      <c r="CL21" s="3">
        <v>274.20425399999999</v>
      </c>
      <c r="CM21" s="3">
        <v>344.54013099999997</v>
      </c>
      <c r="CN21" s="3">
        <v>254.22323600000001</v>
      </c>
      <c r="CO21" s="3">
        <v>260.712402</v>
      </c>
      <c r="CP21" s="3">
        <v>239.99833699999999</v>
      </c>
      <c r="CQ21" s="3">
        <v>296.29708900000003</v>
      </c>
      <c r="CR21" s="3">
        <v>406.10571299999998</v>
      </c>
      <c r="CS21" s="3">
        <v>306.42388899999997</v>
      </c>
      <c r="CT21" s="3">
        <v>320.70129400000002</v>
      </c>
      <c r="CU21" s="3">
        <v>338.77795400000002</v>
      </c>
      <c r="CV21" s="3">
        <v>303.73443600000002</v>
      </c>
      <c r="CW21" s="3">
        <v>257.23629799999998</v>
      </c>
      <c r="CX21" s="3">
        <v>320.56369000000001</v>
      </c>
      <c r="CY21" s="3">
        <v>340.10684199999997</v>
      </c>
      <c r="CZ21" s="3">
        <v>281.28527800000001</v>
      </c>
      <c r="DA21" s="3">
        <v>382.42950400000001</v>
      </c>
      <c r="DB21" s="3">
        <v>277.93365499999999</v>
      </c>
      <c r="DC21" s="3">
        <v>336.16922</v>
      </c>
      <c r="DD21" s="3">
        <v>337.34545900000001</v>
      </c>
      <c r="DE21" s="3">
        <v>279.59991500000001</v>
      </c>
      <c r="DF21" s="3">
        <v>296.71701000000002</v>
      </c>
      <c r="DG21" s="3">
        <v>382.60736100000003</v>
      </c>
      <c r="DH21" s="3">
        <v>284.07968099999999</v>
      </c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G22" s="3"/>
      <c r="H22" s="3"/>
      <c r="I22" s="3"/>
      <c r="J22" s="3"/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D23" t="s">
        <v>11</v>
      </c>
      <c r="E23" t="s">
        <v>6</v>
      </c>
      <c r="F23">
        <f>COUNT(M23:GJ23)</f>
        <v>100</v>
      </c>
      <c r="G23" s="3">
        <f>AVERAGE(M23:GJ23)</f>
        <v>303.92903409000013</v>
      </c>
      <c r="H23" s="3">
        <f>MAX(M23:GJ23)</f>
        <v>357.88037100000003</v>
      </c>
      <c r="I23" s="3">
        <f>MIN(M23:GJ23)</f>
        <v>258.29333500000001</v>
      </c>
      <c r="J23" s="3">
        <f>_xlfn.STDEV.P(M23:GJ23)</f>
        <v>22.187548629812003</v>
      </c>
      <c r="K23" s="3">
        <f>_xlfn.VAR.S(M23:GJ23)</f>
        <v>497.25991333360855</v>
      </c>
      <c r="M23" s="3">
        <v>263.53024299999998</v>
      </c>
      <c r="N23" s="3">
        <v>291.729736</v>
      </c>
      <c r="O23" s="3">
        <v>285.83059700000001</v>
      </c>
      <c r="P23" s="3">
        <v>329.346588</v>
      </c>
      <c r="Q23" s="3">
        <v>317.76223800000002</v>
      </c>
      <c r="R23" s="3">
        <v>291.48504600000001</v>
      </c>
      <c r="S23" s="3">
        <v>285.560272</v>
      </c>
      <c r="T23" s="3">
        <v>307.76126099999999</v>
      </c>
      <c r="U23" s="3">
        <v>258.29333500000001</v>
      </c>
      <c r="V23" s="3">
        <v>312.667755</v>
      </c>
      <c r="W23" s="3">
        <v>260.71691900000002</v>
      </c>
      <c r="X23" s="3">
        <v>268.16561899999999</v>
      </c>
      <c r="Y23" s="3">
        <v>355.26196299999998</v>
      </c>
      <c r="Z23" s="3">
        <v>295.45620700000001</v>
      </c>
      <c r="AA23" s="3">
        <v>305.26486199999999</v>
      </c>
      <c r="AB23" s="3">
        <v>259.88913000000002</v>
      </c>
      <c r="AC23" s="3">
        <v>357.88037100000003</v>
      </c>
      <c r="AD23" s="3">
        <v>298.27374300000002</v>
      </c>
      <c r="AE23" s="3">
        <v>326.57910199999998</v>
      </c>
      <c r="AF23" s="3">
        <v>287.79208399999999</v>
      </c>
      <c r="AG23" s="3">
        <v>309.12020899999999</v>
      </c>
      <c r="AH23" s="3">
        <v>314.76882899999998</v>
      </c>
      <c r="AI23" s="3">
        <v>270.21463</v>
      </c>
      <c r="AJ23" s="3">
        <v>319.67669699999999</v>
      </c>
      <c r="AK23" s="3">
        <v>318.83660900000001</v>
      </c>
      <c r="AL23" s="3">
        <v>313.73651100000001</v>
      </c>
      <c r="AM23" s="3">
        <v>284.03698700000001</v>
      </c>
      <c r="AN23" s="3">
        <v>259.11044299999998</v>
      </c>
      <c r="AO23" s="3">
        <v>287.255157</v>
      </c>
      <c r="AP23" s="3">
        <v>302.632721</v>
      </c>
      <c r="AQ23" s="3">
        <v>315.77319299999999</v>
      </c>
      <c r="AR23" s="3">
        <v>266.66882299999997</v>
      </c>
      <c r="AS23" s="3">
        <v>280.26489299999997</v>
      </c>
      <c r="AT23" s="3">
        <v>284.43911700000001</v>
      </c>
      <c r="AU23" s="3">
        <v>299.77914399999997</v>
      </c>
      <c r="AV23" s="3">
        <v>311.14953600000001</v>
      </c>
      <c r="AW23" s="3">
        <v>295.37219199999998</v>
      </c>
      <c r="AX23" s="3">
        <v>285.70834400000001</v>
      </c>
      <c r="AY23" s="3">
        <v>310.03393599999998</v>
      </c>
      <c r="AZ23" s="3">
        <v>280.196259</v>
      </c>
      <c r="BA23" s="3">
        <v>299.75427200000001</v>
      </c>
      <c r="BB23" s="3">
        <v>273.43591300000003</v>
      </c>
      <c r="BC23" s="3">
        <v>294.593414</v>
      </c>
      <c r="BD23" s="3">
        <v>311.86938500000002</v>
      </c>
      <c r="BE23" s="3">
        <v>320.81063799999998</v>
      </c>
      <c r="BF23" s="3">
        <v>266.92993200000001</v>
      </c>
      <c r="BG23" s="3">
        <v>302.61376999999999</v>
      </c>
      <c r="BH23" s="3">
        <v>332.57330300000001</v>
      </c>
      <c r="BI23" s="3">
        <v>283.54449499999998</v>
      </c>
      <c r="BJ23" s="3">
        <v>312.13412499999998</v>
      </c>
      <c r="BK23" s="3">
        <v>300.94372600000003</v>
      </c>
      <c r="BL23" s="3">
        <v>311.72403000000003</v>
      </c>
      <c r="BM23" s="3">
        <v>337.25485200000003</v>
      </c>
      <c r="BN23" s="3">
        <v>306.691956</v>
      </c>
      <c r="BO23" s="3">
        <v>322.05575599999997</v>
      </c>
      <c r="BP23" s="3">
        <v>327.93499800000001</v>
      </c>
      <c r="BQ23" s="3">
        <v>279.175049</v>
      </c>
      <c r="BR23" s="3">
        <v>294.71701000000002</v>
      </c>
      <c r="BS23" s="3">
        <v>330.51995799999997</v>
      </c>
      <c r="BT23" s="3">
        <v>340.77773999999999</v>
      </c>
      <c r="BU23" s="3">
        <v>319.77932700000002</v>
      </c>
      <c r="BV23" s="3">
        <v>327.17028800000003</v>
      </c>
      <c r="BW23" s="3">
        <v>310.909515</v>
      </c>
      <c r="BX23" s="3">
        <v>291.21054099999998</v>
      </c>
      <c r="BY23" s="3">
        <v>292.75219700000002</v>
      </c>
      <c r="BZ23" s="3">
        <v>320.24972500000001</v>
      </c>
      <c r="CA23" s="3">
        <v>317.34930400000002</v>
      </c>
      <c r="CB23" s="3">
        <v>326.19778400000001</v>
      </c>
      <c r="CC23" s="3">
        <v>313.88995399999999</v>
      </c>
      <c r="CD23" s="3">
        <v>345.20034800000002</v>
      </c>
      <c r="CE23" s="3">
        <v>288.820221</v>
      </c>
      <c r="CF23" s="3">
        <v>320.544037</v>
      </c>
      <c r="CG23" s="3">
        <v>313.86193800000001</v>
      </c>
      <c r="CH23" s="3">
        <v>292.20461999999998</v>
      </c>
      <c r="CI23" s="3">
        <v>309.114441</v>
      </c>
      <c r="CJ23" s="3">
        <v>295.77960200000001</v>
      </c>
      <c r="CK23" s="3">
        <v>286.17843599999998</v>
      </c>
      <c r="CL23" s="3">
        <v>286.06219499999997</v>
      </c>
      <c r="CM23" s="3">
        <v>302.19357300000001</v>
      </c>
      <c r="CN23" s="3">
        <v>331.29901100000001</v>
      </c>
      <c r="CO23" s="3">
        <v>331.14407299999999</v>
      </c>
      <c r="CP23" s="3">
        <v>283.81411700000001</v>
      </c>
      <c r="CQ23" s="3">
        <v>298.21298200000001</v>
      </c>
      <c r="CR23" s="3">
        <v>346.23037699999998</v>
      </c>
      <c r="CS23" s="3">
        <v>319.12252799999999</v>
      </c>
      <c r="CT23" s="3">
        <v>322.613831</v>
      </c>
      <c r="CU23" s="3">
        <v>295.54629499999999</v>
      </c>
      <c r="CV23" s="3">
        <v>300.62677000000002</v>
      </c>
      <c r="CW23" s="3">
        <v>306.536743</v>
      </c>
      <c r="CX23" s="3">
        <v>311.50930799999998</v>
      </c>
      <c r="CY23" s="3">
        <v>278.271637</v>
      </c>
      <c r="CZ23" s="3">
        <v>325.26565599999998</v>
      </c>
      <c r="DA23" s="3">
        <v>286.983002</v>
      </c>
      <c r="DB23" s="3">
        <v>298.01727299999999</v>
      </c>
      <c r="DC23" s="3">
        <v>311.237213</v>
      </c>
      <c r="DD23" s="3">
        <v>313.19937099999999</v>
      </c>
      <c r="DE23" s="3">
        <v>344.90332000000001</v>
      </c>
      <c r="DF23" s="3">
        <v>337.66308600000002</v>
      </c>
      <c r="DG23" s="3">
        <v>299.63894699999997</v>
      </c>
      <c r="DH23" s="3">
        <v>273.52420000000001</v>
      </c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5" spans="2:207" x14ac:dyDescent="0.2">
      <c r="D25" s="1"/>
    </row>
    <row r="26" spans="2:207" x14ac:dyDescent="0.2">
      <c r="B26" t="s">
        <v>45</v>
      </c>
      <c r="D26" s="1" t="s">
        <v>22</v>
      </c>
    </row>
    <row r="27" spans="2:207" x14ac:dyDescent="0.2">
      <c r="B27" s="2" t="s">
        <v>19</v>
      </c>
      <c r="D27" t="s">
        <v>8</v>
      </c>
      <c r="E27" t="s">
        <v>6</v>
      </c>
      <c r="F27">
        <f>COUNT(M27:GJ27)</f>
        <v>100</v>
      </c>
      <c r="G27" s="3">
        <f>AVERAGE(M27:GJ27)</f>
        <v>83.006595459999986</v>
      </c>
      <c r="H27" s="3">
        <f>MAX(M27:GJ27)</f>
        <v>96.265968000000001</v>
      </c>
      <c r="I27" s="3">
        <f>MIN(M27:GJ27)</f>
        <v>72.290229999999994</v>
      </c>
      <c r="J27" s="3">
        <f>_xlfn.STDEV.P(M27:GJ27)</f>
        <v>5.8384340773911596</v>
      </c>
      <c r="K27" s="3">
        <f>_xlfn.VAR.S(M27:GJ27)</f>
        <v>34.43162876367915</v>
      </c>
      <c r="M27" s="3">
        <v>80.787093999999996</v>
      </c>
      <c r="N27" s="3">
        <v>77.749274999999997</v>
      </c>
      <c r="O27" s="3">
        <v>81.968529000000004</v>
      </c>
      <c r="P27" s="3">
        <v>85.873390000000001</v>
      </c>
      <c r="Q27" s="3">
        <v>75.007202000000007</v>
      </c>
      <c r="R27" s="3">
        <v>77.418839000000006</v>
      </c>
      <c r="S27" s="3">
        <v>78.979301000000007</v>
      </c>
      <c r="T27" s="3">
        <v>75.218238999999997</v>
      </c>
      <c r="U27" s="3">
        <v>77.261191999999994</v>
      </c>
      <c r="V27" s="3">
        <v>81.986182999999997</v>
      </c>
      <c r="W27" s="3">
        <v>96.265968000000001</v>
      </c>
      <c r="X27" s="3">
        <v>81.208061000000001</v>
      </c>
      <c r="Y27" s="3">
        <v>94.430594999999997</v>
      </c>
      <c r="Z27" s="3">
        <v>83.115662</v>
      </c>
      <c r="AA27" s="3">
        <v>76.956130999999999</v>
      </c>
      <c r="AB27" s="3">
        <v>84.408180000000002</v>
      </c>
      <c r="AC27" s="3">
        <v>80.47757</v>
      </c>
      <c r="AD27" s="3">
        <v>92.836112999999997</v>
      </c>
      <c r="AE27" s="3">
        <v>79.697997999999998</v>
      </c>
      <c r="AF27" s="3">
        <v>82.963768000000002</v>
      </c>
      <c r="AG27" s="3">
        <v>80.306931000000006</v>
      </c>
      <c r="AH27" s="3">
        <v>73.711219999999997</v>
      </c>
      <c r="AI27" s="3">
        <v>72.290229999999994</v>
      </c>
      <c r="AJ27" s="3">
        <v>87.628967000000003</v>
      </c>
      <c r="AK27" s="3">
        <v>76.612442000000001</v>
      </c>
      <c r="AL27" s="3">
        <v>73.344336999999996</v>
      </c>
      <c r="AM27" s="3">
        <v>79.007095000000007</v>
      </c>
      <c r="AN27" s="3">
        <v>81.328170999999998</v>
      </c>
      <c r="AO27" s="3">
        <v>82.336715999999996</v>
      </c>
      <c r="AP27" s="3">
        <v>81.067429000000004</v>
      </c>
      <c r="AQ27" s="3">
        <v>85.453117000000006</v>
      </c>
      <c r="AR27" s="3">
        <v>82.556388999999996</v>
      </c>
      <c r="AS27" s="3">
        <v>86.703284999999994</v>
      </c>
      <c r="AT27" s="3">
        <v>76.035933999999997</v>
      </c>
      <c r="AU27" s="3">
        <v>84.347588000000002</v>
      </c>
      <c r="AV27" s="3">
        <v>92.784058000000002</v>
      </c>
      <c r="AW27" s="3">
        <v>88.247139000000004</v>
      </c>
      <c r="AX27" s="3">
        <v>78.718200999999993</v>
      </c>
      <c r="AY27" s="3">
        <v>74.309264999999996</v>
      </c>
      <c r="AZ27" s="3">
        <v>82.988808000000006</v>
      </c>
      <c r="BA27" s="3">
        <v>84.359031999999999</v>
      </c>
      <c r="BB27" s="3">
        <v>85.549972999999994</v>
      </c>
      <c r="BC27" s="3">
        <v>87.713097000000005</v>
      </c>
      <c r="BD27" s="3">
        <v>89.519690999999995</v>
      </c>
      <c r="BE27" s="3">
        <v>89.158446999999995</v>
      </c>
      <c r="BF27" s="3">
        <v>81.733092999999997</v>
      </c>
      <c r="BG27" s="3">
        <v>83.026825000000002</v>
      </c>
      <c r="BH27" s="3">
        <v>88.940749999999994</v>
      </c>
      <c r="BI27" s="3">
        <v>83.159171999999998</v>
      </c>
      <c r="BJ27" s="3">
        <v>73.662284999999997</v>
      </c>
      <c r="BK27" s="3">
        <v>80.787093999999996</v>
      </c>
      <c r="BL27" s="3">
        <v>77.749274999999997</v>
      </c>
      <c r="BM27" s="3">
        <v>81.968529000000004</v>
      </c>
      <c r="BN27" s="3">
        <v>85.873390000000001</v>
      </c>
      <c r="BO27" s="3">
        <v>75.007202000000007</v>
      </c>
      <c r="BP27" s="3">
        <v>77.418839000000006</v>
      </c>
      <c r="BQ27" s="3">
        <v>78.979301000000007</v>
      </c>
      <c r="BR27" s="3">
        <v>75.218238999999997</v>
      </c>
      <c r="BS27" s="3">
        <v>77.261191999999994</v>
      </c>
      <c r="BT27" s="3">
        <v>81.986182999999997</v>
      </c>
      <c r="BU27" s="3">
        <v>96.265968000000001</v>
      </c>
      <c r="BV27" s="3">
        <v>81.208061000000001</v>
      </c>
      <c r="BW27" s="3">
        <v>94.430594999999997</v>
      </c>
      <c r="BX27" s="3">
        <v>83.115662</v>
      </c>
      <c r="BY27" s="3">
        <v>76.956130999999999</v>
      </c>
      <c r="BZ27" s="3">
        <v>84.408180000000002</v>
      </c>
      <c r="CA27" s="3">
        <v>80.47757</v>
      </c>
      <c r="CB27" s="3">
        <v>92.836112999999997</v>
      </c>
      <c r="CC27" s="3">
        <v>79.697997999999998</v>
      </c>
      <c r="CD27" s="3">
        <v>82.963768000000002</v>
      </c>
      <c r="CE27" s="3">
        <v>80.306931000000006</v>
      </c>
      <c r="CF27" s="3">
        <v>73.711219999999997</v>
      </c>
      <c r="CG27" s="3">
        <v>72.290229999999994</v>
      </c>
      <c r="CH27" s="3">
        <v>87.628967000000003</v>
      </c>
      <c r="CI27" s="3">
        <v>76.612442000000001</v>
      </c>
      <c r="CJ27" s="3">
        <v>77.292991999999998</v>
      </c>
      <c r="CK27" s="3">
        <v>83.291588000000004</v>
      </c>
      <c r="CL27" s="3">
        <v>90.603424000000004</v>
      </c>
      <c r="CM27" s="3">
        <v>89.257721000000004</v>
      </c>
      <c r="CN27" s="3">
        <v>81.310280000000006</v>
      </c>
      <c r="CO27" s="3">
        <v>82.594093000000001</v>
      </c>
      <c r="CP27" s="3">
        <v>86.738456999999997</v>
      </c>
      <c r="CQ27" s="3">
        <v>78.699554000000006</v>
      </c>
      <c r="CR27" s="3">
        <v>84.012512000000001</v>
      </c>
      <c r="CS27" s="3">
        <v>80.808411000000007</v>
      </c>
      <c r="CT27" s="3">
        <v>93.348312000000007</v>
      </c>
      <c r="CU27" s="3">
        <v>87.418357999999998</v>
      </c>
      <c r="CV27" s="3">
        <v>92.124031000000002</v>
      </c>
      <c r="CW27" s="3">
        <v>85.913619999999995</v>
      </c>
      <c r="CX27" s="3">
        <v>81.929824999999994</v>
      </c>
      <c r="CY27" s="3">
        <v>89.252089999999995</v>
      </c>
      <c r="CZ27" s="3">
        <v>85.010254000000003</v>
      </c>
      <c r="DA27" s="3">
        <v>90.059578000000002</v>
      </c>
      <c r="DB27" s="3">
        <v>83.655135999999999</v>
      </c>
      <c r="DC27" s="3">
        <v>91.322502</v>
      </c>
      <c r="DD27" s="3">
        <v>81.176765000000003</v>
      </c>
      <c r="DE27" s="3">
        <v>88.911026000000007</v>
      </c>
      <c r="DF27" s="3">
        <v>91.024918</v>
      </c>
      <c r="DG27" s="3">
        <v>95.393783999999997</v>
      </c>
      <c r="DH27" s="3">
        <v>83.142257999999998</v>
      </c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26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B29" s="2" t="s">
        <v>27</v>
      </c>
      <c r="D29" t="s">
        <v>9</v>
      </c>
      <c r="E29" t="s">
        <v>6</v>
      </c>
      <c r="F29">
        <f>COUNT(M29:GJ29)</f>
        <v>100</v>
      </c>
      <c r="G29" s="3">
        <f>AVERAGE(M29:GJ29)</f>
        <v>26.77042883999999</v>
      </c>
      <c r="H29" s="3">
        <f>MAX(M29:GJ29)</f>
        <v>43.640293</v>
      </c>
      <c r="I29" s="3">
        <f>MIN(M29:GJ29)</f>
        <v>15.934442000000001</v>
      </c>
      <c r="J29" s="3">
        <f>_xlfn.STDEV.P(M29:GJ29)</f>
        <v>5.0083654976548599</v>
      </c>
      <c r="K29" s="3">
        <f>_xlfn.VAR.S(M29:GJ29)</f>
        <v>25.337095917272354</v>
      </c>
      <c r="M29" s="3">
        <v>24.419891</v>
      </c>
      <c r="N29" s="3">
        <v>25.039110000000001</v>
      </c>
      <c r="O29" s="3">
        <v>31.142994000000002</v>
      </c>
      <c r="P29" s="3">
        <v>22.513186000000001</v>
      </c>
      <c r="Q29" s="3">
        <v>24.195501</v>
      </c>
      <c r="R29" s="3">
        <v>27.787039</v>
      </c>
      <c r="S29" s="3">
        <v>33.304381999999997</v>
      </c>
      <c r="T29" s="3">
        <v>25.228466000000001</v>
      </c>
      <c r="U29" s="3">
        <v>23.146259000000001</v>
      </c>
      <c r="V29" s="3">
        <v>31.582923999999998</v>
      </c>
      <c r="W29" s="3">
        <v>22.439813999999998</v>
      </c>
      <c r="X29" s="3">
        <v>24.353027000000001</v>
      </c>
      <c r="Y29" s="3">
        <v>30.350027000000001</v>
      </c>
      <c r="Z29" s="3">
        <v>29.609411000000001</v>
      </c>
      <c r="AA29" s="3">
        <v>28.047488999999999</v>
      </c>
      <c r="AB29" s="3">
        <v>21.764728999999999</v>
      </c>
      <c r="AC29" s="3">
        <v>25.429967999999999</v>
      </c>
      <c r="AD29" s="3">
        <v>27.098023999999999</v>
      </c>
      <c r="AE29" s="3">
        <v>27.431559</v>
      </c>
      <c r="AF29" s="3">
        <v>25.823699999999999</v>
      </c>
      <c r="AG29" s="3">
        <v>24.047560000000001</v>
      </c>
      <c r="AH29" s="3">
        <v>23.882999000000002</v>
      </c>
      <c r="AI29" s="3">
        <v>28.665915999999999</v>
      </c>
      <c r="AJ29" s="3">
        <v>20.973928000000001</v>
      </c>
      <c r="AK29" s="3">
        <v>26.996680999999999</v>
      </c>
      <c r="AL29" s="3">
        <v>29.248163000000002</v>
      </c>
      <c r="AM29" s="3">
        <v>26.454567000000001</v>
      </c>
      <c r="AN29" s="3">
        <v>19.925425000000001</v>
      </c>
      <c r="AO29" s="3">
        <v>25.646882999999999</v>
      </c>
      <c r="AP29" s="3">
        <v>20.074729999999999</v>
      </c>
      <c r="AQ29" s="3">
        <v>22.135807</v>
      </c>
      <c r="AR29" s="3">
        <v>30.289926999999999</v>
      </c>
      <c r="AS29" s="3">
        <v>30.896920999999999</v>
      </c>
      <c r="AT29" s="3">
        <v>39.662483000000002</v>
      </c>
      <c r="AU29" s="3">
        <v>36.991055000000003</v>
      </c>
      <c r="AV29" s="3">
        <v>18.339987000000001</v>
      </c>
      <c r="AW29" s="3">
        <v>21.554054000000001</v>
      </c>
      <c r="AX29" s="3">
        <v>27.526524999999999</v>
      </c>
      <c r="AY29" s="3">
        <v>30.641328999999999</v>
      </c>
      <c r="AZ29" s="3">
        <v>26.50909</v>
      </c>
      <c r="BA29" s="3">
        <v>26.599817000000002</v>
      </c>
      <c r="BB29" s="3">
        <v>25.383953000000002</v>
      </c>
      <c r="BC29" s="3">
        <v>20.428391999999999</v>
      </c>
      <c r="BD29" s="3">
        <v>33.268768000000001</v>
      </c>
      <c r="BE29" s="3">
        <v>26.963024000000001</v>
      </c>
      <c r="BF29" s="3">
        <v>33.336945</v>
      </c>
      <c r="BG29" s="3">
        <v>39.413040000000002</v>
      </c>
      <c r="BH29" s="3">
        <v>30.334005000000001</v>
      </c>
      <c r="BI29" s="3">
        <v>28.020956000000002</v>
      </c>
      <c r="BJ29" s="3">
        <v>32.620131999999998</v>
      </c>
      <c r="BK29" s="3">
        <v>20.572327000000001</v>
      </c>
      <c r="BL29" s="3">
        <v>31.074396</v>
      </c>
      <c r="BM29" s="3">
        <v>23.616505</v>
      </c>
      <c r="BN29" s="3">
        <v>23.239773</v>
      </c>
      <c r="BO29" s="3">
        <v>22.716699999999999</v>
      </c>
      <c r="BP29" s="3">
        <v>29.076754000000001</v>
      </c>
      <c r="BQ29" s="3">
        <v>26.098648000000001</v>
      </c>
      <c r="BR29" s="3">
        <v>23.690355</v>
      </c>
      <c r="BS29" s="3">
        <v>30.314819</v>
      </c>
      <c r="BT29" s="3">
        <v>22.802682999999998</v>
      </c>
      <c r="BU29" s="3">
        <v>24.402405000000002</v>
      </c>
      <c r="BV29" s="3">
        <v>25.930975</v>
      </c>
      <c r="BW29" s="3">
        <v>28.735567</v>
      </c>
      <c r="BX29" s="3">
        <v>34.035110000000003</v>
      </c>
      <c r="BY29" s="3">
        <v>43.640293</v>
      </c>
      <c r="BZ29" s="3">
        <v>29.359133</v>
      </c>
      <c r="CA29" s="3">
        <v>26.393948000000002</v>
      </c>
      <c r="CB29" s="3">
        <v>27.178875000000001</v>
      </c>
      <c r="CC29" s="3">
        <v>36.358643000000001</v>
      </c>
      <c r="CD29" s="3">
        <v>30.058851000000001</v>
      </c>
      <c r="CE29" s="3">
        <v>33.995930000000001</v>
      </c>
      <c r="CF29" s="3">
        <v>32.501072000000001</v>
      </c>
      <c r="CG29" s="3">
        <v>25.712333999999998</v>
      </c>
      <c r="CH29" s="3">
        <v>31.206085000000002</v>
      </c>
      <c r="CI29" s="3">
        <v>25.062874000000001</v>
      </c>
      <c r="CJ29" s="3">
        <v>18.168279999999999</v>
      </c>
      <c r="CK29" s="3">
        <v>23.914455</v>
      </c>
      <c r="CL29" s="3">
        <v>16.016195</v>
      </c>
      <c r="CM29" s="3">
        <v>20.740822000000001</v>
      </c>
      <c r="CN29" s="3">
        <v>32.278019</v>
      </c>
      <c r="CO29" s="3">
        <v>29.494990999999999</v>
      </c>
      <c r="CP29" s="3">
        <v>25.446548</v>
      </c>
      <c r="CQ29" s="3">
        <v>20.974691</v>
      </c>
      <c r="CR29" s="3">
        <v>28.602255</v>
      </c>
      <c r="CS29" s="3">
        <v>28.304205</v>
      </c>
      <c r="CT29" s="3">
        <v>19.482735000000002</v>
      </c>
      <c r="CU29" s="3">
        <v>25.337284</v>
      </c>
      <c r="CV29" s="3">
        <v>26.796382999999999</v>
      </c>
      <c r="CW29" s="3">
        <v>25.401206999999999</v>
      </c>
      <c r="CX29" s="3">
        <v>33.812266999999999</v>
      </c>
      <c r="CY29" s="3">
        <v>24.325413000000001</v>
      </c>
      <c r="CZ29" s="3">
        <v>26.296246</v>
      </c>
      <c r="DA29" s="3">
        <v>20.071345999999998</v>
      </c>
      <c r="DB29" s="3">
        <v>24.620901</v>
      </c>
      <c r="DC29" s="3">
        <v>15.934442000000001</v>
      </c>
      <c r="DD29" s="3">
        <v>26.521215000000002</v>
      </c>
      <c r="DE29" s="3">
        <v>21.310717</v>
      </c>
      <c r="DF29" s="3">
        <v>27.991354000000001</v>
      </c>
      <c r="DG29" s="3">
        <v>29.329435</v>
      </c>
      <c r="DH29" s="3">
        <v>20.555861</v>
      </c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D31" t="s">
        <v>7</v>
      </c>
      <c r="E31" t="s">
        <v>6</v>
      </c>
      <c r="F31">
        <f>COUNT(M31:GJ31)</f>
        <v>100</v>
      </c>
      <c r="G31" s="3">
        <f>AVERAGE(M31:GJ31)</f>
        <v>54.532136030000011</v>
      </c>
      <c r="H31" s="3">
        <f>MAX(M31:GJ31)</f>
        <v>68.607140000000001</v>
      </c>
      <c r="I31" s="3">
        <f>MIN(M31:GJ31)</f>
        <v>36.326275000000003</v>
      </c>
      <c r="J31" s="3">
        <f>_xlfn.STDEV.P(M31:GJ31)</f>
        <v>6.8015355297434228</v>
      </c>
      <c r="K31" s="3">
        <f>_xlfn.VAR.S(M31:GJ31)</f>
        <v>46.728167234708891</v>
      </c>
      <c r="M31" s="3">
        <v>48.344687999999998</v>
      </c>
      <c r="N31" s="3">
        <v>41.774493999999997</v>
      </c>
      <c r="O31" s="3">
        <v>46.265984000000003</v>
      </c>
      <c r="P31" s="3">
        <v>50.515076000000001</v>
      </c>
      <c r="Q31" s="3">
        <v>54.003737999999998</v>
      </c>
      <c r="R31" s="3">
        <v>45.248840000000001</v>
      </c>
      <c r="S31" s="3">
        <v>43.934555000000003</v>
      </c>
      <c r="T31" s="3">
        <v>46.170166000000002</v>
      </c>
      <c r="U31" s="3">
        <v>36.326275000000003</v>
      </c>
      <c r="V31" s="3">
        <v>40.503895</v>
      </c>
      <c r="W31" s="3">
        <v>48.593037000000002</v>
      </c>
      <c r="X31" s="3">
        <v>43.715805000000003</v>
      </c>
      <c r="Y31" s="3">
        <v>49.085045000000001</v>
      </c>
      <c r="Z31" s="3">
        <v>56.049843000000003</v>
      </c>
      <c r="AA31" s="3">
        <v>57.176200999999999</v>
      </c>
      <c r="AB31" s="3">
        <v>40.669586000000002</v>
      </c>
      <c r="AC31" s="3">
        <v>48.758983999999998</v>
      </c>
      <c r="AD31" s="3">
        <v>38.109302999999997</v>
      </c>
      <c r="AE31" s="3">
        <v>53.103282999999998</v>
      </c>
      <c r="AF31" s="3">
        <v>43.039645999999998</v>
      </c>
      <c r="AG31" s="3">
        <v>51.200068999999999</v>
      </c>
      <c r="AH31" s="3">
        <v>41.072895000000003</v>
      </c>
      <c r="AI31" s="3">
        <v>42.853329000000002</v>
      </c>
      <c r="AJ31" s="3">
        <v>49.574184000000002</v>
      </c>
      <c r="AK31" s="3">
        <v>48.431133000000003</v>
      </c>
      <c r="AL31" s="3">
        <v>55.820720999999999</v>
      </c>
      <c r="AM31" s="3">
        <v>52.062663999999998</v>
      </c>
      <c r="AN31" s="3">
        <v>49.292026999999997</v>
      </c>
      <c r="AO31" s="3">
        <v>49.146178999999997</v>
      </c>
      <c r="AP31" s="3">
        <v>51.787681999999997</v>
      </c>
      <c r="AQ31" s="3">
        <v>51.574131000000001</v>
      </c>
      <c r="AR31" s="3">
        <v>53.884177999999999</v>
      </c>
      <c r="AS31" s="3">
        <v>54.413463999999998</v>
      </c>
      <c r="AT31" s="3">
        <v>52.387065999999997</v>
      </c>
      <c r="AU31" s="3">
        <v>57.800803999999999</v>
      </c>
      <c r="AV31" s="3">
        <v>58.059184999999999</v>
      </c>
      <c r="AW31" s="3">
        <v>50.136318000000003</v>
      </c>
      <c r="AX31" s="3">
        <v>52.267547999999998</v>
      </c>
      <c r="AY31" s="3">
        <v>61.726585</v>
      </c>
      <c r="AZ31" s="3">
        <v>55.787334000000001</v>
      </c>
      <c r="BA31" s="3">
        <v>50.677605</v>
      </c>
      <c r="BB31" s="3">
        <v>54.807022000000003</v>
      </c>
      <c r="BC31" s="3">
        <v>52.132969000000003</v>
      </c>
      <c r="BD31" s="3">
        <v>65.578048999999993</v>
      </c>
      <c r="BE31" s="3">
        <v>49.485774999999997</v>
      </c>
      <c r="BF31" s="3">
        <v>57.448174000000002</v>
      </c>
      <c r="BG31" s="3">
        <v>54.897025999999997</v>
      </c>
      <c r="BH31" s="3">
        <v>48.542622000000001</v>
      </c>
      <c r="BI31" s="3">
        <v>50.486832</v>
      </c>
      <c r="BJ31" s="3">
        <v>52.648907000000001</v>
      </c>
      <c r="BK31" s="3">
        <v>56.239372000000003</v>
      </c>
      <c r="BL31" s="3">
        <v>58.124766999999999</v>
      </c>
      <c r="BM31" s="3">
        <v>58.331242000000003</v>
      </c>
      <c r="BN31" s="3">
        <v>57.755828999999999</v>
      </c>
      <c r="BO31" s="3">
        <v>56.533901</v>
      </c>
      <c r="BP31" s="3">
        <v>60.294452999999997</v>
      </c>
      <c r="BQ31" s="3">
        <v>49.445777999999997</v>
      </c>
      <c r="BR31" s="3">
        <v>49.153053</v>
      </c>
      <c r="BS31" s="3">
        <v>58.584071999999999</v>
      </c>
      <c r="BT31" s="3">
        <v>59.397906999999996</v>
      </c>
      <c r="BU31" s="3">
        <v>59.499862999999998</v>
      </c>
      <c r="BV31" s="3">
        <v>59.737831</v>
      </c>
      <c r="BW31" s="3">
        <v>56.622894000000002</v>
      </c>
      <c r="BX31" s="3">
        <v>63.507953999999998</v>
      </c>
      <c r="BY31" s="3">
        <v>47.383232</v>
      </c>
      <c r="BZ31" s="3">
        <v>56.779667000000003</v>
      </c>
      <c r="CA31" s="3">
        <v>53.486606999999999</v>
      </c>
      <c r="CB31" s="3">
        <v>54.129641999999997</v>
      </c>
      <c r="CC31" s="3">
        <v>63.814506999999999</v>
      </c>
      <c r="CD31" s="3">
        <v>53.783679999999997</v>
      </c>
      <c r="CE31" s="3">
        <v>63.321114000000001</v>
      </c>
      <c r="CF31" s="3">
        <v>57.798138000000002</v>
      </c>
      <c r="CG31" s="3">
        <v>60.345455000000001</v>
      </c>
      <c r="CH31" s="3">
        <v>58.714848000000003</v>
      </c>
      <c r="CI31" s="3">
        <v>60.639373999999997</v>
      </c>
      <c r="CJ31" s="3">
        <v>60.135871999999999</v>
      </c>
      <c r="CK31" s="3">
        <v>60.979179000000002</v>
      </c>
      <c r="CL31" s="3">
        <v>61.131504</v>
      </c>
      <c r="CM31" s="3">
        <v>65.311104</v>
      </c>
      <c r="CN31" s="3">
        <v>57.324202999999997</v>
      </c>
      <c r="CO31" s="3">
        <v>61.608528</v>
      </c>
      <c r="CP31" s="3">
        <v>58.402144999999997</v>
      </c>
      <c r="CQ31" s="3">
        <v>61.380904999999998</v>
      </c>
      <c r="CR31" s="3">
        <v>57.063243999999997</v>
      </c>
      <c r="CS31" s="3">
        <v>64.055121999999997</v>
      </c>
      <c r="CT31" s="3">
        <v>64.323562999999993</v>
      </c>
      <c r="CU31" s="3">
        <v>61.840404999999997</v>
      </c>
      <c r="CV31" s="3">
        <v>62.407085000000002</v>
      </c>
      <c r="CW31" s="3">
        <v>53.904839000000003</v>
      </c>
      <c r="CX31" s="3">
        <v>59.972831999999997</v>
      </c>
      <c r="CY31" s="3">
        <v>53.994480000000003</v>
      </c>
      <c r="CZ31" s="3">
        <v>60.740726000000002</v>
      </c>
      <c r="DA31" s="3">
        <v>58.190086000000001</v>
      </c>
      <c r="DB31" s="3">
        <v>65.402137999999994</v>
      </c>
      <c r="DC31" s="3">
        <v>54.289847999999999</v>
      </c>
      <c r="DD31" s="3">
        <v>68.490066999999996</v>
      </c>
      <c r="DE31" s="3">
        <v>57.346443000000001</v>
      </c>
      <c r="DF31" s="3">
        <v>57.236449999999998</v>
      </c>
      <c r="DG31" s="3">
        <v>68.607140000000001</v>
      </c>
      <c r="DH31" s="3">
        <v>58.279594000000003</v>
      </c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D33" t="s">
        <v>10</v>
      </c>
      <c r="E33" t="s">
        <v>6</v>
      </c>
      <c r="F33">
        <f>COUNT(M33:GJ33)</f>
        <v>100</v>
      </c>
      <c r="G33" s="3">
        <f>AVERAGE(M33:GJ33)</f>
        <v>75.648456609999982</v>
      </c>
      <c r="H33" s="3">
        <f>MAX(M33:GJ33)</f>
        <v>88.893187999999995</v>
      </c>
      <c r="I33" s="3">
        <f>MIN(M33:GJ33)</f>
        <v>58.909331999999999</v>
      </c>
      <c r="J33" s="3">
        <f>_xlfn.STDEV.P(M33:GJ33)</f>
        <v>5.6460144448430807</v>
      </c>
      <c r="K33" s="3">
        <f>_xlfn.VAR.S(M33:GJ33)</f>
        <v>32.199473849875474</v>
      </c>
      <c r="M33" s="3">
        <v>80.110839999999996</v>
      </c>
      <c r="N33" s="3">
        <v>79.860061999999999</v>
      </c>
      <c r="O33" s="3">
        <v>78.209457</v>
      </c>
      <c r="P33" s="3">
        <v>78.192290999999997</v>
      </c>
      <c r="Q33" s="3">
        <v>74.580460000000002</v>
      </c>
      <c r="R33" s="3">
        <v>65.910422999999994</v>
      </c>
      <c r="S33" s="3">
        <v>74.854461999999998</v>
      </c>
      <c r="T33" s="3">
        <v>58.909331999999999</v>
      </c>
      <c r="U33" s="3">
        <v>78.185897999999995</v>
      </c>
      <c r="V33" s="3">
        <v>78.694396999999995</v>
      </c>
      <c r="W33" s="3">
        <v>82.711212000000003</v>
      </c>
      <c r="X33" s="3">
        <v>71.766670000000005</v>
      </c>
      <c r="Y33" s="3">
        <v>75.198982000000001</v>
      </c>
      <c r="Z33" s="3">
        <v>76.940146999999996</v>
      </c>
      <c r="AA33" s="3">
        <v>73.018387000000004</v>
      </c>
      <c r="AB33" s="3">
        <v>75.374802000000003</v>
      </c>
      <c r="AC33" s="3">
        <v>76.514579999999995</v>
      </c>
      <c r="AD33" s="3">
        <v>76.835014000000001</v>
      </c>
      <c r="AE33" s="3">
        <v>70.565430000000006</v>
      </c>
      <c r="AF33" s="3">
        <v>69.805274999999995</v>
      </c>
      <c r="AG33" s="3">
        <v>77.260086000000001</v>
      </c>
      <c r="AH33" s="3">
        <v>71.959998999999996</v>
      </c>
      <c r="AI33" s="3">
        <v>67.796059</v>
      </c>
      <c r="AJ33" s="3">
        <v>64.281357</v>
      </c>
      <c r="AK33" s="3">
        <v>84.246178</v>
      </c>
      <c r="AL33" s="3">
        <v>74.726067</v>
      </c>
      <c r="AM33" s="3">
        <v>75.099022000000005</v>
      </c>
      <c r="AN33" s="3">
        <v>71.683021999999994</v>
      </c>
      <c r="AO33" s="3">
        <v>87.560432000000006</v>
      </c>
      <c r="AP33" s="3">
        <v>71.897186000000005</v>
      </c>
      <c r="AQ33" s="3">
        <v>62.690227999999998</v>
      </c>
      <c r="AR33" s="3">
        <v>62.901519999999998</v>
      </c>
      <c r="AS33" s="3">
        <v>65.566237999999998</v>
      </c>
      <c r="AT33" s="3">
        <v>76.535972999999998</v>
      </c>
      <c r="AU33" s="3">
        <v>75.955192999999994</v>
      </c>
      <c r="AV33" s="3">
        <v>73.501350000000002</v>
      </c>
      <c r="AW33" s="3">
        <v>73.852798000000007</v>
      </c>
      <c r="AX33" s="3">
        <v>79.326599000000002</v>
      </c>
      <c r="AY33" s="3">
        <v>75.868256000000002</v>
      </c>
      <c r="AZ33" s="3">
        <v>81.283317999999994</v>
      </c>
      <c r="BA33" s="3">
        <v>78.496544</v>
      </c>
      <c r="BB33" s="3">
        <v>75.926734999999994</v>
      </c>
      <c r="BC33" s="3">
        <v>78.287673999999996</v>
      </c>
      <c r="BD33" s="3">
        <v>74.345650000000006</v>
      </c>
      <c r="BE33" s="3">
        <v>75.235366999999997</v>
      </c>
      <c r="BF33" s="3">
        <v>87.090118000000004</v>
      </c>
      <c r="BG33" s="3">
        <v>72.895095999999995</v>
      </c>
      <c r="BH33" s="3">
        <v>69.533112000000003</v>
      </c>
      <c r="BI33" s="3">
        <v>77.804657000000006</v>
      </c>
      <c r="BJ33" s="3">
        <v>79.569282999999999</v>
      </c>
      <c r="BK33" s="3">
        <v>75.410293999999993</v>
      </c>
      <c r="BL33" s="3">
        <v>72.085746999999998</v>
      </c>
      <c r="BM33" s="3">
        <v>81.385551000000007</v>
      </c>
      <c r="BN33" s="3">
        <v>81.804749000000001</v>
      </c>
      <c r="BO33" s="3">
        <v>78.353035000000006</v>
      </c>
      <c r="BP33" s="3">
        <v>64.647484000000006</v>
      </c>
      <c r="BQ33" s="3">
        <v>67.532425000000003</v>
      </c>
      <c r="BR33" s="3">
        <v>72.822861000000003</v>
      </c>
      <c r="BS33" s="3">
        <v>75.823211999999998</v>
      </c>
      <c r="BT33" s="3">
        <v>74.697059999999993</v>
      </c>
      <c r="BU33" s="3">
        <v>83.992615000000001</v>
      </c>
      <c r="BV33" s="3">
        <v>75.446251000000004</v>
      </c>
      <c r="BW33" s="3">
        <v>82.195869000000002</v>
      </c>
      <c r="BX33" s="3">
        <v>83.393226999999996</v>
      </c>
      <c r="BY33" s="3">
        <v>75.044746000000004</v>
      </c>
      <c r="BZ33" s="3">
        <v>78.738112999999998</v>
      </c>
      <c r="CA33" s="3">
        <v>80.351958999999994</v>
      </c>
      <c r="CB33" s="3">
        <v>80.196510000000004</v>
      </c>
      <c r="CC33" s="3">
        <v>73.341956999999994</v>
      </c>
      <c r="CD33" s="3">
        <v>70.232039999999998</v>
      </c>
      <c r="CE33" s="3">
        <v>88.893187999999995</v>
      </c>
      <c r="CF33" s="3">
        <v>75.832687000000007</v>
      </c>
      <c r="CG33" s="3">
        <v>74.861427000000006</v>
      </c>
      <c r="CH33" s="3">
        <v>75.320128999999994</v>
      </c>
      <c r="CI33" s="3">
        <v>79.647743000000006</v>
      </c>
      <c r="CJ33" s="3">
        <v>86.997574</v>
      </c>
      <c r="CK33" s="3">
        <v>70.095618999999999</v>
      </c>
      <c r="CL33" s="3">
        <v>76.510147000000003</v>
      </c>
      <c r="CM33" s="3">
        <v>84.842590000000001</v>
      </c>
      <c r="CN33" s="3">
        <v>76.721953999999997</v>
      </c>
      <c r="CO33" s="3">
        <v>64.212067000000005</v>
      </c>
      <c r="CP33" s="3">
        <v>71.909606999999994</v>
      </c>
      <c r="CQ33" s="3">
        <v>71.338676000000007</v>
      </c>
      <c r="CR33" s="3">
        <v>72.45787</v>
      </c>
      <c r="CS33" s="3">
        <v>74.248671999999999</v>
      </c>
      <c r="CT33" s="3">
        <v>78.770545999999996</v>
      </c>
      <c r="CU33" s="3">
        <v>72.001632999999998</v>
      </c>
      <c r="CV33" s="3">
        <v>75.312102999999993</v>
      </c>
      <c r="CW33" s="3">
        <v>76.082390000000004</v>
      </c>
      <c r="CX33" s="3">
        <v>76.855309000000005</v>
      </c>
      <c r="CY33" s="3">
        <v>81.043159000000003</v>
      </c>
      <c r="CZ33" s="3">
        <v>83.565810999999997</v>
      </c>
      <c r="DA33" s="3">
        <v>79.003974999999997</v>
      </c>
      <c r="DB33" s="3">
        <v>67.102119000000002</v>
      </c>
      <c r="DC33" s="3">
        <v>76.151649000000006</v>
      </c>
      <c r="DD33" s="3">
        <v>78.390281999999999</v>
      </c>
      <c r="DE33" s="3">
        <v>73.932381000000007</v>
      </c>
      <c r="DF33" s="3">
        <v>72.488051999999996</v>
      </c>
      <c r="DG33" s="3">
        <v>82.455826000000002</v>
      </c>
      <c r="DH33" s="3">
        <v>80.891532999999995</v>
      </c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D35" t="s">
        <v>11</v>
      </c>
      <c r="E35" t="s">
        <v>6</v>
      </c>
      <c r="F35">
        <f>COUNT(M35:GJ35)</f>
        <v>100</v>
      </c>
      <c r="G35" s="3">
        <f>AVERAGE(M35:GJ35)</f>
        <v>84.003914450000011</v>
      </c>
      <c r="H35" s="3">
        <f>MAX(M35:GJ35)</f>
        <v>100.148293</v>
      </c>
      <c r="I35" s="3">
        <f>MIN(M35:GJ35)</f>
        <v>61.117001000000002</v>
      </c>
      <c r="J35" s="3">
        <f>_xlfn.STDEV.P(M35:GJ35)</f>
        <v>7.0262299878924059</v>
      </c>
      <c r="K35" s="3">
        <f>_xlfn.VAR.S(M35:GJ35)</f>
        <v>49.866573578543964</v>
      </c>
      <c r="M35" s="3">
        <v>75.460128999999995</v>
      </c>
      <c r="N35" s="3">
        <v>78.322754000000003</v>
      </c>
      <c r="O35" s="3">
        <v>75.918930000000003</v>
      </c>
      <c r="P35" s="3">
        <v>82.836250000000007</v>
      </c>
      <c r="Q35" s="3">
        <v>86.182686000000004</v>
      </c>
      <c r="R35" s="3">
        <v>80.023482999999999</v>
      </c>
      <c r="S35" s="3">
        <v>79.365668999999997</v>
      </c>
      <c r="T35" s="3">
        <v>86.214928</v>
      </c>
      <c r="U35" s="3">
        <v>80.332031000000001</v>
      </c>
      <c r="V35" s="3">
        <v>85.049492000000001</v>
      </c>
      <c r="W35" s="3">
        <v>85.580948000000006</v>
      </c>
      <c r="X35" s="3">
        <v>71.847640999999996</v>
      </c>
      <c r="Y35" s="3">
        <v>78.209602000000004</v>
      </c>
      <c r="Z35" s="3">
        <v>84.532570000000007</v>
      </c>
      <c r="AA35" s="3">
        <v>77.172447000000005</v>
      </c>
      <c r="AB35" s="3">
        <v>80.227958999999998</v>
      </c>
      <c r="AC35" s="3">
        <v>76.900124000000005</v>
      </c>
      <c r="AD35" s="3">
        <v>70.591019000000003</v>
      </c>
      <c r="AE35" s="3">
        <v>91.321029999999993</v>
      </c>
      <c r="AF35" s="3">
        <v>81.185432000000006</v>
      </c>
      <c r="AG35" s="3">
        <v>87.857910000000004</v>
      </c>
      <c r="AH35" s="3">
        <v>88.928946999999994</v>
      </c>
      <c r="AI35" s="3">
        <v>71.261345000000006</v>
      </c>
      <c r="AJ35" s="3">
        <v>87.422836000000004</v>
      </c>
      <c r="AK35" s="3">
        <v>73.209457</v>
      </c>
      <c r="AL35" s="3">
        <v>68.114081999999996</v>
      </c>
      <c r="AM35" s="3">
        <v>77.462051000000002</v>
      </c>
      <c r="AN35" s="3">
        <v>61.117001000000002</v>
      </c>
      <c r="AO35" s="3">
        <v>83.879440000000002</v>
      </c>
      <c r="AP35" s="3">
        <v>89.606735</v>
      </c>
      <c r="AQ35" s="3">
        <v>82.338188000000002</v>
      </c>
      <c r="AR35" s="3">
        <v>81.780570999999995</v>
      </c>
      <c r="AS35" s="3">
        <v>82.053909000000004</v>
      </c>
      <c r="AT35" s="3">
        <v>82.133690000000001</v>
      </c>
      <c r="AU35" s="3">
        <v>85.949737999999996</v>
      </c>
      <c r="AV35" s="3">
        <v>83.321510000000004</v>
      </c>
      <c r="AW35" s="3">
        <v>68.936722000000003</v>
      </c>
      <c r="AX35" s="3">
        <v>76.979263000000003</v>
      </c>
      <c r="AY35" s="3">
        <v>93.353461999999993</v>
      </c>
      <c r="AZ35" s="3">
        <v>87.657341000000002</v>
      </c>
      <c r="BA35" s="3">
        <v>74.499206999999998</v>
      </c>
      <c r="BB35" s="3">
        <v>77.593558999999999</v>
      </c>
      <c r="BC35" s="3">
        <v>81.093788000000004</v>
      </c>
      <c r="BD35" s="3">
        <v>85.906891000000002</v>
      </c>
      <c r="BE35" s="3">
        <v>80.598099000000005</v>
      </c>
      <c r="BF35" s="3">
        <v>85.747208000000001</v>
      </c>
      <c r="BG35" s="3">
        <v>80.006377999999998</v>
      </c>
      <c r="BH35" s="3">
        <v>86.325942999999995</v>
      </c>
      <c r="BI35" s="3">
        <v>80.203132999999994</v>
      </c>
      <c r="BJ35" s="3">
        <v>83.078850000000003</v>
      </c>
      <c r="BK35" s="3">
        <v>79.150069999999999</v>
      </c>
      <c r="BL35" s="3">
        <v>85.515029999999996</v>
      </c>
      <c r="BM35" s="3">
        <v>79.254593</v>
      </c>
      <c r="BN35" s="3">
        <v>79.602271999999999</v>
      </c>
      <c r="BO35" s="3">
        <v>93.683211999999997</v>
      </c>
      <c r="BP35" s="3">
        <v>85.101035999999993</v>
      </c>
      <c r="BQ35" s="3">
        <v>89.357224000000002</v>
      </c>
      <c r="BR35" s="3">
        <v>89.440856999999994</v>
      </c>
      <c r="BS35" s="3">
        <v>86.495750000000001</v>
      </c>
      <c r="BT35" s="3">
        <v>93.782036000000005</v>
      </c>
      <c r="BU35" s="3">
        <v>90.941231000000002</v>
      </c>
      <c r="BV35" s="3">
        <v>82.025581000000003</v>
      </c>
      <c r="BW35" s="3">
        <v>89.668587000000002</v>
      </c>
      <c r="BX35" s="3">
        <v>89.254409999999993</v>
      </c>
      <c r="BY35" s="3">
        <v>82.473984000000002</v>
      </c>
      <c r="BZ35" s="3">
        <v>84.390181999999996</v>
      </c>
      <c r="CA35" s="3">
        <v>86.646186999999998</v>
      </c>
      <c r="CB35" s="3">
        <v>86.848174999999998</v>
      </c>
      <c r="CC35" s="3">
        <v>78.898101999999994</v>
      </c>
      <c r="CD35" s="3">
        <v>86.573684999999998</v>
      </c>
      <c r="CE35" s="3">
        <v>100.148293</v>
      </c>
      <c r="CF35" s="3">
        <v>89.026236999999995</v>
      </c>
      <c r="CG35" s="3">
        <v>87.875771</v>
      </c>
      <c r="CH35" s="3">
        <v>93.647994999999995</v>
      </c>
      <c r="CI35" s="3">
        <v>82.865273000000002</v>
      </c>
      <c r="CJ35" s="3">
        <v>79.126914999999997</v>
      </c>
      <c r="CK35" s="3">
        <v>89.637398000000005</v>
      </c>
      <c r="CL35" s="3">
        <v>70.683006000000006</v>
      </c>
      <c r="CM35" s="3">
        <v>90.256484999999998</v>
      </c>
      <c r="CN35" s="3">
        <v>95.034248000000005</v>
      </c>
      <c r="CO35" s="3">
        <v>93.256103999999993</v>
      </c>
      <c r="CP35" s="3">
        <v>88.492912000000004</v>
      </c>
      <c r="CQ35" s="3">
        <v>86.960480000000004</v>
      </c>
      <c r="CR35" s="3">
        <v>90.555961999999994</v>
      </c>
      <c r="CS35" s="3">
        <v>88.137282999999996</v>
      </c>
      <c r="CT35" s="3">
        <v>98.503371999999999</v>
      </c>
      <c r="CU35" s="3">
        <v>81.899139000000005</v>
      </c>
      <c r="CV35" s="3">
        <v>84.496780000000001</v>
      </c>
      <c r="CW35" s="3">
        <v>93.393799000000001</v>
      </c>
      <c r="CX35" s="3">
        <v>85.295242000000002</v>
      </c>
      <c r="CY35" s="3">
        <v>77.971359000000007</v>
      </c>
      <c r="CZ35" s="3">
        <v>92.905861000000002</v>
      </c>
      <c r="DA35" s="3">
        <v>84.863792000000004</v>
      </c>
      <c r="DB35" s="3">
        <v>90.265984000000003</v>
      </c>
      <c r="DC35" s="3">
        <v>90.449157999999997</v>
      </c>
      <c r="DD35" s="3">
        <v>97.489609000000002</v>
      </c>
      <c r="DE35" s="3">
        <v>90.246834000000007</v>
      </c>
      <c r="DF35" s="3">
        <v>94.749176000000006</v>
      </c>
      <c r="DG35" s="3">
        <v>83.781470999999996</v>
      </c>
      <c r="DH35" s="3">
        <v>73.580924999999993</v>
      </c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</row>
    <row r="38" spans="2:207" x14ac:dyDescent="0.2">
      <c r="B38" t="s">
        <v>45</v>
      </c>
      <c r="D38" s="1" t="s">
        <v>23</v>
      </c>
    </row>
    <row r="39" spans="2:207" x14ac:dyDescent="0.2">
      <c r="B39" s="2" t="s">
        <v>20</v>
      </c>
      <c r="D39" t="s">
        <v>8</v>
      </c>
      <c r="E39" t="s">
        <v>6</v>
      </c>
      <c r="F39">
        <f>COUNT(M39:GJ39)</f>
        <v>100</v>
      </c>
      <c r="G39" s="3">
        <f>AVERAGE(M39:GJ39)</f>
        <v>68.012683909999993</v>
      </c>
      <c r="H39" s="3">
        <f>MAX(M39:GJ39)</f>
        <v>77.644240999999994</v>
      </c>
      <c r="I39" s="3">
        <f>MIN(M39:GJ39)</f>
        <v>57.203826999999997</v>
      </c>
      <c r="J39" s="3">
        <f>_xlfn.STDEV.P(M39:GJ39)</f>
        <v>3.7767306442816069</v>
      </c>
      <c r="K39" s="3">
        <f>_xlfn.VAR.S(M39:GJ39)</f>
        <v>14.407772080258345</v>
      </c>
      <c r="M39" s="3">
        <v>69.596244999999996</v>
      </c>
      <c r="N39" s="3">
        <v>66.252326999999994</v>
      </c>
      <c r="O39" s="3">
        <v>67.824714999999998</v>
      </c>
      <c r="P39" s="3">
        <v>70.265243999999996</v>
      </c>
      <c r="Q39" s="3">
        <v>63.772933999999999</v>
      </c>
      <c r="R39" s="3">
        <v>65.280570999999995</v>
      </c>
      <c r="S39" s="3">
        <v>63.700980999999999</v>
      </c>
      <c r="T39" s="3">
        <v>64.460594</v>
      </c>
      <c r="U39" s="3">
        <v>64.135559000000001</v>
      </c>
      <c r="V39" s="3">
        <v>68.185058999999995</v>
      </c>
      <c r="W39" s="3">
        <v>77.231185999999994</v>
      </c>
      <c r="X39" s="3">
        <v>67.648491000000007</v>
      </c>
      <c r="Y39" s="3">
        <v>76.520499999999998</v>
      </c>
      <c r="Z39" s="3">
        <v>67.370621</v>
      </c>
      <c r="AA39" s="3">
        <v>64.513863000000001</v>
      </c>
      <c r="AB39" s="3">
        <v>69.057486999999995</v>
      </c>
      <c r="AC39" s="3">
        <v>68.299888999999993</v>
      </c>
      <c r="AD39" s="3">
        <v>71.445587000000003</v>
      </c>
      <c r="AE39" s="3">
        <v>66.323447999999999</v>
      </c>
      <c r="AF39" s="3">
        <v>69.348129</v>
      </c>
      <c r="AG39" s="3">
        <v>67.430663999999993</v>
      </c>
      <c r="AH39" s="3">
        <v>63.606738999999997</v>
      </c>
      <c r="AI39" s="3">
        <v>61.689124999999997</v>
      </c>
      <c r="AJ39" s="3">
        <v>70.207626000000005</v>
      </c>
      <c r="AK39" s="3">
        <v>64.025847999999996</v>
      </c>
      <c r="AL39" s="3">
        <v>62.499611000000002</v>
      </c>
      <c r="AM39" s="3">
        <v>63.141674000000002</v>
      </c>
      <c r="AN39" s="3">
        <v>67.572556000000006</v>
      </c>
      <c r="AO39" s="3">
        <v>71.095955000000004</v>
      </c>
      <c r="AP39" s="3">
        <v>70.034835999999999</v>
      </c>
      <c r="AQ39" s="3">
        <v>70.704566999999997</v>
      </c>
      <c r="AR39" s="3">
        <v>67.427718999999996</v>
      </c>
      <c r="AS39" s="3">
        <v>65.633301000000003</v>
      </c>
      <c r="AT39" s="3">
        <v>65.571533000000002</v>
      </c>
      <c r="AU39" s="3">
        <v>65.624495999999994</v>
      </c>
      <c r="AV39" s="3">
        <v>73.360443000000004</v>
      </c>
      <c r="AW39" s="3">
        <v>77.644240999999994</v>
      </c>
      <c r="AX39" s="3">
        <v>57.203826999999997</v>
      </c>
      <c r="AY39" s="3">
        <v>63.288403000000002</v>
      </c>
      <c r="AZ39" s="3">
        <v>59.824466999999999</v>
      </c>
      <c r="BA39" s="3">
        <v>67.998917000000006</v>
      </c>
      <c r="BB39" s="3">
        <v>70.127990999999994</v>
      </c>
      <c r="BC39" s="3">
        <v>71.435417000000001</v>
      </c>
      <c r="BD39" s="3">
        <v>68.330817999999994</v>
      </c>
      <c r="BE39" s="3">
        <v>67.336913999999993</v>
      </c>
      <c r="BF39" s="3">
        <v>71.045981999999995</v>
      </c>
      <c r="BG39" s="3">
        <v>67.639037999999999</v>
      </c>
      <c r="BH39" s="3">
        <v>68.869231999999997</v>
      </c>
      <c r="BI39" s="3">
        <v>71.402732999999998</v>
      </c>
      <c r="BJ39" s="3">
        <v>65.443336000000002</v>
      </c>
      <c r="BK39" s="3">
        <v>69.596244999999996</v>
      </c>
      <c r="BL39" s="3">
        <v>66.252326999999994</v>
      </c>
      <c r="BM39" s="3">
        <v>67.824714999999998</v>
      </c>
      <c r="BN39" s="3">
        <v>70.265243999999996</v>
      </c>
      <c r="BO39" s="3">
        <v>63.772933999999999</v>
      </c>
      <c r="BP39" s="3">
        <v>65.280570999999995</v>
      </c>
      <c r="BQ39" s="3">
        <v>63.700980999999999</v>
      </c>
      <c r="BR39" s="3">
        <v>64.460594</v>
      </c>
      <c r="BS39" s="3">
        <v>64.135559000000001</v>
      </c>
      <c r="BT39" s="3">
        <v>68.185058999999995</v>
      </c>
      <c r="BU39" s="3">
        <v>77.231185999999994</v>
      </c>
      <c r="BV39" s="3">
        <v>67.648491000000007</v>
      </c>
      <c r="BW39" s="3">
        <v>76.520499999999998</v>
      </c>
      <c r="BX39" s="3">
        <v>67.370621</v>
      </c>
      <c r="BY39" s="3">
        <v>64.513863000000001</v>
      </c>
      <c r="BZ39" s="3">
        <v>69.057486999999995</v>
      </c>
      <c r="CA39" s="3">
        <v>68.299888999999993</v>
      </c>
      <c r="CB39" s="3">
        <v>71.445587000000003</v>
      </c>
      <c r="CC39" s="3">
        <v>66.323447999999999</v>
      </c>
      <c r="CD39" s="3">
        <v>69.348129</v>
      </c>
      <c r="CE39" s="3">
        <v>67.430663999999993</v>
      </c>
      <c r="CF39" s="3">
        <v>63.606738999999997</v>
      </c>
      <c r="CG39" s="3">
        <v>61.689124999999997</v>
      </c>
      <c r="CH39" s="3">
        <v>70.207626000000005</v>
      </c>
      <c r="CI39" s="3">
        <v>64.025847999999996</v>
      </c>
      <c r="CJ39" s="3">
        <v>67.149215999999996</v>
      </c>
      <c r="CK39" s="3">
        <v>69.159820999999994</v>
      </c>
      <c r="CL39" s="3">
        <v>70.514129999999994</v>
      </c>
      <c r="CM39" s="3">
        <v>71.226073999999997</v>
      </c>
      <c r="CN39" s="3">
        <v>65.060912999999999</v>
      </c>
      <c r="CO39" s="3">
        <v>67.196906999999996</v>
      </c>
      <c r="CP39" s="3">
        <v>68.744750999999994</v>
      </c>
      <c r="CQ39" s="3">
        <v>65.893608</v>
      </c>
      <c r="CR39" s="3">
        <v>67.952415000000002</v>
      </c>
      <c r="CS39" s="3">
        <v>68.647659000000004</v>
      </c>
      <c r="CT39" s="3">
        <v>76.068686999999997</v>
      </c>
      <c r="CU39" s="3">
        <v>71.009743</v>
      </c>
      <c r="CV39" s="3">
        <v>74.287848999999994</v>
      </c>
      <c r="CW39" s="3">
        <v>67.451652999999993</v>
      </c>
      <c r="CX39" s="3">
        <v>65.97654</v>
      </c>
      <c r="CY39" s="3">
        <v>72.009276999999997</v>
      </c>
      <c r="CZ39" s="3">
        <v>67.345687999999996</v>
      </c>
      <c r="DA39" s="3">
        <v>69.882416000000006</v>
      </c>
      <c r="DB39" s="3">
        <v>70.455039999999997</v>
      </c>
      <c r="DC39" s="3">
        <v>71.273003000000003</v>
      </c>
      <c r="DD39" s="3">
        <v>65.219123999999994</v>
      </c>
      <c r="DE39" s="3">
        <v>67.056067999999996</v>
      </c>
      <c r="DF39" s="3">
        <v>71.579978999999994</v>
      </c>
      <c r="DG39" s="3">
        <v>75.125168000000002</v>
      </c>
      <c r="DH39" s="3">
        <v>68.337790999999996</v>
      </c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28</v>
      </c>
      <c r="G40" s="3"/>
      <c r="H40" s="3"/>
      <c r="I40" s="3"/>
      <c r="J40" s="3"/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B41" s="2" t="s">
        <v>25</v>
      </c>
      <c r="D41" t="s">
        <v>9</v>
      </c>
      <c r="E41" t="s">
        <v>6</v>
      </c>
      <c r="F41">
        <f>COUNT(M41:GJ41)</f>
        <v>100</v>
      </c>
      <c r="G41" s="3">
        <f>AVERAGE(M41:GJ41)</f>
        <v>26.977338170000007</v>
      </c>
      <c r="H41" s="3">
        <f>MAX(M41:GJ41)</f>
        <v>43.351264999999998</v>
      </c>
      <c r="I41" s="3">
        <f>MIN(M41:GJ41)</f>
        <v>16.919208999999999</v>
      </c>
      <c r="J41" s="3">
        <f>_xlfn.STDEV.P(M41:GJ41)</f>
        <v>4.9429951652774049</v>
      </c>
      <c r="K41" s="3">
        <f>_xlfn.VAR.S(M41:GJ41)</f>
        <v>24.680001216117002</v>
      </c>
      <c r="M41" s="3">
        <v>23.498771999999999</v>
      </c>
      <c r="N41" s="3">
        <v>24.896248</v>
      </c>
      <c r="O41" s="3">
        <v>27.251964999999998</v>
      </c>
      <c r="P41" s="3">
        <v>22.145063</v>
      </c>
      <c r="Q41" s="3">
        <v>24.903010999999999</v>
      </c>
      <c r="R41" s="3">
        <v>27.526800000000001</v>
      </c>
      <c r="S41" s="3">
        <v>33.125179000000003</v>
      </c>
      <c r="T41" s="3">
        <v>24.447268000000001</v>
      </c>
      <c r="U41" s="3">
        <v>21.889191</v>
      </c>
      <c r="V41" s="3">
        <v>33.150084999999997</v>
      </c>
      <c r="W41" s="3">
        <v>22.956714999999999</v>
      </c>
      <c r="X41" s="3">
        <v>20.728702999999999</v>
      </c>
      <c r="Y41" s="3">
        <v>29.594380999999998</v>
      </c>
      <c r="Z41" s="3">
        <v>31.125633000000001</v>
      </c>
      <c r="AA41" s="3">
        <v>28.366371000000001</v>
      </c>
      <c r="AB41" s="3">
        <v>22.365185</v>
      </c>
      <c r="AC41" s="3">
        <v>25.939211</v>
      </c>
      <c r="AD41" s="3">
        <v>26.061256</v>
      </c>
      <c r="AE41" s="3">
        <v>26.467061999999999</v>
      </c>
      <c r="AF41" s="3">
        <v>28.168257000000001</v>
      </c>
      <c r="AG41" s="3">
        <v>26.482695</v>
      </c>
      <c r="AH41" s="3">
        <v>24.247681</v>
      </c>
      <c r="AI41" s="3">
        <v>30.844021000000001</v>
      </c>
      <c r="AJ41" s="3">
        <v>19.509025999999999</v>
      </c>
      <c r="AK41" s="3">
        <v>25.723766000000001</v>
      </c>
      <c r="AL41" s="3">
        <v>32.778168000000001</v>
      </c>
      <c r="AM41" s="3">
        <v>26.602765999999999</v>
      </c>
      <c r="AN41" s="3">
        <v>21.520247999999999</v>
      </c>
      <c r="AO41" s="3">
        <v>26.088501000000001</v>
      </c>
      <c r="AP41" s="3">
        <v>20.533128999999999</v>
      </c>
      <c r="AQ41" s="3">
        <v>24.194139</v>
      </c>
      <c r="AR41" s="3">
        <v>29.370531</v>
      </c>
      <c r="AS41" s="3">
        <v>29.119161999999999</v>
      </c>
      <c r="AT41" s="3">
        <v>32.605305000000001</v>
      </c>
      <c r="AU41" s="3">
        <v>34.003295999999999</v>
      </c>
      <c r="AV41" s="3">
        <v>20.893969999999999</v>
      </c>
      <c r="AW41" s="3">
        <v>18.858371999999999</v>
      </c>
      <c r="AX41" s="3">
        <v>30.491326999999998</v>
      </c>
      <c r="AY41" s="3">
        <v>33.110698999999997</v>
      </c>
      <c r="AZ41" s="3">
        <v>29.252184</v>
      </c>
      <c r="BA41" s="3">
        <v>24.530798000000001</v>
      </c>
      <c r="BB41" s="3">
        <v>24.658809999999999</v>
      </c>
      <c r="BC41" s="3">
        <v>20.947013999999999</v>
      </c>
      <c r="BD41" s="3">
        <v>30.647131000000002</v>
      </c>
      <c r="BE41" s="3">
        <v>28.92371</v>
      </c>
      <c r="BF41" s="3">
        <v>34.881557000000001</v>
      </c>
      <c r="BG41" s="3">
        <v>41.805911999999999</v>
      </c>
      <c r="BH41" s="3">
        <v>28.689216999999999</v>
      </c>
      <c r="BI41" s="3">
        <v>29.152525000000001</v>
      </c>
      <c r="BJ41" s="3">
        <v>27.178370999999999</v>
      </c>
      <c r="BK41" s="3">
        <v>25.953783000000001</v>
      </c>
      <c r="BL41" s="3">
        <v>29.220455000000001</v>
      </c>
      <c r="BM41" s="3">
        <v>24.904909</v>
      </c>
      <c r="BN41" s="3">
        <v>24.843226999999999</v>
      </c>
      <c r="BO41" s="3">
        <v>23.394203000000001</v>
      </c>
      <c r="BP41" s="3">
        <v>30.309044</v>
      </c>
      <c r="BQ41" s="3">
        <v>25.322427999999999</v>
      </c>
      <c r="BR41" s="3">
        <v>25.766290999999999</v>
      </c>
      <c r="BS41" s="3">
        <v>28.821736999999999</v>
      </c>
      <c r="BT41" s="3">
        <v>22.605343000000001</v>
      </c>
      <c r="BU41" s="3">
        <v>27.383278000000001</v>
      </c>
      <c r="BV41" s="3">
        <v>21.801003000000001</v>
      </c>
      <c r="BW41" s="3">
        <v>29.832411</v>
      </c>
      <c r="BX41" s="3">
        <v>33.385193000000001</v>
      </c>
      <c r="BY41" s="3">
        <v>43.351264999999998</v>
      </c>
      <c r="BZ41" s="3">
        <v>30.165700999999999</v>
      </c>
      <c r="CA41" s="3">
        <v>23.768730000000001</v>
      </c>
      <c r="CB41" s="3">
        <v>25.120176000000001</v>
      </c>
      <c r="CC41" s="3">
        <v>32.784205999999998</v>
      </c>
      <c r="CD41" s="3">
        <v>31.112559999999998</v>
      </c>
      <c r="CE41" s="3">
        <v>35.552501999999997</v>
      </c>
      <c r="CF41" s="3">
        <v>34.610824999999998</v>
      </c>
      <c r="CG41" s="3">
        <v>24.400499</v>
      </c>
      <c r="CH41" s="3">
        <v>35.767124000000003</v>
      </c>
      <c r="CI41" s="3">
        <v>22.783764000000001</v>
      </c>
      <c r="CJ41" s="3">
        <v>18.507304999999999</v>
      </c>
      <c r="CK41" s="3">
        <v>25.947068999999999</v>
      </c>
      <c r="CL41" s="3">
        <v>17.65427</v>
      </c>
      <c r="CM41" s="3">
        <v>22.502199000000001</v>
      </c>
      <c r="CN41" s="3">
        <v>32.377270000000003</v>
      </c>
      <c r="CO41" s="3">
        <v>28.382131999999999</v>
      </c>
      <c r="CP41" s="3">
        <v>25.992611</v>
      </c>
      <c r="CQ41" s="3">
        <v>23.164380999999999</v>
      </c>
      <c r="CR41" s="3">
        <v>26.271851999999999</v>
      </c>
      <c r="CS41" s="3">
        <v>32.062430999999997</v>
      </c>
      <c r="CT41" s="3">
        <v>19.466415000000001</v>
      </c>
      <c r="CU41" s="3">
        <v>21.340612</v>
      </c>
      <c r="CV41" s="3">
        <v>27.499838</v>
      </c>
      <c r="CW41" s="3">
        <v>27.999672</v>
      </c>
      <c r="CX41" s="3">
        <v>36.797195000000002</v>
      </c>
      <c r="CY41" s="3">
        <v>26.097591000000001</v>
      </c>
      <c r="CZ41" s="3">
        <v>25.959961</v>
      </c>
      <c r="DA41" s="3">
        <v>20.199141999999998</v>
      </c>
      <c r="DB41" s="3">
        <v>26.668907000000001</v>
      </c>
      <c r="DC41" s="3">
        <v>16.919208999999999</v>
      </c>
      <c r="DD41" s="3">
        <v>29.311540999999998</v>
      </c>
      <c r="DE41" s="3">
        <v>21.806778000000001</v>
      </c>
      <c r="DF41" s="3">
        <v>26.818110999999998</v>
      </c>
      <c r="DG41" s="3">
        <v>31.288436999999998</v>
      </c>
      <c r="DH41" s="3">
        <v>21.487843999999999</v>
      </c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G42" s="3"/>
      <c r="H42" s="3"/>
      <c r="I42" s="3"/>
      <c r="J42" s="3"/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D43" t="s">
        <v>7</v>
      </c>
      <c r="E43" t="s">
        <v>6</v>
      </c>
      <c r="F43">
        <f>COUNT(M43:GJ43)</f>
        <v>100</v>
      </c>
      <c r="G43" s="3">
        <f>AVERAGE(M43:GJ43)</f>
        <v>48.870089590000013</v>
      </c>
      <c r="H43" s="3">
        <f>MAX(M43:GJ43)</f>
        <v>59.135792000000002</v>
      </c>
      <c r="I43" s="3">
        <f>MIN(M43:GJ43)</f>
        <v>36.351246000000003</v>
      </c>
      <c r="J43" s="3">
        <f>_xlfn.STDEV.P(M43:GJ43)</f>
        <v>4.8641370889041529</v>
      </c>
      <c r="K43" s="3">
        <f>_xlfn.VAR.S(M43:GJ43)</f>
        <v>23.898817797629263</v>
      </c>
      <c r="M43" s="3">
        <v>42.553406000000003</v>
      </c>
      <c r="N43" s="3">
        <v>38.569949999999999</v>
      </c>
      <c r="O43" s="3">
        <v>41.710189999999997</v>
      </c>
      <c r="P43" s="3">
        <v>47.478240999999997</v>
      </c>
      <c r="Q43" s="3">
        <v>47.791030999999997</v>
      </c>
      <c r="R43" s="3">
        <v>42.140335</v>
      </c>
      <c r="S43" s="3">
        <v>38.904167000000001</v>
      </c>
      <c r="T43" s="3">
        <v>42.094486000000003</v>
      </c>
      <c r="U43" s="3">
        <v>36.792973000000003</v>
      </c>
      <c r="V43" s="3">
        <v>38.836933000000002</v>
      </c>
      <c r="W43" s="3">
        <v>44.919860999999997</v>
      </c>
      <c r="X43" s="3">
        <v>43.335979000000002</v>
      </c>
      <c r="Y43" s="3">
        <v>48.529102000000002</v>
      </c>
      <c r="Z43" s="3">
        <v>45.843730999999998</v>
      </c>
      <c r="AA43" s="3">
        <v>49.599342</v>
      </c>
      <c r="AB43" s="3">
        <v>40.106921999999997</v>
      </c>
      <c r="AC43" s="3">
        <v>45.172356000000001</v>
      </c>
      <c r="AD43" s="3">
        <v>36.351246000000003</v>
      </c>
      <c r="AE43" s="3">
        <v>42.064647999999998</v>
      </c>
      <c r="AF43" s="3">
        <v>43.000445999999997</v>
      </c>
      <c r="AG43" s="3">
        <v>44.383713</v>
      </c>
      <c r="AH43" s="3">
        <v>36.837848999999999</v>
      </c>
      <c r="AI43" s="3">
        <v>39.671028</v>
      </c>
      <c r="AJ43" s="3">
        <v>45.390163000000001</v>
      </c>
      <c r="AK43" s="3">
        <v>43.612217000000001</v>
      </c>
      <c r="AL43" s="3">
        <v>47.871284000000003</v>
      </c>
      <c r="AM43" s="3">
        <v>46.653046000000003</v>
      </c>
      <c r="AN43" s="3">
        <v>49.296902000000003</v>
      </c>
      <c r="AO43" s="3">
        <v>50.637444000000002</v>
      </c>
      <c r="AP43" s="3">
        <v>46.578358000000001</v>
      </c>
      <c r="AQ43" s="3">
        <v>47.073867999999997</v>
      </c>
      <c r="AR43" s="3">
        <v>50.893700000000003</v>
      </c>
      <c r="AS43" s="3">
        <v>49.234527999999997</v>
      </c>
      <c r="AT43" s="3">
        <v>49.436981000000003</v>
      </c>
      <c r="AU43" s="3">
        <v>52.471859000000002</v>
      </c>
      <c r="AV43" s="3">
        <v>50.834595</v>
      </c>
      <c r="AW43" s="3">
        <v>48.483311</v>
      </c>
      <c r="AX43" s="3">
        <v>51.912022</v>
      </c>
      <c r="AY43" s="3">
        <v>52.327388999999997</v>
      </c>
      <c r="AZ43" s="3">
        <v>50.630146000000003</v>
      </c>
      <c r="BA43" s="3">
        <v>46.461227000000001</v>
      </c>
      <c r="BB43" s="3">
        <v>51.333599</v>
      </c>
      <c r="BC43" s="3">
        <v>48.277656999999998</v>
      </c>
      <c r="BD43" s="3">
        <v>52.908439999999999</v>
      </c>
      <c r="BE43" s="3">
        <v>51.197696999999998</v>
      </c>
      <c r="BF43" s="3">
        <v>52.129742</v>
      </c>
      <c r="BG43" s="3">
        <v>47.562652999999997</v>
      </c>
      <c r="BH43" s="3">
        <v>40.725788000000001</v>
      </c>
      <c r="BI43" s="3">
        <v>45.179867000000002</v>
      </c>
      <c r="BJ43" s="3">
        <v>50.563079999999999</v>
      </c>
      <c r="BK43" s="3">
        <v>50.498238000000001</v>
      </c>
      <c r="BL43" s="3">
        <v>47.501590999999998</v>
      </c>
      <c r="BM43" s="3">
        <v>52.615397999999999</v>
      </c>
      <c r="BN43" s="3">
        <v>52.292603</v>
      </c>
      <c r="BO43" s="3">
        <v>51.109786999999997</v>
      </c>
      <c r="BP43" s="3">
        <v>53.064838000000002</v>
      </c>
      <c r="BQ43" s="3">
        <v>46.716312000000002</v>
      </c>
      <c r="BR43" s="3">
        <v>48.409218000000003</v>
      </c>
      <c r="BS43" s="3">
        <v>56.393894000000003</v>
      </c>
      <c r="BT43" s="3">
        <v>49.911048999999998</v>
      </c>
      <c r="BU43" s="3">
        <v>51.015056999999999</v>
      </c>
      <c r="BV43" s="3">
        <v>49.219017000000001</v>
      </c>
      <c r="BW43" s="3">
        <v>53.281928999999998</v>
      </c>
      <c r="BX43" s="3">
        <v>48.847926999999999</v>
      </c>
      <c r="BY43" s="3">
        <v>43.231105999999997</v>
      </c>
      <c r="BZ43" s="3">
        <v>51.335788999999998</v>
      </c>
      <c r="CA43" s="3">
        <v>51.759647000000001</v>
      </c>
      <c r="CB43" s="3">
        <v>50.196666999999998</v>
      </c>
      <c r="CC43" s="3">
        <v>54.426291999999997</v>
      </c>
      <c r="CD43" s="3">
        <v>51.513908000000001</v>
      </c>
      <c r="CE43" s="3">
        <v>53.978718000000001</v>
      </c>
      <c r="CF43" s="3">
        <v>51.932651999999997</v>
      </c>
      <c r="CG43" s="3">
        <v>52.443458999999997</v>
      </c>
      <c r="CH43" s="3">
        <v>49.385773</v>
      </c>
      <c r="CI43" s="3">
        <v>53.957419999999999</v>
      </c>
      <c r="CJ43" s="3">
        <v>51.219127999999998</v>
      </c>
      <c r="CK43" s="3">
        <v>52.511738000000001</v>
      </c>
      <c r="CL43" s="3">
        <v>54.597813000000002</v>
      </c>
      <c r="CM43" s="3">
        <v>59.135792000000002</v>
      </c>
      <c r="CN43" s="3">
        <v>52.609650000000002</v>
      </c>
      <c r="CO43" s="3">
        <v>52.117137999999997</v>
      </c>
      <c r="CP43" s="3">
        <v>51.462524000000002</v>
      </c>
      <c r="CQ43" s="3">
        <v>55.313853999999999</v>
      </c>
      <c r="CR43" s="3">
        <v>53.994225</v>
      </c>
      <c r="CS43" s="3">
        <v>53.399146999999999</v>
      </c>
      <c r="CT43" s="3">
        <v>55.174526</v>
      </c>
      <c r="CU43" s="3">
        <v>51.999901000000001</v>
      </c>
      <c r="CV43" s="3">
        <v>57.691932999999999</v>
      </c>
      <c r="CW43" s="3">
        <v>45.894913000000003</v>
      </c>
      <c r="CX43" s="3">
        <v>48.743842999999998</v>
      </c>
      <c r="CY43" s="3">
        <v>49.003563</v>
      </c>
      <c r="CZ43" s="3">
        <v>55.376007000000001</v>
      </c>
      <c r="DA43" s="3">
        <v>51.772922999999999</v>
      </c>
      <c r="DB43" s="3">
        <v>51.741019999999999</v>
      </c>
      <c r="DC43" s="3">
        <v>50.674232000000003</v>
      </c>
      <c r="DD43" s="3">
        <v>56.222754999999999</v>
      </c>
      <c r="DE43" s="3">
        <v>49.058044000000002</v>
      </c>
      <c r="DF43" s="3">
        <v>51.115112000000003</v>
      </c>
      <c r="DG43" s="3">
        <v>53.790931999999998</v>
      </c>
      <c r="DH43" s="3">
        <v>50.984459000000001</v>
      </c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G44" s="3"/>
      <c r="H44" s="3"/>
      <c r="I44" s="3"/>
      <c r="J44" s="3"/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D45" t="s">
        <v>10</v>
      </c>
      <c r="E45" t="s">
        <v>6</v>
      </c>
      <c r="F45">
        <f>COUNT(M45:GJ45)</f>
        <v>100</v>
      </c>
      <c r="G45" s="3">
        <f>AVERAGE(M45:GJ45)</f>
        <v>68.591218069999982</v>
      </c>
      <c r="H45" s="3">
        <f>MAX(M45:GJ45)</f>
        <v>77.519576999999998</v>
      </c>
      <c r="I45" s="3">
        <f>MIN(M45:GJ45)</f>
        <v>58.053482000000002</v>
      </c>
      <c r="J45" s="3">
        <f>_xlfn.STDEV.P(M45:GJ45)</f>
        <v>4.0505056198277103</v>
      </c>
      <c r="K45" s="3">
        <f>_xlfn.VAR.S(M45:GJ45)</f>
        <v>16.572318965915017</v>
      </c>
      <c r="M45" s="3">
        <v>72.579926</v>
      </c>
      <c r="N45" s="3">
        <v>71.517264999999995</v>
      </c>
      <c r="O45" s="3">
        <v>66.734618999999995</v>
      </c>
      <c r="P45" s="3">
        <v>69.862740000000002</v>
      </c>
      <c r="Q45" s="3">
        <v>65.193923999999996</v>
      </c>
      <c r="R45" s="3">
        <v>60.151546000000003</v>
      </c>
      <c r="S45" s="3">
        <v>70.444159999999997</v>
      </c>
      <c r="T45" s="3">
        <v>61.739975000000001</v>
      </c>
      <c r="U45" s="3">
        <v>70.240700000000004</v>
      </c>
      <c r="V45" s="3">
        <v>72.410186999999993</v>
      </c>
      <c r="W45" s="3">
        <v>74.865868000000006</v>
      </c>
      <c r="X45" s="3">
        <v>66.144112000000007</v>
      </c>
      <c r="Y45" s="3">
        <v>72.391327000000004</v>
      </c>
      <c r="Z45" s="3">
        <v>70.395477</v>
      </c>
      <c r="AA45" s="3">
        <v>67.499923999999993</v>
      </c>
      <c r="AB45" s="3">
        <v>73.961151000000001</v>
      </c>
      <c r="AC45" s="3">
        <v>73.875434999999996</v>
      </c>
      <c r="AD45" s="3">
        <v>71.048843000000005</v>
      </c>
      <c r="AE45" s="3">
        <v>65.225562999999994</v>
      </c>
      <c r="AF45" s="3">
        <v>63.075741000000001</v>
      </c>
      <c r="AG45" s="3">
        <v>73.612823000000006</v>
      </c>
      <c r="AH45" s="3">
        <v>68.799796999999998</v>
      </c>
      <c r="AI45" s="3">
        <v>63.851340999999998</v>
      </c>
      <c r="AJ45" s="3">
        <v>61.646217</v>
      </c>
      <c r="AK45" s="3">
        <v>74.200942999999995</v>
      </c>
      <c r="AL45" s="3">
        <v>64.846526999999995</v>
      </c>
      <c r="AM45" s="3">
        <v>69.344588999999999</v>
      </c>
      <c r="AN45" s="3">
        <v>65.502601999999996</v>
      </c>
      <c r="AO45" s="3">
        <v>73.772812000000002</v>
      </c>
      <c r="AP45" s="3">
        <v>64.348502999999994</v>
      </c>
      <c r="AQ45" s="3">
        <v>61.446392000000003</v>
      </c>
      <c r="AR45" s="3">
        <v>60.586590000000001</v>
      </c>
      <c r="AS45" s="3">
        <v>64.521811999999997</v>
      </c>
      <c r="AT45" s="3">
        <v>72.585350000000005</v>
      </c>
      <c r="AU45" s="3">
        <v>70.816993999999994</v>
      </c>
      <c r="AV45" s="3">
        <v>65.365250000000003</v>
      </c>
      <c r="AW45" s="3">
        <v>66.450873999999999</v>
      </c>
      <c r="AX45" s="3">
        <v>68.220123000000001</v>
      </c>
      <c r="AY45" s="3">
        <v>65.498199</v>
      </c>
      <c r="AZ45" s="3">
        <v>70.053557999999995</v>
      </c>
      <c r="BA45" s="3">
        <v>74.436394000000007</v>
      </c>
      <c r="BB45" s="3">
        <v>70.033325000000005</v>
      </c>
      <c r="BC45" s="3">
        <v>69.881827999999999</v>
      </c>
      <c r="BD45" s="3">
        <v>68.639365999999995</v>
      </c>
      <c r="BE45" s="3">
        <v>67.013283000000001</v>
      </c>
      <c r="BF45" s="3">
        <v>76.423973000000004</v>
      </c>
      <c r="BG45" s="3">
        <v>70.441474999999997</v>
      </c>
      <c r="BH45" s="3">
        <v>60.931362</v>
      </c>
      <c r="BI45" s="3">
        <v>70.369156000000004</v>
      </c>
      <c r="BJ45" s="3">
        <v>72.055594999999997</v>
      </c>
      <c r="BK45" s="3">
        <v>72.104720999999998</v>
      </c>
      <c r="BL45" s="3">
        <v>62.288311</v>
      </c>
      <c r="BM45" s="3">
        <v>69.090125999999998</v>
      </c>
      <c r="BN45" s="3">
        <v>68.397568000000007</v>
      </c>
      <c r="BO45" s="3">
        <v>67.819641000000004</v>
      </c>
      <c r="BP45" s="3">
        <v>61.557116999999998</v>
      </c>
      <c r="BQ45" s="3">
        <v>67.193031000000005</v>
      </c>
      <c r="BR45" s="3">
        <v>65.632721000000004</v>
      </c>
      <c r="BS45" s="3">
        <v>66.772223999999994</v>
      </c>
      <c r="BT45" s="3">
        <v>71.892212000000001</v>
      </c>
      <c r="BU45" s="3">
        <v>77.519576999999998</v>
      </c>
      <c r="BV45" s="3">
        <v>65.904105999999999</v>
      </c>
      <c r="BW45" s="3">
        <v>68.164603999999997</v>
      </c>
      <c r="BX45" s="3">
        <v>66.666313000000002</v>
      </c>
      <c r="BY45" s="3">
        <v>68.724556000000007</v>
      </c>
      <c r="BZ45" s="3">
        <v>70.411736000000005</v>
      </c>
      <c r="CA45" s="3">
        <v>71.798232999999996</v>
      </c>
      <c r="CB45" s="3">
        <v>70.648910999999998</v>
      </c>
      <c r="CC45" s="3">
        <v>70.697204999999997</v>
      </c>
      <c r="CD45" s="3">
        <v>61.876846</v>
      </c>
      <c r="CE45" s="3">
        <v>73.103667999999999</v>
      </c>
      <c r="CF45" s="3">
        <v>68.030227999999994</v>
      </c>
      <c r="CG45" s="3">
        <v>67.202667000000005</v>
      </c>
      <c r="CH45" s="3">
        <v>71.329932999999997</v>
      </c>
      <c r="CI45" s="3">
        <v>70.374190999999996</v>
      </c>
      <c r="CJ45" s="3">
        <v>76.338256999999999</v>
      </c>
      <c r="CK45" s="3">
        <v>70.843154999999996</v>
      </c>
      <c r="CL45" s="3">
        <v>68.437576000000007</v>
      </c>
      <c r="CM45" s="3">
        <v>70.456230000000005</v>
      </c>
      <c r="CN45" s="3">
        <v>58.053482000000002</v>
      </c>
      <c r="CO45" s="3">
        <v>61.046604000000002</v>
      </c>
      <c r="CP45" s="3">
        <v>66.136177000000004</v>
      </c>
      <c r="CQ45" s="3">
        <v>64.767753999999996</v>
      </c>
      <c r="CR45" s="3">
        <v>69.463058000000004</v>
      </c>
      <c r="CS45" s="3">
        <v>68.327804999999998</v>
      </c>
      <c r="CT45" s="3">
        <v>72.860077000000004</v>
      </c>
      <c r="CU45" s="3">
        <v>65.765181999999996</v>
      </c>
      <c r="CV45" s="3">
        <v>68.795128000000005</v>
      </c>
      <c r="CW45" s="3">
        <v>66.293785</v>
      </c>
      <c r="CX45" s="3">
        <v>67.572768999999994</v>
      </c>
      <c r="CY45" s="3">
        <v>72.281707999999995</v>
      </c>
      <c r="CZ45" s="3">
        <v>73.150154000000001</v>
      </c>
      <c r="DA45" s="3">
        <v>73.280501999999998</v>
      </c>
      <c r="DB45" s="3">
        <v>64.745033000000006</v>
      </c>
      <c r="DC45" s="3">
        <v>66.820403999999996</v>
      </c>
      <c r="DD45" s="3">
        <v>71.546501000000006</v>
      </c>
      <c r="DE45" s="3">
        <v>70.434676999999994</v>
      </c>
      <c r="DF45" s="3">
        <v>65.979484999999997</v>
      </c>
      <c r="DG45" s="3">
        <v>72.744575999999995</v>
      </c>
      <c r="DH45" s="3">
        <v>72.725746000000001</v>
      </c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G46" s="3"/>
      <c r="H46" s="3"/>
      <c r="I46" s="3"/>
      <c r="J46" s="3"/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D47" t="s">
        <v>11</v>
      </c>
      <c r="E47" t="s">
        <v>6</v>
      </c>
      <c r="F47">
        <f>COUNT(M47:GJ47)</f>
        <v>100</v>
      </c>
      <c r="G47" s="3">
        <f>AVERAGE(M47:GJ47)</f>
        <v>73.55197321</v>
      </c>
      <c r="H47" s="3">
        <f>MAX(M47:GJ47)</f>
        <v>83.620682000000002</v>
      </c>
      <c r="I47" s="3">
        <f>MIN(M47:GJ47)</f>
        <v>62.383049</v>
      </c>
      <c r="J47" s="3">
        <f>_xlfn.STDEV.P(M47:GJ47)</f>
        <v>4.6915174295851996</v>
      </c>
      <c r="K47" s="3">
        <f>_xlfn.VAR.S(M47:GJ47)</f>
        <v>22.232662416264361</v>
      </c>
      <c r="M47" s="3">
        <v>71.128112999999999</v>
      </c>
      <c r="N47" s="3">
        <v>68.413482999999999</v>
      </c>
      <c r="O47" s="3">
        <v>69.865302999999997</v>
      </c>
      <c r="P47" s="3">
        <v>71.611710000000002</v>
      </c>
      <c r="Q47" s="3">
        <v>75.556922999999998</v>
      </c>
      <c r="R47" s="3">
        <v>69.712990000000005</v>
      </c>
      <c r="S47" s="3">
        <v>70.920867999999999</v>
      </c>
      <c r="T47" s="3">
        <v>71.715508</v>
      </c>
      <c r="U47" s="3">
        <v>69.895934999999994</v>
      </c>
      <c r="V47" s="3">
        <v>74.649215999999996</v>
      </c>
      <c r="W47" s="3">
        <v>69.520026999999999</v>
      </c>
      <c r="X47" s="3">
        <v>63.662571</v>
      </c>
      <c r="Y47" s="3">
        <v>70.465217999999993</v>
      </c>
      <c r="Z47" s="3">
        <v>74.226303000000001</v>
      </c>
      <c r="AA47" s="3">
        <v>70.667603</v>
      </c>
      <c r="AB47" s="3">
        <v>66.993110999999999</v>
      </c>
      <c r="AC47" s="3">
        <v>62.383049</v>
      </c>
      <c r="AD47" s="3">
        <v>63.752972</v>
      </c>
      <c r="AE47" s="3">
        <v>83.620682000000002</v>
      </c>
      <c r="AF47" s="3">
        <v>70.708168000000001</v>
      </c>
      <c r="AG47" s="3">
        <v>74.730041999999997</v>
      </c>
      <c r="AH47" s="3">
        <v>67.999404999999996</v>
      </c>
      <c r="AI47" s="3">
        <v>65.101151000000002</v>
      </c>
      <c r="AJ47" s="3">
        <v>78.786963999999998</v>
      </c>
      <c r="AK47" s="3">
        <v>72.261902000000006</v>
      </c>
      <c r="AL47" s="3">
        <v>69.018897999999993</v>
      </c>
      <c r="AM47" s="3">
        <v>70.845802000000006</v>
      </c>
      <c r="AN47" s="3">
        <v>64.070594999999997</v>
      </c>
      <c r="AO47" s="3">
        <v>71.887207000000004</v>
      </c>
      <c r="AP47" s="3">
        <v>76.883544999999998</v>
      </c>
      <c r="AQ47" s="3">
        <v>70.745536999999999</v>
      </c>
      <c r="AR47" s="3">
        <v>69.308937</v>
      </c>
      <c r="AS47" s="3">
        <v>71.483917000000005</v>
      </c>
      <c r="AT47" s="3">
        <v>73.433104999999998</v>
      </c>
      <c r="AU47" s="3">
        <v>76.447852999999995</v>
      </c>
      <c r="AV47" s="3">
        <v>73.648308</v>
      </c>
      <c r="AW47" s="3">
        <v>74.093056000000004</v>
      </c>
      <c r="AX47" s="3">
        <v>72.235809000000003</v>
      </c>
      <c r="AY47" s="3">
        <v>81.630402000000004</v>
      </c>
      <c r="AZ47" s="3">
        <v>75.617537999999996</v>
      </c>
      <c r="BA47" s="3">
        <v>68.050040999999993</v>
      </c>
      <c r="BB47" s="3">
        <v>68.247153999999995</v>
      </c>
      <c r="BC47" s="3">
        <v>67.097969000000006</v>
      </c>
      <c r="BD47" s="3">
        <v>73.130454999999998</v>
      </c>
      <c r="BE47" s="3">
        <v>72.741127000000006</v>
      </c>
      <c r="BF47" s="3">
        <v>66.108421000000007</v>
      </c>
      <c r="BG47" s="3">
        <v>71.433197000000007</v>
      </c>
      <c r="BH47" s="3">
        <v>79.803107999999995</v>
      </c>
      <c r="BI47" s="3">
        <v>78.194610999999995</v>
      </c>
      <c r="BJ47" s="3">
        <v>76.078727999999998</v>
      </c>
      <c r="BK47" s="3">
        <v>72.868651999999997</v>
      </c>
      <c r="BL47" s="3">
        <v>73.392432999999997</v>
      </c>
      <c r="BM47" s="3">
        <v>68.611716999999999</v>
      </c>
      <c r="BN47" s="3">
        <v>75.388519000000002</v>
      </c>
      <c r="BO47" s="3">
        <v>78.901047000000005</v>
      </c>
      <c r="BP47" s="3">
        <v>70.218079000000003</v>
      </c>
      <c r="BQ47" s="3">
        <v>75.296683999999999</v>
      </c>
      <c r="BR47" s="3">
        <v>73.442856000000006</v>
      </c>
      <c r="BS47" s="3">
        <v>76.479324000000005</v>
      </c>
      <c r="BT47" s="3">
        <v>81.427429000000004</v>
      </c>
      <c r="BU47" s="3">
        <v>78.693900999999997</v>
      </c>
      <c r="BV47" s="3">
        <v>81.735619</v>
      </c>
      <c r="BW47" s="3">
        <v>78.574005</v>
      </c>
      <c r="BX47" s="3">
        <v>76.921752999999995</v>
      </c>
      <c r="BY47" s="3">
        <v>74.997642999999997</v>
      </c>
      <c r="BZ47" s="3">
        <v>78.741539000000003</v>
      </c>
      <c r="CA47" s="3">
        <v>64.597740000000002</v>
      </c>
      <c r="CB47" s="3">
        <v>73.333732999999995</v>
      </c>
      <c r="CC47" s="3">
        <v>76.914246000000006</v>
      </c>
      <c r="CD47" s="3">
        <v>75.753601000000003</v>
      </c>
      <c r="CE47" s="3">
        <v>78.137894000000003</v>
      </c>
      <c r="CF47" s="3">
        <v>77.677727000000004</v>
      </c>
      <c r="CG47" s="3">
        <v>76.311583999999996</v>
      </c>
      <c r="CH47" s="3">
        <v>81.174225000000007</v>
      </c>
      <c r="CI47" s="3">
        <v>72.938049000000007</v>
      </c>
      <c r="CJ47" s="3">
        <v>72.774497999999994</v>
      </c>
      <c r="CK47" s="3">
        <v>76.427147000000005</v>
      </c>
      <c r="CL47" s="3">
        <v>65.258658999999994</v>
      </c>
      <c r="CM47" s="3">
        <v>75.848427000000001</v>
      </c>
      <c r="CN47" s="3">
        <v>79.885543999999996</v>
      </c>
      <c r="CO47" s="3">
        <v>70.204398999999995</v>
      </c>
      <c r="CP47" s="3">
        <v>74.668166999999997</v>
      </c>
      <c r="CQ47" s="3">
        <v>70.391113000000004</v>
      </c>
      <c r="CR47" s="3">
        <v>78.657486000000006</v>
      </c>
      <c r="CS47" s="3">
        <v>77.338188000000002</v>
      </c>
      <c r="CT47" s="3">
        <v>81.573775999999995</v>
      </c>
      <c r="CU47" s="3">
        <v>76.934989999999999</v>
      </c>
      <c r="CV47" s="3">
        <v>72.022896000000003</v>
      </c>
      <c r="CW47" s="3">
        <v>81.554230000000004</v>
      </c>
      <c r="CX47" s="3">
        <v>73.040642000000005</v>
      </c>
      <c r="CY47" s="3">
        <v>80.719345000000004</v>
      </c>
      <c r="CZ47" s="3">
        <v>74.627883999999995</v>
      </c>
      <c r="DA47" s="3">
        <v>66.068695000000005</v>
      </c>
      <c r="DB47" s="3">
        <v>74.913878999999994</v>
      </c>
      <c r="DC47" s="3">
        <v>76.567192000000006</v>
      </c>
      <c r="DD47" s="3">
        <v>77.726257000000004</v>
      </c>
      <c r="DE47" s="3">
        <v>75.613342000000003</v>
      </c>
      <c r="DF47" s="3">
        <v>77.616248999999996</v>
      </c>
      <c r="DG47" s="3">
        <v>76.920494000000005</v>
      </c>
      <c r="DH47" s="3">
        <v>74.729286000000002</v>
      </c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9" spans="2:207" x14ac:dyDescent="0.2">
      <c r="D49" s="1"/>
    </row>
    <row r="50" spans="2:207" x14ac:dyDescent="0.2">
      <c r="B50" s="2"/>
      <c r="G50" s="2"/>
      <c r="H50" s="3"/>
      <c r="I50" s="3"/>
      <c r="J50" s="3"/>
      <c r="K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/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/>
      <c r="G52" s="3"/>
      <c r="H52" s="3"/>
      <c r="I52" s="3"/>
      <c r="J52" s="3"/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G59" s="3"/>
      <c r="H59" s="3"/>
      <c r="I59" s="3"/>
      <c r="J59" s="3"/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 spans="2:207" x14ac:dyDescent="0.2">
      <c r="G60" s="3"/>
      <c r="H60" s="3"/>
      <c r="I60" s="3"/>
      <c r="J60" s="3"/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 spans="2:207" x14ac:dyDescent="0.2">
      <c r="G61" s="3"/>
      <c r="H61" s="3"/>
      <c r="I61" s="3"/>
      <c r="J61" s="3"/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 spans="2:207" x14ac:dyDescent="0.2">
      <c r="G62" s="3"/>
      <c r="H62" s="3"/>
      <c r="I62" s="3"/>
      <c r="J62" s="3"/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2026-03-05T19:28:29Z</dcterms:modified>
</cp:coreProperties>
</file>