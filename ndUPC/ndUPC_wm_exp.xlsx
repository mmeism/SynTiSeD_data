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me02/Documents/SynTiSeD_data/ndUPC/"/>
    </mc:Choice>
  </mc:AlternateContent>
  <xr:revisionPtr revIDLastSave="0" documentId="13_ncr:1_{8BEF554E-6898-1348-9F47-8FA9FF7D43D5}" xr6:coauthVersionLast="47" xr6:coauthVersionMax="47" xr10:uidLastSave="{00000000-0000-0000-0000-000000000000}"/>
  <bookViews>
    <workbookView xWindow="0" yWindow="500" windowWidth="29040" windowHeight="17640" xr2:uid="{FC2E3554-D7D3-4A9E-B1F9-EEFBB52B231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94" i="1" l="1"/>
  <c r="J94" i="1"/>
  <c r="I94" i="1"/>
  <c r="H94" i="1"/>
  <c r="G94" i="1"/>
  <c r="F94" i="1"/>
  <c r="K92" i="1"/>
  <c r="J92" i="1"/>
  <c r="I92" i="1"/>
  <c r="H92" i="1"/>
  <c r="G92" i="1"/>
  <c r="F92" i="1"/>
  <c r="K90" i="1"/>
  <c r="J90" i="1"/>
  <c r="I90" i="1"/>
  <c r="H90" i="1"/>
  <c r="G90" i="1"/>
  <c r="F90" i="1"/>
  <c r="K88" i="1"/>
  <c r="J88" i="1"/>
  <c r="I88" i="1"/>
  <c r="H88" i="1"/>
  <c r="G88" i="1"/>
  <c r="F88" i="1"/>
  <c r="K86" i="1"/>
  <c r="J86" i="1"/>
  <c r="I86" i="1"/>
  <c r="H86" i="1"/>
  <c r="G86" i="1"/>
  <c r="F86" i="1"/>
  <c r="K82" i="1"/>
  <c r="J82" i="1"/>
  <c r="I82" i="1"/>
  <c r="H82" i="1"/>
  <c r="G82" i="1"/>
  <c r="F82" i="1"/>
  <c r="K80" i="1"/>
  <c r="J80" i="1"/>
  <c r="I80" i="1"/>
  <c r="H80" i="1"/>
  <c r="G80" i="1"/>
  <c r="F80" i="1"/>
  <c r="K78" i="1"/>
  <c r="J78" i="1"/>
  <c r="I78" i="1"/>
  <c r="H78" i="1"/>
  <c r="G78" i="1"/>
  <c r="F78" i="1"/>
  <c r="K76" i="1"/>
  <c r="J76" i="1"/>
  <c r="I76" i="1"/>
  <c r="H76" i="1"/>
  <c r="G76" i="1"/>
  <c r="F76" i="1"/>
  <c r="K74" i="1"/>
  <c r="J74" i="1"/>
  <c r="I74" i="1"/>
  <c r="H74" i="1"/>
  <c r="G74" i="1"/>
  <c r="F74" i="1"/>
  <c r="K70" i="1"/>
  <c r="J70" i="1"/>
  <c r="I70" i="1"/>
  <c r="H70" i="1"/>
  <c r="G70" i="1"/>
  <c r="F70" i="1"/>
  <c r="K68" i="1"/>
  <c r="J68" i="1"/>
  <c r="I68" i="1"/>
  <c r="H68" i="1"/>
  <c r="G68" i="1"/>
  <c r="F68" i="1"/>
  <c r="K66" i="1"/>
  <c r="J66" i="1"/>
  <c r="I66" i="1"/>
  <c r="H66" i="1"/>
  <c r="G66" i="1"/>
  <c r="F66" i="1"/>
  <c r="K64" i="1"/>
  <c r="J64" i="1"/>
  <c r="I64" i="1"/>
  <c r="H64" i="1"/>
  <c r="G64" i="1"/>
  <c r="F64" i="1"/>
  <c r="K62" i="1"/>
  <c r="J62" i="1"/>
  <c r="I62" i="1"/>
  <c r="H62" i="1"/>
  <c r="G62" i="1"/>
  <c r="F62" i="1"/>
  <c r="K58" i="1"/>
  <c r="J58" i="1"/>
  <c r="I58" i="1"/>
  <c r="H58" i="1"/>
  <c r="G58" i="1"/>
  <c r="F58" i="1"/>
  <c r="K56" i="1"/>
  <c r="J56" i="1"/>
  <c r="I56" i="1"/>
  <c r="H56" i="1"/>
  <c r="G56" i="1"/>
  <c r="F56" i="1"/>
  <c r="K54" i="1"/>
  <c r="J54" i="1"/>
  <c r="I54" i="1"/>
  <c r="H54" i="1"/>
  <c r="G54" i="1"/>
  <c r="F54" i="1"/>
  <c r="K52" i="1"/>
  <c r="J52" i="1"/>
  <c r="I52" i="1"/>
  <c r="H52" i="1"/>
  <c r="G52" i="1"/>
  <c r="F52" i="1"/>
  <c r="K50" i="1"/>
  <c r="J50" i="1"/>
  <c r="I50" i="1"/>
  <c r="H50" i="1"/>
  <c r="G50" i="1"/>
  <c r="F50" i="1"/>
  <c r="F14" i="1"/>
  <c r="G14" i="1"/>
  <c r="H14" i="1"/>
  <c r="I14" i="1"/>
  <c r="J14" i="1"/>
  <c r="K14" i="1"/>
  <c r="F16" i="1"/>
  <c r="G16" i="1"/>
  <c r="H16" i="1"/>
  <c r="I16" i="1"/>
  <c r="J16" i="1"/>
  <c r="K16" i="1"/>
  <c r="F18" i="1"/>
  <c r="G18" i="1"/>
  <c r="H18" i="1"/>
  <c r="I18" i="1"/>
  <c r="J18" i="1"/>
  <c r="K18" i="1"/>
  <c r="K46" i="1"/>
  <c r="J46" i="1"/>
  <c r="I46" i="1"/>
  <c r="H46" i="1"/>
  <c r="G46" i="1"/>
  <c r="F46" i="1"/>
  <c r="K44" i="1"/>
  <c r="J44" i="1"/>
  <c r="I44" i="1"/>
  <c r="H44" i="1"/>
  <c r="G44" i="1"/>
  <c r="F44" i="1"/>
  <c r="K42" i="1"/>
  <c r="J42" i="1"/>
  <c r="I42" i="1"/>
  <c r="H42" i="1"/>
  <c r="G42" i="1"/>
  <c r="F42" i="1"/>
  <c r="K40" i="1"/>
  <c r="J40" i="1"/>
  <c r="I40" i="1"/>
  <c r="H40" i="1"/>
  <c r="G40" i="1"/>
  <c r="F40" i="1"/>
  <c r="K38" i="1"/>
  <c r="J38" i="1"/>
  <c r="I38" i="1"/>
  <c r="H38" i="1"/>
  <c r="G38" i="1"/>
  <c r="F38" i="1"/>
  <c r="K34" i="1"/>
  <c r="J34" i="1"/>
  <c r="I34" i="1"/>
  <c r="H34" i="1"/>
  <c r="G34" i="1"/>
  <c r="F34" i="1"/>
  <c r="K32" i="1"/>
  <c r="J32" i="1"/>
  <c r="I32" i="1"/>
  <c r="H32" i="1"/>
  <c r="G32" i="1"/>
  <c r="F32" i="1"/>
  <c r="K30" i="1"/>
  <c r="J30" i="1"/>
  <c r="I30" i="1"/>
  <c r="H30" i="1"/>
  <c r="G30" i="1"/>
  <c r="F30" i="1"/>
  <c r="K28" i="1"/>
  <c r="J28" i="1"/>
  <c r="I28" i="1"/>
  <c r="H28" i="1"/>
  <c r="G28" i="1"/>
  <c r="F28" i="1"/>
  <c r="K26" i="1"/>
  <c r="J26" i="1"/>
  <c r="I26" i="1"/>
  <c r="H26" i="1"/>
  <c r="G26" i="1"/>
  <c r="F26" i="1"/>
  <c r="K22" i="1"/>
  <c r="J22" i="1"/>
  <c r="I22" i="1"/>
  <c r="H22" i="1"/>
  <c r="G22" i="1"/>
  <c r="F22" i="1"/>
  <c r="K20" i="1"/>
  <c r="J20" i="1"/>
  <c r="I20" i="1"/>
  <c r="H20" i="1"/>
  <c r="G20" i="1"/>
  <c r="F20" i="1"/>
  <c r="G6" i="1" l="1"/>
  <c r="G9" i="1"/>
  <c r="G10" i="1"/>
  <c r="G8" i="1"/>
  <c r="G7" i="1"/>
</calcChain>
</file>

<file path=xl/sharedStrings.xml><?xml version="1.0" encoding="utf-8"?>
<sst xmlns="http://schemas.openxmlformats.org/spreadsheetml/2006/main" count="138" uniqueCount="61">
  <si>
    <t>Konfig:</t>
  </si>
  <si>
    <t>MAE</t>
  </si>
  <si>
    <t>DAE</t>
  </si>
  <si>
    <t>RNN</t>
  </si>
  <si>
    <t>WindowGRU</t>
  </si>
  <si>
    <t>Seq2Seq</t>
  </si>
  <si>
    <t>Seq2Point</t>
  </si>
  <si>
    <t>für alle Algorithmen stardart NILM settings</t>
  </si>
  <si>
    <t>NILM Algorithms:</t>
  </si>
  <si>
    <t>Metric</t>
  </si>
  <si>
    <t>Number of exp</t>
  </si>
  <si>
    <t>Mean</t>
  </si>
  <si>
    <t>Max</t>
  </si>
  <si>
    <t>Min</t>
  </si>
  <si>
    <t>Standart deviation</t>
  </si>
  <si>
    <t>Variance</t>
  </si>
  <si>
    <t>Experiments</t>
  </si>
  <si>
    <t>start_time': '2020-01-04'</t>
  </si>
  <si>
    <t>end_time': '2020-01-17'</t>
  </si>
  <si>
    <t>device: washing machine</t>
  </si>
  <si>
    <t>buildings': 3</t>
  </si>
  <si>
    <t>start_time': '2019-12-04'</t>
  </si>
  <si>
    <t>start_time': '2019-12-17'</t>
  </si>
  <si>
    <t>reale Testdaten(hh_03):</t>
  </si>
  <si>
    <t>reale Testdaten(hh_05):</t>
  </si>
  <si>
    <t>buildings': 5</t>
  </si>
  <si>
    <t>start_time': '2019-10-01'</t>
  </si>
  <si>
    <t>end_time': '2019-10-14'</t>
  </si>
  <si>
    <t>buildings': 6</t>
  </si>
  <si>
    <t>start_time': '2019-11-10'</t>
  </si>
  <si>
    <t>end_time': '2019-11-23'</t>
  </si>
  <si>
    <t>reale Testdaten(hh_06):</t>
  </si>
  <si>
    <t>reale Testdaten(hh_09):</t>
  </si>
  <si>
    <t>buildings': 9</t>
  </si>
  <si>
    <t>start_time': '2019-09-07'</t>
  </si>
  <si>
    <t>end_time': '2019-09-20'</t>
  </si>
  <si>
    <t>buildings': 13</t>
  </si>
  <si>
    <t>reale Testdaten(hh_13):</t>
  </si>
  <si>
    <t>buildings': 19</t>
  </si>
  <si>
    <t>buildings': 20</t>
  </si>
  <si>
    <t>reale Testdaten(hh_20):</t>
  </si>
  <si>
    <t>reale Testdaten(hh_19):</t>
  </si>
  <si>
    <t>start_time': '2020-03-12'</t>
  </si>
  <si>
    <t>end_time': '2020-03-25'</t>
  </si>
  <si>
    <t>end_time': '2019-12-30'</t>
  </si>
  <si>
    <t>validierung: Validation from training data (15%)</t>
  </si>
  <si>
    <t>train_synth: (hh_01):</t>
  </si>
  <si>
    <t>train_synth: (hh_15)</t>
  </si>
  <si>
    <t>train_synth: (hh_14)</t>
  </si>
  <si>
    <t>train_synth: (hh_04)</t>
  </si>
  <si>
    <t>RNN_total</t>
  </si>
  <si>
    <t>WindowGRU_total</t>
  </si>
  <si>
    <t>DAE_total</t>
  </si>
  <si>
    <t>Seq2Seq_total</t>
  </si>
  <si>
    <t>Seq2Point_total</t>
  </si>
  <si>
    <t>start_time': '2024-04-01'</t>
  </si>
  <si>
    <t>end_time': '2024-04-14'</t>
  </si>
  <si>
    <t>train: ndUPC_dataset.h5</t>
  </si>
  <si>
    <t>test_real: test_dataset.h5</t>
  </si>
  <si>
    <t>test_dataset.h5</t>
  </si>
  <si>
    <t>MAE_total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</si>
</sst>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quotePrefix="1"/>
    <xf numFmtId="164" fontId="0" fillId="0" borderId="0" xfId="0" applyNumberFormat="1"/>
    <xf numFmtId="0" fontId="0" fillId="0" borderId="0" xfId="0" quotePrefix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24901-35CF-4ECF-B83A-C1F21DC89CAD}">
  <dimension ref="A1:GY94"/>
  <sheetViews>
    <sheetView tabSelected="1" workbookViewId="0">
      <selection activeCell="B12" sqref="B12"/>
    </sheetView>
  </sheetViews>
  <sheetFormatPr baseColWidth="10" defaultRowHeight="15" x14ac:dyDescent="0.2"/>
  <cols>
    <col min="1" max="1" width="36.83203125" customWidth="1"/>
    <col min="2" max="2" width="24.83203125" customWidth="1"/>
    <col min="3" max="3" width="24.5" customWidth="1"/>
    <col min="4" max="4" width="19.33203125" customWidth="1"/>
    <col min="5" max="5" width="10" customWidth="1"/>
    <col min="6" max="6" width="17.6640625" customWidth="1"/>
    <col min="7" max="7" width="18.1640625" customWidth="1"/>
    <col min="8" max="8" width="12.5" customWidth="1"/>
    <col min="9" max="9" width="12.6640625" customWidth="1"/>
    <col min="10" max="10" width="18.83203125" customWidth="1"/>
    <col min="11" max="11" width="14.83203125" customWidth="1"/>
    <col min="12" max="12" width="5.6640625" customWidth="1"/>
    <col min="13" max="13" width="13.33203125" customWidth="1"/>
  </cols>
  <sheetData>
    <row r="1" spans="1:207" x14ac:dyDescent="0.2">
      <c r="A1" s="1" t="s">
        <v>0</v>
      </c>
      <c r="D1" s="1"/>
    </row>
    <row r="2" spans="1:207" x14ac:dyDescent="0.2">
      <c r="A2" t="s">
        <v>19</v>
      </c>
    </row>
    <row r="3" spans="1:207" x14ac:dyDescent="0.2">
      <c r="A3" t="s">
        <v>57</v>
      </c>
      <c r="B3" s="2"/>
      <c r="C3" s="2"/>
      <c r="E3" s="2"/>
      <c r="G3" s="2"/>
      <c r="H3" s="2"/>
      <c r="I3" s="2"/>
      <c r="J3" s="3"/>
      <c r="K3" s="2"/>
      <c r="L3" s="2"/>
    </row>
    <row r="4" spans="1:207" x14ac:dyDescent="0.2">
      <c r="A4" t="s">
        <v>46</v>
      </c>
      <c r="B4" s="2" t="s">
        <v>55</v>
      </c>
      <c r="C4" s="2" t="s">
        <v>56</v>
      </c>
      <c r="E4" s="2"/>
      <c r="G4" s="2"/>
      <c r="H4" s="2"/>
      <c r="I4" s="2"/>
      <c r="J4" s="3"/>
      <c r="K4" s="2"/>
      <c r="L4" s="2"/>
    </row>
    <row r="5" spans="1:207" x14ac:dyDescent="0.2">
      <c r="A5" t="s">
        <v>49</v>
      </c>
      <c r="B5" s="2" t="s">
        <v>55</v>
      </c>
      <c r="C5" s="2" t="s">
        <v>56</v>
      </c>
      <c r="E5" s="2"/>
      <c r="G5" s="4" t="s">
        <v>60</v>
      </c>
      <c r="H5" s="2"/>
      <c r="I5" s="2"/>
      <c r="J5" s="3"/>
      <c r="K5" s="2"/>
      <c r="L5" s="2"/>
    </row>
    <row r="6" spans="1:207" x14ac:dyDescent="0.2">
      <c r="A6" t="s">
        <v>48</v>
      </c>
      <c r="B6" s="2" t="s">
        <v>55</v>
      </c>
      <c r="C6" s="2" t="s">
        <v>56</v>
      </c>
      <c r="E6" s="2"/>
      <c r="F6" t="s">
        <v>50</v>
      </c>
      <c r="G6" s="3">
        <f>SUM(G14,G26,G38,G50,G62,G74,G86)/7</f>
        <v>42.413508379999996</v>
      </c>
      <c r="H6" s="2"/>
      <c r="I6" s="2"/>
      <c r="J6" s="3"/>
      <c r="K6" s="2"/>
      <c r="L6" s="2"/>
    </row>
    <row r="7" spans="1:207" x14ac:dyDescent="0.2">
      <c r="A7" t="s">
        <v>47</v>
      </c>
      <c r="B7" s="2" t="s">
        <v>55</v>
      </c>
      <c r="C7" s="2" t="s">
        <v>56</v>
      </c>
      <c r="E7" s="2"/>
      <c r="F7" t="s">
        <v>51</v>
      </c>
      <c r="G7" s="3">
        <f>SUM(G16,G28,G40,G52,G64,G76,G88)/7</f>
        <v>38.061370055714285</v>
      </c>
      <c r="H7" s="2"/>
      <c r="I7" s="2"/>
      <c r="J7" s="2"/>
      <c r="K7" s="2"/>
      <c r="L7" s="2"/>
    </row>
    <row r="8" spans="1:207" x14ac:dyDescent="0.2">
      <c r="A8" t="s">
        <v>58</v>
      </c>
      <c r="E8" s="2"/>
      <c r="F8" t="s">
        <v>52</v>
      </c>
      <c r="G8" s="3">
        <f>SUM(G18,G30,G42,G54,G66,G78,G90)/7</f>
        <v>38.30372524571429</v>
      </c>
    </row>
    <row r="9" spans="1:207" x14ac:dyDescent="0.2">
      <c r="A9" t="s">
        <v>45</v>
      </c>
      <c r="B9" s="2"/>
      <c r="C9" s="2"/>
      <c r="D9" s="2"/>
      <c r="E9" s="2"/>
      <c r="F9" t="s">
        <v>53</v>
      </c>
      <c r="G9" s="3">
        <f>SUM(G20,G32,G44,G56,G68,G80,G92)/7</f>
        <v>37.238444829999999</v>
      </c>
    </row>
    <row r="10" spans="1:207" x14ac:dyDescent="0.2">
      <c r="A10" t="s">
        <v>7</v>
      </c>
      <c r="F10" t="s">
        <v>54</v>
      </c>
      <c r="G10" s="3">
        <f>SUM(G22,G34,G46,G58,G70,G82,G94)/7</f>
        <v>35.985419627142861</v>
      </c>
    </row>
    <row r="12" spans="1:207" x14ac:dyDescent="0.2">
      <c r="B12" t="s">
        <v>59</v>
      </c>
      <c r="D12" s="1" t="s">
        <v>23</v>
      </c>
    </row>
    <row r="13" spans="1:207" x14ac:dyDescent="0.2">
      <c r="B13" s="2" t="s">
        <v>20</v>
      </c>
      <c r="D13" s="1" t="s">
        <v>8</v>
      </c>
      <c r="E13" s="1" t="s">
        <v>9</v>
      </c>
      <c r="F13" s="1" t="s">
        <v>10</v>
      </c>
      <c r="G13" s="1" t="s">
        <v>11</v>
      </c>
      <c r="H13" s="1" t="s">
        <v>12</v>
      </c>
      <c r="I13" s="1" t="s">
        <v>13</v>
      </c>
      <c r="J13" s="1" t="s">
        <v>14</v>
      </c>
      <c r="K13" s="1" t="s">
        <v>15</v>
      </c>
      <c r="L13" s="1"/>
      <c r="M13" s="1" t="s">
        <v>16</v>
      </c>
    </row>
    <row r="14" spans="1:207" x14ac:dyDescent="0.2">
      <c r="B14" s="2" t="s">
        <v>21</v>
      </c>
      <c r="D14" t="s">
        <v>3</v>
      </c>
      <c r="E14" t="s">
        <v>1</v>
      </c>
      <c r="F14">
        <f>COUNT(M14:GJ14)</f>
        <v>100</v>
      </c>
      <c r="G14" s="3">
        <f>AVERAGE(M14:GJ14)</f>
        <v>24.825438630000004</v>
      </c>
      <c r="H14" s="3">
        <f>MAX(M14:GJ14)</f>
        <v>29.906438999999999</v>
      </c>
      <c r="I14" s="3">
        <f>MIN(M14:GJ14)</f>
        <v>21.821327</v>
      </c>
      <c r="J14" s="3">
        <f>_xlfn.STDEV.P(M14:GJ14)</f>
        <v>1.2667691758329975</v>
      </c>
      <c r="K14" s="3">
        <f>_xlfn.VAR.S(M14:GJ14)</f>
        <v>1.6209132776167798</v>
      </c>
      <c r="M14" s="3">
        <v>24.182227999999999</v>
      </c>
      <c r="N14" s="3">
        <v>23.766773000000001</v>
      </c>
      <c r="O14" s="3">
        <v>25.686817000000001</v>
      </c>
      <c r="P14" s="3">
        <v>29.906438999999999</v>
      </c>
      <c r="Q14" s="3">
        <v>25.046059</v>
      </c>
      <c r="R14" s="3">
        <v>27.065124999999998</v>
      </c>
      <c r="S14" s="3">
        <v>25.277305999999999</v>
      </c>
      <c r="T14" s="3">
        <v>24.612282</v>
      </c>
      <c r="U14" s="3">
        <v>24.600936999999998</v>
      </c>
      <c r="V14" s="3">
        <v>25.591588999999999</v>
      </c>
      <c r="W14" s="3">
        <v>24.900673000000001</v>
      </c>
      <c r="X14" s="3">
        <v>24.577932000000001</v>
      </c>
      <c r="Y14" s="3">
        <v>24.052942000000002</v>
      </c>
      <c r="Z14" s="3">
        <v>23.838049000000002</v>
      </c>
      <c r="AA14" s="3">
        <v>25.641736999999999</v>
      </c>
      <c r="AB14" s="3">
        <v>24.024329999999999</v>
      </c>
      <c r="AC14" s="3">
        <v>25.611681000000001</v>
      </c>
      <c r="AD14" s="3">
        <v>25.287510000000001</v>
      </c>
      <c r="AE14" s="3">
        <v>26.571016</v>
      </c>
      <c r="AF14" s="3">
        <v>25.316400999999999</v>
      </c>
      <c r="AG14" s="3">
        <v>25.115777999999999</v>
      </c>
      <c r="AH14" s="3">
        <v>24.289223</v>
      </c>
      <c r="AI14" s="3">
        <v>25.684339999999999</v>
      </c>
      <c r="AJ14" s="3">
        <v>24.766355999999998</v>
      </c>
      <c r="AK14" s="3">
        <v>25.786384999999999</v>
      </c>
      <c r="AL14" s="3">
        <v>24.350183000000001</v>
      </c>
      <c r="AM14" s="3">
        <v>25.069718999999999</v>
      </c>
      <c r="AN14" s="3">
        <v>25.727367000000001</v>
      </c>
      <c r="AO14" s="3">
        <v>28.357077</v>
      </c>
      <c r="AP14" s="3">
        <v>25.305119000000001</v>
      </c>
      <c r="AQ14" s="3">
        <v>25.021004000000001</v>
      </c>
      <c r="AR14" s="3">
        <v>24.695250000000001</v>
      </c>
      <c r="AS14" s="3">
        <v>24.991202999999999</v>
      </c>
      <c r="AT14" s="3">
        <v>24.934221000000001</v>
      </c>
      <c r="AU14" s="3">
        <v>27.20093</v>
      </c>
      <c r="AV14" s="3">
        <v>25.196124999999999</v>
      </c>
      <c r="AW14" s="3">
        <v>25.167978000000002</v>
      </c>
      <c r="AX14" s="3">
        <v>25.095844</v>
      </c>
      <c r="AY14" s="3">
        <v>23.537223999999998</v>
      </c>
      <c r="AZ14" s="3">
        <v>26.463818</v>
      </c>
      <c r="BA14" s="3">
        <v>23.971720000000001</v>
      </c>
      <c r="BB14" s="3">
        <v>25.754443999999999</v>
      </c>
      <c r="BC14" s="3">
        <v>25.494968</v>
      </c>
      <c r="BD14" s="3">
        <v>25.172910999999999</v>
      </c>
      <c r="BE14" s="3">
        <v>25.684618</v>
      </c>
      <c r="BF14" s="3">
        <v>23.960111999999999</v>
      </c>
      <c r="BG14" s="3">
        <v>21.921837</v>
      </c>
      <c r="BH14" s="3">
        <v>24.835756</v>
      </c>
      <c r="BI14" s="3">
        <v>24.047241</v>
      </c>
      <c r="BJ14" s="3">
        <v>25.547129000000002</v>
      </c>
      <c r="BK14" s="3">
        <v>23.662918000000001</v>
      </c>
      <c r="BL14" s="3">
        <v>25.224716000000001</v>
      </c>
      <c r="BM14" s="3">
        <v>23.905833999999999</v>
      </c>
      <c r="BN14" s="3">
        <v>24.965907999999999</v>
      </c>
      <c r="BO14" s="3">
        <v>24.024733999999999</v>
      </c>
      <c r="BP14" s="3">
        <v>23.855640000000001</v>
      </c>
      <c r="BQ14" s="3">
        <v>24.254384999999999</v>
      </c>
      <c r="BR14" s="3">
        <v>24.575762000000001</v>
      </c>
      <c r="BS14" s="3">
        <v>24.187054</v>
      </c>
      <c r="BT14" s="3">
        <v>24.770586000000002</v>
      </c>
      <c r="BU14" s="3">
        <v>23.011818000000002</v>
      </c>
      <c r="BV14" s="3">
        <v>28.736903999999999</v>
      </c>
      <c r="BW14" s="3">
        <v>24.028373999999999</v>
      </c>
      <c r="BX14" s="3">
        <v>22.805368000000001</v>
      </c>
      <c r="BY14" s="3">
        <v>25.575002999999999</v>
      </c>
      <c r="BZ14" s="3">
        <v>24.163273</v>
      </c>
      <c r="CA14" s="3">
        <v>25.288048</v>
      </c>
      <c r="CB14" s="3">
        <v>23.332906999999999</v>
      </c>
      <c r="CC14" s="3">
        <v>25.707737000000002</v>
      </c>
      <c r="CD14" s="3">
        <v>25.211517000000001</v>
      </c>
      <c r="CE14" s="3">
        <v>23.669309999999999</v>
      </c>
      <c r="CF14" s="3">
        <v>23.056749</v>
      </c>
      <c r="CG14" s="3">
        <v>26.042695999999999</v>
      </c>
      <c r="CH14" s="3">
        <v>26.603752</v>
      </c>
      <c r="CI14" s="3">
        <v>25.207678000000001</v>
      </c>
      <c r="CJ14" s="3">
        <v>25.582417</v>
      </c>
      <c r="CK14" s="3">
        <v>22.524574000000001</v>
      </c>
      <c r="CL14" s="3">
        <v>25.364771000000001</v>
      </c>
      <c r="CM14" s="3">
        <v>24.948229000000001</v>
      </c>
      <c r="CN14" s="3">
        <v>24.405270000000002</v>
      </c>
      <c r="CO14" s="3">
        <v>21.821327</v>
      </c>
      <c r="CP14" s="3">
        <v>23.917753000000001</v>
      </c>
      <c r="CQ14" s="3">
        <v>24.938123999999998</v>
      </c>
      <c r="CR14" s="3">
        <v>23.154142</v>
      </c>
      <c r="CS14" s="3">
        <v>25.661473999999998</v>
      </c>
      <c r="CT14" s="3">
        <v>23.384312000000001</v>
      </c>
      <c r="CU14" s="3">
        <v>24.604731000000001</v>
      </c>
      <c r="CV14" s="3">
        <v>23.461248000000001</v>
      </c>
      <c r="CW14" s="3">
        <v>23.389234999999999</v>
      </c>
      <c r="CX14" s="3">
        <v>25.296410000000002</v>
      </c>
      <c r="CY14" s="3">
        <v>23.507334</v>
      </c>
      <c r="CZ14" s="3">
        <v>22.964891000000001</v>
      </c>
      <c r="DA14" s="3">
        <v>23.699166999999999</v>
      </c>
      <c r="DB14" s="3">
        <v>24.549187</v>
      </c>
      <c r="DC14" s="3">
        <v>26.838239999999999</v>
      </c>
      <c r="DD14" s="3">
        <v>24.001595999999999</v>
      </c>
      <c r="DE14" s="3">
        <v>24.974430000000002</v>
      </c>
      <c r="DF14" s="3">
        <v>25.355426999999999</v>
      </c>
      <c r="DG14" s="3">
        <v>24.235250000000001</v>
      </c>
      <c r="DH14" s="3">
        <v>25.391946999999998</v>
      </c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</row>
    <row r="15" spans="1:207" x14ac:dyDescent="0.2">
      <c r="B15" s="2" t="s">
        <v>22</v>
      </c>
      <c r="G15" s="3"/>
      <c r="H15" s="3"/>
      <c r="I15" s="3"/>
      <c r="J15" s="3"/>
      <c r="K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</row>
    <row r="16" spans="1:207" x14ac:dyDescent="0.2">
      <c r="D16" t="s">
        <v>4</v>
      </c>
      <c r="E16" t="s">
        <v>1</v>
      </c>
      <c r="F16">
        <f>COUNT(M16:GJ16)</f>
        <v>100</v>
      </c>
      <c r="G16" s="3">
        <f>AVERAGE(M16:GJ16)</f>
        <v>27.252383730000016</v>
      </c>
      <c r="H16" s="3">
        <f>MAX(M16:GJ16)</f>
        <v>35.159244999999999</v>
      </c>
      <c r="I16" s="3">
        <f>MIN(M16:GJ16)</f>
        <v>21.680222000000001</v>
      </c>
      <c r="J16" s="3">
        <f>_xlfn.STDEV.P(M16:GJ16)</f>
        <v>2.484220681375835</v>
      </c>
      <c r="K16" s="3">
        <f>_xlfn.VAR.S(M16:GJ16)</f>
        <v>6.2336892866418365</v>
      </c>
      <c r="M16" s="3">
        <v>26.379152000000001</v>
      </c>
      <c r="N16" s="3">
        <v>29.951374000000001</v>
      </c>
      <c r="O16" s="3">
        <v>27.622941999999998</v>
      </c>
      <c r="P16" s="3">
        <v>30.386717000000001</v>
      </c>
      <c r="Q16" s="3">
        <v>28.071987</v>
      </c>
      <c r="R16" s="3">
        <v>27.76362</v>
      </c>
      <c r="S16" s="3">
        <v>28.078050999999999</v>
      </c>
      <c r="T16" s="3">
        <v>29.172083000000001</v>
      </c>
      <c r="U16" s="3">
        <v>29.996148999999999</v>
      </c>
      <c r="V16" s="3">
        <v>28.515331</v>
      </c>
      <c r="W16" s="3">
        <v>28.233391000000001</v>
      </c>
      <c r="X16" s="3">
        <v>29.858065</v>
      </c>
      <c r="Y16" s="3">
        <v>27.370401000000001</v>
      </c>
      <c r="Z16" s="3">
        <v>25.941680999999999</v>
      </c>
      <c r="AA16" s="3">
        <v>30.426535000000001</v>
      </c>
      <c r="AB16" s="3">
        <v>29.386147999999999</v>
      </c>
      <c r="AC16" s="3">
        <v>30.461373999999999</v>
      </c>
      <c r="AD16" s="3">
        <v>26.717976</v>
      </c>
      <c r="AE16" s="3">
        <v>25.190617</v>
      </c>
      <c r="AF16" s="3">
        <v>28.226517000000001</v>
      </c>
      <c r="AG16" s="3">
        <v>29.290711999999999</v>
      </c>
      <c r="AH16" s="3">
        <v>27.712225</v>
      </c>
      <c r="AI16" s="3">
        <v>31.116067999999999</v>
      </c>
      <c r="AJ16" s="3">
        <v>26.167856</v>
      </c>
      <c r="AK16" s="3">
        <v>35.159244999999999</v>
      </c>
      <c r="AL16" s="3">
        <v>26.903616</v>
      </c>
      <c r="AM16" s="3">
        <v>29.779871</v>
      </c>
      <c r="AN16" s="3">
        <v>25.938423</v>
      </c>
      <c r="AO16" s="3">
        <v>27.599892000000001</v>
      </c>
      <c r="AP16" s="3">
        <v>27.535226999999999</v>
      </c>
      <c r="AQ16" s="3">
        <v>25.990593000000001</v>
      </c>
      <c r="AR16" s="3">
        <v>28.519863000000001</v>
      </c>
      <c r="AS16" s="3">
        <v>28.518044</v>
      </c>
      <c r="AT16" s="3">
        <v>31.045876</v>
      </c>
      <c r="AU16" s="3">
        <v>30.157426999999998</v>
      </c>
      <c r="AV16" s="3">
        <v>28.974837999999998</v>
      </c>
      <c r="AW16" s="3">
        <v>29.060310000000001</v>
      </c>
      <c r="AX16" s="3">
        <v>27.103301999999999</v>
      </c>
      <c r="AY16" s="3">
        <v>29.609591999999999</v>
      </c>
      <c r="AZ16" s="3">
        <v>27.197213999999999</v>
      </c>
      <c r="BA16" s="3">
        <v>31.129190000000001</v>
      </c>
      <c r="BB16" s="3">
        <v>31.246109000000001</v>
      </c>
      <c r="BC16" s="3">
        <v>26.262318</v>
      </c>
      <c r="BD16" s="3">
        <v>27.753736</v>
      </c>
      <c r="BE16" s="3">
        <v>29.110685</v>
      </c>
      <c r="BF16" s="3">
        <v>28.523312000000001</v>
      </c>
      <c r="BG16" s="3">
        <v>29.984299</v>
      </c>
      <c r="BH16" s="3">
        <v>25.902203</v>
      </c>
      <c r="BI16" s="3">
        <v>26.321541</v>
      </c>
      <c r="BJ16" s="3">
        <v>28.308733</v>
      </c>
      <c r="BK16" s="3">
        <v>24.731688999999999</v>
      </c>
      <c r="BL16" s="3">
        <v>27.253748000000002</v>
      </c>
      <c r="BM16" s="3">
        <v>29.471851000000001</v>
      </c>
      <c r="BN16" s="3">
        <v>24.472158</v>
      </c>
      <c r="BO16" s="3">
        <v>30.941738000000001</v>
      </c>
      <c r="BP16" s="3">
        <v>23.450175999999999</v>
      </c>
      <c r="BQ16" s="3">
        <v>24.712092999999999</v>
      </c>
      <c r="BR16" s="3">
        <v>24.881142000000001</v>
      </c>
      <c r="BS16" s="3">
        <v>27.474459</v>
      </c>
      <c r="BT16" s="3">
        <v>26.307766000000001</v>
      </c>
      <c r="BU16" s="3">
        <v>25.716518000000001</v>
      </c>
      <c r="BV16" s="3">
        <v>25.769175000000001</v>
      </c>
      <c r="BW16" s="3">
        <v>22.784348000000001</v>
      </c>
      <c r="BX16" s="3">
        <v>30.939167000000001</v>
      </c>
      <c r="BY16" s="3">
        <v>28.330712999999999</v>
      </c>
      <c r="BZ16" s="3">
        <v>24.763971000000002</v>
      </c>
      <c r="CA16" s="3">
        <v>22.934645</v>
      </c>
      <c r="CB16" s="3">
        <v>25.189139999999998</v>
      </c>
      <c r="CC16" s="3">
        <v>27.049648000000001</v>
      </c>
      <c r="CD16" s="3">
        <v>23.562735</v>
      </c>
      <c r="CE16" s="3">
        <v>25.22156</v>
      </c>
      <c r="CF16" s="3">
        <v>25.815393</v>
      </c>
      <c r="CG16" s="3">
        <v>28.00234</v>
      </c>
      <c r="CH16" s="3">
        <v>28.315349999999999</v>
      </c>
      <c r="CI16" s="3">
        <v>22.442423000000002</v>
      </c>
      <c r="CJ16" s="3">
        <v>26.256129999999999</v>
      </c>
      <c r="CK16" s="3">
        <v>24.977312000000001</v>
      </c>
      <c r="CL16" s="3">
        <v>26.215654000000001</v>
      </c>
      <c r="CM16" s="3">
        <v>25.522579</v>
      </c>
      <c r="CN16" s="3">
        <v>25.658719999999999</v>
      </c>
      <c r="CO16" s="3">
        <v>26.063258999999999</v>
      </c>
      <c r="CP16" s="3">
        <v>25.165801999999999</v>
      </c>
      <c r="CQ16" s="3">
        <v>25.162479000000001</v>
      </c>
      <c r="CR16" s="3">
        <v>28.786339000000002</v>
      </c>
      <c r="CS16" s="3">
        <v>28.163686999999999</v>
      </c>
      <c r="CT16" s="3">
        <v>28.573349</v>
      </c>
      <c r="CU16" s="3">
        <v>26.686112999999999</v>
      </c>
      <c r="CV16" s="3">
        <v>22.454505999999999</v>
      </c>
      <c r="CW16" s="3">
        <v>21.680222000000001</v>
      </c>
      <c r="CX16" s="3">
        <v>25.6098</v>
      </c>
      <c r="CY16" s="3">
        <v>24.289314000000001</v>
      </c>
      <c r="CZ16" s="3">
        <v>34.161625000000001</v>
      </c>
      <c r="DA16" s="3">
        <v>25.338182</v>
      </c>
      <c r="DB16" s="3">
        <v>23.842489</v>
      </c>
      <c r="DC16" s="3">
        <v>28.090623999999998</v>
      </c>
      <c r="DD16" s="3">
        <v>28.387896999999999</v>
      </c>
      <c r="DE16" s="3">
        <v>23.733239999999999</v>
      </c>
      <c r="DF16" s="3">
        <v>24.524425999999998</v>
      </c>
      <c r="DG16" s="3">
        <v>23.820157999999999</v>
      </c>
      <c r="DH16" s="3">
        <v>25.868089999999999</v>
      </c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</row>
    <row r="17" spans="2:207" x14ac:dyDescent="0.2">
      <c r="G17" s="3"/>
      <c r="H17" s="3"/>
      <c r="I17" s="3"/>
      <c r="J17" s="3"/>
      <c r="K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</row>
    <row r="18" spans="2:207" x14ac:dyDescent="0.2">
      <c r="D18" t="s">
        <v>2</v>
      </c>
      <c r="E18" t="s">
        <v>1</v>
      </c>
      <c r="F18">
        <f>COUNT(M18:GJ18)</f>
        <v>100</v>
      </c>
      <c r="G18" s="3">
        <f>AVERAGE(M18:GJ18)</f>
        <v>29.994256660000008</v>
      </c>
      <c r="H18" s="3">
        <f>MAX(M18:GJ18)</f>
        <v>32.771717000000002</v>
      </c>
      <c r="I18" s="3">
        <f>MIN(M18:GJ18)</f>
        <v>27.473752999999999</v>
      </c>
      <c r="J18" s="3">
        <f>_xlfn.STDEV.P(M18:GJ18)</f>
        <v>1.3423046504938383</v>
      </c>
      <c r="K18" s="3">
        <f>_xlfn.VAR.S(M18:GJ18)</f>
        <v>1.8199815906438235</v>
      </c>
      <c r="M18" s="3">
        <v>28.743746000000002</v>
      </c>
      <c r="N18" s="3">
        <v>28.500796999999999</v>
      </c>
      <c r="O18" s="3">
        <v>27.473752999999999</v>
      </c>
      <c r="P18" s="3">
        <v>29.098133000000001</v>
      </c>
      <c r="Q18" s="3">
        <v>30.835578999999999</v>
      </c>
      <c r="R18" s="3">
        <v>28.056927000000002</v>
      </c>
      <c r="S18" s="3">
        <v>29.581233999999998</v>
      </c>
      <c r="T18" s="3">
        <v>31.628323000000002</v>
      </c>
      <c r="U18" s="3">
        <v>27.929704999999998</v>
      </c>
      <c r="V18" s="3">
        <v>28.979997999999998</v>
      </c>
      <c r="W18" s="3">
        <v>27.490708999999999</v>
      </c>
      <c r="X18" s="3">
        <v>28.975843000000001</v>
      </c>
      <c r="Y18" s="3">
        <v>29.089763999999999</v>
      </c>
      <c r="Z18" s="3">
        <v>32.021895999999998</v>
      </c>
      <c r="AA18" s="3">
        <v>28.316067</v>
      </c>
      <c r="AB18" s="3">
        <v>29.979908000000002</v>
      </c>
      <c r="AC18" s="3">
        <v>29.240721000000001</v>
      </c>
      <c r="AD18" s="3">
        <v>28.096091999999999</v>
      </c>
      <c r="AE18" s="3">
        <v>29.315107000000001</v>
      </c>
      <c r="AF18" s="3">
        <v>30.3001</v>
      </c>
      <c r="AG18" s="3">
        <v>29.440619999999999</v>
      </c>
      <c r="AH18" s="3">
        <v>28.008417000000001</v>
      </c>
      <c r="AI18" s="3">
        <v>28.802766999999999</v>
      </c>
      <c r="AJ18" s="3">
        <v>27.857275000000001</v>
      </c>
      <c r="AK18" s="3">
        <v>28.164100999999999</v>
      </c>
      <c r="AL18" s="3">
        <v>30.525438000000001</v>
      </c>
      <c r="AM18" s="3">
        <v>29.724174000000001</v>
      </c>
      <c r="AN18" s="3">
        <v>31.706983999999999</v>
      </c>
      <c r="AO18" s="3">
        <v>30.996468</v>
      </c>
      <c r="AP18" s="3">
        <v>31.969809999999999</v>
      </c>
      <c r="AQ18" s="3">
        <v>28.510366000000001</v>
      </c>
      <c r="AR18" s="3">
        <v>32.276733</v>
      </c>
      <c r="AS18" s="3">
        <v>31.848262999999999</v>
      </c>
      <c r="AT18" s="3">
        <v>29.802333999999998</v>
      </c>
      <c r="AU18" s="3">
        <v>28.958023000000001</v>
      </c>
      <c r="AV18" s="3">
        <v>29.062597</v>
      </c>
      <c r="AW18" s="3">
        <v>29.473880999999999</v>
      </c>
      <c r="AX18" s="3">
        <v>28.583207999999999</v>
      </c>
      <c r="AY18" s="3">
        <v>29.130524000000001</v>
      </c>
      <c r="AZ18" s="3">
        <v>29.835425999999998</v>
      </c>
      <c r="BA18" s="3">
        <v>31.468298000000001</v>
      </c>
      <c r="BB18" s="3">
        <v>31.718643</v>
      </c>
      <c r="BC18" s="3">
        <v>32.771717000000002</v>
      </c>
      <c r="BD18" s="3">
        <v>31.479538000000002</v>
      </c>
      <c r="BE18" s="3">
        <v>28.902415999999999</v>
      </c>
      <c r="BF18" s="3">
        <v>32.406796</v>
      </c>
      <c r="BG18" s="3">
        <v>29.563818000000001</v>
      </c>
      <c r="BH18" s="3">
        <v>30.745987</v>
      </c>
      <c r="BI18" s="3">
        <v>31.525209</v>
      </c>
      <c r="BJ18" s="3">
        <v>29.800225999999999</v>
      </c>
      <c r="BK18" s="3">
        <v>30.059052999999999</v>
      </c>
      <c r="BL18" s="3">
        <v>28.307715999999999</v>
      </c>
      <c r="BM18" s="3">
        <v>30.084396000000002</v>
      </c>
      <c r="BN18" s="3">
        <v>29.876532000000001</v>
      </c>
      <c r="BO18" s="3">
        <v>31.803381000000002</v>
      </c>
      <c r="BP18" s="3">
        <v>28.671828999999999</v>
      </c>
      <c r="BQ18" s="3">
        <v>29.907125000000001</v>
      </c>
      <c r="BR18" s="3">
        <v>31.297115000000002</v>
      </c>
      <c r="BS18" s="3">
        <v>29.309301000000001</v>
      </c>
      <c r="BT18" s="3">
        <v>29.135573999999998</v>
      </c>
      <c r="BU18" s="3">
        <v>28.412579000000001</v>
      </c>
      <c r="BV18" s="3">
        <v>28.866344000000002</v>
      </c>
      <c r="BW18" s="3">
        <v>29.302116000000002</v>
      </c>
      <c r="BX18" s="3">
        <v>30.530697</v>
      </c>
      <c r="BY18" s="3">
        <v>30.006976999999999</v>
      </c>
      <c r="BZ18" s="3">
        <v>32.082458000000003</v>
      </c>
      <c r="CA18" s="3">
        <v>30.228638</v>
      </c>
      <c r="CB18" s="3">
        <v>27.829729</v>
      </c>
      <c r="CC18" s="3">
        <v>30.260376000000001</v>
      </c>
      <c r="CD18" s="3">
        <v>29.563096999999999</v>
      </c>
      <c r="CE18" s="3">
        <v>31.490860000000001</v>
      </c>
      <c r="CF18" s="3">
        <v>30.473915000000002</v>
      </c>
      <c r="CG18" s="3">
        <v>30.270042</v>
      </c>
      <c r="CH18" s="3">
        <v>29.702946000000001</v>
      </c>
      <c r="CI18" s="3">
        <v>30.845896</v>
      </c>
      <c r="CJ18" s="3">
        <v>31.464970000000001</v>
      </c>
      <c r="CK18" s="3">
        <v>28.643581000000001</v>
      </c>
      <c r="CL18" s="3">
        <v>31.141970000000001</v>
      </c>
      <c r="CM18" s="3">
        <v>31.427509000000001</v>
      </c>
      <c r="CN18" s="3">
        <v>30.807365000000001</v>
      </c>
      <c r="CO18" s="3">
        <v>30.338583</v>
      </c>
      <c r="CP18" s="3">
        <v>31.109024000000002</v>
      </c>
      <c r="CQ18" s="3">
        <v>30.751101999999999</v>
      </c>
      <c r="CR18" s="3">
        <v>29.901347999999999</v>
      </c>
      <c r="CS18" s="3">
        <v>30.949062000000001</v>
      </c>
      <c r="CT18" s="3">
        <v>31.162893</v>
      </c>
      <c r="CU18" s="3">
        <v>29.166477</v>
      </c>
      <c r="CV18" s="3">
        <v>29.080727</v>
      </c>
      <c r="CW18" s="3">
        <v>32.015396000000003</v>
      </c>
      <c r="CX18" s="3">
        <v>28.757206</v>
      </c>
      <c r="CY18" s="3">
        <v>31.814222000000001</v>
      </c>
      <c r="CZ18" s="3">
        <v>28.897451</v>
      </c>
      <c r="DA18" s="3">
        <v>27.856528999999998</v>
      </c>
      <c r="DB18" s="3">
        <v>31.189679999999999</v>
      </c>
      <c r="DC18" s="3">
        <v>30.572422</v>
      </c>
      <c r="DD18" s="3">
        <v>32.409733000000003</v>
      </c>
      <c r="DE18" s="3">
        <v>29.051818999999998</v>
      </c>
      <c r="DF18" s="3">
        <v>32.476787999999999</v>
      </c>
      <c r="DG18" s="3">
        <v>29.746182999999998</v>
      </c>
      <c r="DH18" s="3">
        <v>31.660475000000002</v>
      </c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/>
      <c r="ET18" s="3"/>
      <c r="EU18" s="3"/>
      <c r="EV18" s="3"/>
      <c r="EW18" s="3"/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/>
      <c r="FL18" s="3"/>
      <c r="FM18" s="3"/>
      <c r="FN18" s="3"/>
      <c r="FO18" s="3"/>
      <c r="FP18" s="3"/>
      <c r="FQ18" s="3"/>
      <c r="FR18" s="3"/>
      <c r="FS18" s="3"/>
      <c r="FT18" s="3"/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/>
      <c r="GG18" s="3"/>
      <c r="GH18" s="3"/>
      <c r="GI18" s="3"/>
      <c r="GJ18" s="3"/>
      <c r="GK18" s="3"/>
      <c r="GL18" s="3"/>
      <c r="GM18" s="3"/>
      <c r="GN18" s="3"/>
      <c r="GO18" s="3"/>
      <c r="GP18" s="3"/>
      <c r="GQ18" s="3"/>
      <c r="GR18" s="3"/>
      <c r="GS18" s="3"/>
      <c r="GT18" s="3"/>
      <c r="GU18" s="3"/>
      <c r="GV18" s="3"/>
      <c r="GW18" s="3"/>
      <c r="GX18" s="3"/>
      <c r="GY18" s="3"/>
    </row>
    <row r="19" spans="2:207" x14ac:dyDescent="0.2">
      <c r="G19" s="3"/>
      <c r="H19" s="3"/>
      <c r="I19" s="3"/>
      <c r="J19" s="3"/>
      <c r="K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/>
      <c r="ET19" s="3"/>
      <c r="EU19" s="3"/>
      <c r="EV19" s="3"/>
      <c r="EW19" s="3"/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/>
      <c r="FL19" s="3"/>
      <c r="FM19" s="3"/>
      <c r="FN19" s="3"/>
      <c r="FO19" s="3"/>
      <c r="FP19" s="3"/>
      <c r="FQ19" s="3"/>
      <c r="FR19" s="3"/>
      <c r="FS19" s="3"/>
      <c r="FT19" s="3"/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/>
      <c r="GG19" s="3"/>
      <c r="GH19" s="3"/>
      <c r="GI19" s="3"/>
      <c r="GJ19" s="3"/>
      <c r="GK19" s="3"/>
      <c r="GL19" s="3"/>
      <c r="GM19" s="3"/>
      <c r="GN19" s="3"/>
      <c r="GO19" s="3"/>
      <c r="GP19" s="3"/>
      <c r="GQ19" s="3"/>
      <c r="GR19" s="3"/>
      <c r="GS19" s="3"/>
      <c r="GT19" s="3"/>
      <c r="GU19" s="3"/>
      <c r="GV19" s="3"/>
      <c r="GW19" s="3"/>
      <c r="GX19" s="3"/>
      <c r="GY19" s="3"/>
    </row>
    <row r="20" spans="2:207" x14ac:dyDescent="0.2">
      <c r="D20" t="s">
        <v>5</v>
      </c>
      <c r="E20" t="s">
        <v>1</v>
      </c>
      <c r="F20">
        <f>COUNT(M20:GJ20)</f>
        <v>100</v>
      </c>
      <c r="G20" s="3">
        <f>AVERAGE(M20:GJ20)</f>
        <v>23.992170179999999</v>
      </c>
      <c r="H20" s="3">
        <f>MAX(M20:GJ20)</f>
        <v>28.437035000000002</v>
      </c>
      <c r="I20" s="3">
        <f>MIN(M20:GJ20)</f>
        <v>19.317019999999999</v>
      </c>
      <c r="J20" s="3">
        <f>_xlfn.STDEV.P(M20:GJ20)</f>
        <v>1.9596498500525976</v>
      </c>
      <c r="K20" s="3">
        <f>_xlfn.VAR.S(M20:GJ20)</f>
        <v>3.879017711930473</v>
      </c>
      <c r="M20" s="3">
        <v>22.817271999999999</v>
      </c>
      <c r="N20" s="3">
        <v>27.097564999999999</v>
      </c>
      <c r="O20" s="3">
        <v>26.157558000000002</v>
      </c>
      <c r="P20" s="3">
        <v>26.977582999999999</v>
      </c>
      <c r="Q20" s="3">
        <v>24.933485000000001</v>
      </c>
      <c r="R20" s="3">
        <v>23.651888</v>
      </c>
      <c r="S20" s="3">
        <v>23.527605000000001</v>
      </c>
      <c r="T20" s="3">
        <v>23.761648000000001</v>
      </c>
      <c r="U20" s="3">
        <v>21.138100000000001</v>
      </c>
      <c r="V20" s="3">
        <v>23.626362</v>
      </c>
      <c r="W20" s="3">
        <v>25.742287000000001</v>
      </c>
      <c r="X20" s="3">
        <v>21.246587999999999</v>
      </c>
      <c r="Y20" s="3">
        <v>22.747727999999999</v>
      </c>
      <c r="Z20" s="3">
        <v>24.718523000000001</v>
      </c>
      <c r="AA20" s="3">
        <v>24.676435000000001</v>
      </c>
      <c r="AB20" s="3">
        <v>21.966415000000001</v>
      </c>
      <c r="AC20" s="3">
        <v>21.336760999999999</v>
      </c>
      <c r="AD20" s="3">
        <v>23.671268000000001</v>
      </c>
      <c r="AE20" s="3">
        <v>23.513828</v>
      </c>
      <c r="AF20" s="3">
        <v>25.195678999999998</v>
      </c>
      <c r="AG20" s="3">
        <v>24.056709000000001</v>
      </c>
      <c r="AH20" s="3">
        <v>23.840878</v>
      </c>
      <c r="AI20" s="3">
        <v>22.819658</v>
      </c>
      <c r="AJ20" s="3">
        <v>24.144894000000001</v>
      </c>
      <c r="AK20" s="3">
        <v>25.954263999999998</v>
      </c>
      <c r="AL20" s="3">
        <v>22.646635</v>
      </c>
      <c r="AM20" s="3">
        <v>25.740100999999999</v>
      </c>
      <c r="AN20" s="3">
        <v>24.952107999999999</v>
      </c>
      <c r="AO20" s="3">
        <v>26.472874000000001</v>
      </c>
      <c r="AP20" s="3">
        <v>24.768979999999999</v>
      </c>
      <c r="AQ20" s="3">
        <v>28.437035000000002</v>
      </c>
      <c r="AR20" s="3">
        <v>22.9877</v>
      </c>
      <c r="AS20" s="3">
        <v>21.207718</v>
      </c>
      <c r="AT20" s="3">
        <v>22.724112000000002</v>
      </c>
      <c r="AU20" s="3">
        <v>22.143052999999998</v>
      </c>
      <c r="AV20" s="3">
        <v>27.088273999999998</v>
      </c>
      <c r="AW20" s="3">
        <v>23.336945</v>
      </c>
      <c r="AX20" s="3">
        <v>20.417456000000001</v>
      </c>
      <c r="AY20" s="3">
        <v>23.727126999999999</v>
      </c>
      <c r="AZ20" s="3">
        <v>25.759024</v>
      </c>
      <c r="BA20" s="3">
        <v>25.982839999999999</v>
      </c>
      <c r="BB20" s="3">
        <v>26.809650000000001</v>
      </c>
      <c r="BC20" s="3">
        <v>24.592894000000001</v>
      </c>
      <c r="BD20" s="3">
        <v>24.934010000000001</v>
      </c>
      <c r="BE20" s="3">
        <v>22.278147000000001</v>
      </c>
      <c r="BF20" s="3">
        <v>20.245922</v>
      </c>
      <c r="BG20" s="3">
        <v>23.363350000000001</v>
      </c>
      <c r="BH20" s="3">
        <v>23.490939999999998</v>
      </c>
      <c r="BI20" s="3">
        <v>24.041934999999999</v>
      </c>
      <c r="BJ20" s="3">
        <v>25.517879000000001</v>
      </c>
      <c r="BK20" s="3">
        <v>22.966829000000001</v>
      </c>
      <c r="BL20" s="3">
        <v>23.815467999999999</v>
      </c>
      <c r="BM20" s="3">
        <v>23.67745</v>
      </c>
      <c r="BN20" s="3">
        <v>27.036961000000002</v>
      </c>
      <c r="BO20" s="3">
        <v>24.914224999999998</v>
      </c>
      <c r="BP20" s="3">
        <v>27.857230999999999</v>
      </c>
      <c r="BQ20" s="3">
        <v>25.078581</v>
      </c>
      <c r="BR20" s="3">
        <v>22.352122999999999</v>
      </c>
      <c r="BS20" s="3">
        <v>20.390169</v>
      </c>
      <c r="BT20" s="3">
        <v>19.317019999999999</v>
      </c>
      <c r="BU20" s="3">
        <v>24.980136999999999</v>
      </c>
      <c r="BV20" s="3">
        <v>24.770002000000002</v>
      </c>
      <c r="BW20" s="3">
        <v>23.655328999999998</v>
      </c>
      <c r="BX20" s="3">
        <v>26.385344</v>
      </c>
      <c r="BY20" s="3">
        <v>25.769929999999999</v>
      </c>
      <c r="BZ20" s="3">
        <v>24.317366</v>
      </c>
      <c r="CA20" s="3">
        <v>24.630886</v>
      </c>
      <c r="CB20" s="3">
        <v>24.321152000000001</v>
      </c>
      <c r="CC20" s="3">
        <v>23.237905999999999</v>
      </c>
      <c r="CD20" s="3">
        <v>21.542942</v>
      </c>
      <c r="CE20" s="3">
        <v>22.698091999999999</v>
      </c>
      <c r="CF20" s="3">
        <v>25.651415</v>
      </c>
      <c r="CG20" s="3">
        <v>24.341608000000001</v>
      </c>
      <c r="CH20" s="3">
        <v>24.850041999999998</v>
      </c>
      <c r="CI20" s="3">
        <v>24.137958999999999</v>
      </c>
      <c r="CJ20" s="3">
        <v>20.930776999999999</v>
      </c>
      <c r="CK20" s="3">
        <v>25.559108999999999</v>
      </c>
      <c r="CL20" s="3">
        <v>24.472294000000002</v>
      </c>
      <c r="CM20" s="3">
        <v>25.967549999999999</v>
      </c>
      <c r="CN20" s="3">
        <v>25.084980000000002</v>
      </c>
      <c r="CO20" s="3">
        <v>26.732469999999999</v>
      </c>
      <c r="CP20" s="3">
        <v>25.228670000000001</v>
      </c>
      <c r="CQ20" s="3">
        <v>22.089507999999999</v>
      </c>
      <c r="CR20" s="3">
        <v>22.145229</v>
      </c>
      <c r="CS20" s="3">
        <v>19.393597</v>
      </c>
      <c r="CT20" s="3">
        <v>27.493841</v>
      </c>
      <c r="CU20" s="3">
        <v>22.961109</v>
      </c>
      <c r="CV20" s="3">
        <v>21.823609999999999</v>
      </c>
      <c r="CW20" s="3">
        <v>23.448419999999999</v>
      </c>
      <c r="CX20" s="3">
        <v>23.591455</v>
      </c>
      <c r="CY20" s="3">
        <v>25.334289999999999</v>
      </c>
      <c r="CZ20" s="3">
        <v>25.620407</v>
      </c>
      <c r="DA20" s="3">
        <v>24.936111</v>
      </c>
      <c r="DB20" s="3">
        <v>20.496888999999999</v>
      </c>
      <c r="DC20" s="3">
        <v>21.413532</v>
      </c>
      <c r="DD20" s="3">
        <v>28.093451999999999</v>
      </c>
      <c r="DE20" s="3">
        <v>24.512744999999999</v>
      </c>
      <c r="DF20" s="3">
        <v>22.157145</v>
      </c>
      <c r="DG20" s="3">
        <v>21.931391000000001</v>
      </c>
      <c r="DH20" s="3">
        <v>22.11458</v>
      </c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/>
      <c r="ET20" s="3"/>
      <c r="EU20" s="3"/>
      <c r="EV20" s="3"/>
      <c r="EW20" s="3"/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/>
      <c r="FL20" s="3"/>
      <c r="FM20" s="3"/>
      <c r="FN20" s="3"/>
      <c r="FO20" s="3"/>
      <c r="FP20" s="3"/>
      <c r="FQ20" s="3"/>
      <c r="FR20" s="3"/>
      <c r="FS20" s="3"/>
      <c r="FT20" s="3"/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/>
      <c r="GG20" s="3"/>
      <c r="GH20" s="3"/>
      <c r="GI20" s="3"/>
      <c r="GJ20" s="3"/>
      <c r="GK20" s="3"/>
      <c r="GL20" s="3"/>
      <c r="GM20" s="3"/>
      <c r="GN20" s="3"/>
      <c r="GO20" s="3"/>
      <c r="GP20" s="3"/>
      <c r="GQ20" s="3"/>
      <c r="GR20" s="3"/>
      <c r="GS20" s="3"/>
      <c r="GT20" s="3"/>
      <c r="GU20" s="3"/>
      <c r="GV20" s="3"/>
      <c r="GW20" s="3"/>
      <c r="GX20" s="3"/>
      <c r="GY20" s="3"/>
    </row>
    <row r="21" spans="2:207" x14ac:dyDescent="0.2">
      <c r="G21" s="3"/>
      <c r="H21" s="3"/>
      <c r="I21" s="3"/>
      <c r="J21" s="3"/>
      <c r="K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  <c r="EN21" s="3"/>
      <c r="EO21" s="3"/>
      <c r="EP21" s="3"/>
      <c r="EQ21" s="3"/>
      <c r="ER21" s="3"/>
      <c r="ES21" s="3"/>
      <c r="ET21" s="3"/>
      <c r="EU21" s="3"/>
      <c r="EV21" s="3"/>
      <c r="EW21" s="3"/>
      <c r="EX21" s="3"/>
      <c r="EY21" s="3"/>
      <c r="EZ21" s="3"/>
      <c r="FA21" s="3"/>
      <c r="FB21" s="3"/>
      <c r="FC21" s="3"/>
      <c r="FD21" s="3"/>
      <c r="FE21" s="3"/>
      <c r="FF21" s="3"/>
      <c r="FG21" s="3"/>
      <c r="FH21" s="3"/>
      <c r="FI21" s="3"/>
      <c r="FJ21" s="3"/>
      <c r="FK21" s="3"/>
      <c r="FL21" s="3"/>
      <c r="FM21" s="3"/>
      <c r="FN21" s="3"/>
      <c r="FO21" s="3"/>
      <c r="FP21" s="3"/>
      <c r="FQ21" s="3"/>
      <c r="FR21" s="3"/>
      <c r="FS21" s="3"/>
      <c r="FT21" s="3"/>
      <c r="FU21" s="3"/>
      <c r="FV21" s="3"/>
      <c r="FW21" s="3"/>
      <c r="FX21" s="3"/>
      <c r="FY21" s="3"/>
      <c r="FZ21" s="3"/>
      <c r="GA21" s="3"/>
      <c r="GB21" s="3"/>
      <c r="GC21" s="3"/>
      <c r="GD21" s="3"/>
      <c r="GE21" s="3"/>
      <c r="GF21" s="3"/>
      <c r="GG21" s="3"/>
      <c r="GH21" s="3"/>
      <c r="GI21" s="3"/>
      <c r="GJ21" s="3"/>
      <c r="GK21" s="3"/>
      <c r="GL21" s="3"/>
      <c r="GM21" s="3"/>
      <c r="GN21" s="3"/>
      <c r="GO21" s="3"/>
      <c r="GP21" s="3"/>
      <c r="GQ21" s="3"/>
      <c r="GR21" s="3"/>
      <c r="GS21" s="3"/>
      <c r="GT21" s="3"/>
      <c r="GU21" s="3"/>
      <c r="GV21" s="3"/>
      <c r="GW21" s="3"/>
      <c r="GX21" s="3"/>
      <c r="GY21" s="3"/>
    </row>
    <row r="22" spans="2:207" x14ac:dyDescent="0.2">
      <c r="D22" t="s">
        <v>6</v>
      </c>
      <c r="E22" t="s">
        <v>1</v>
      </c>
      <c r="F22">
        <f>COUNT(M22:GJ22)</f>
        <v>100</v>
      </c>
      <c r="G22" s="3">
        <f>AVERAGE(M22:GJ22)</f>
        <v>18.829068970000002</v>
      </c>
      <c r="H22" s="3">
        <f>MAX(M22:GJ22)</f>
        <v>27.923680999999998</v>
      </c>
      <c r="I22" s="3">
        <f>MIN(M22:GJ22)</f>
        <v>9.5180030000000002</v>
      </c>
      <c r="J22" s="3">
        <f>_xlfn.STDEV.P(M22:GJ22)</f>
        <v>4.8008521232149324</v>
      </c>
      <c r="K22" s="3">
        <f>_xlfn.VAR.S(M22:GJ22)</f>
        <v>23.280991019168987</v>
      </c>
      <c r="M22" s="3">
        <v>21.437322999999999</v>
      </c>
      <c r="N22" s="3">
        <v>19.77692</v>
      </c>
      <c r="O22" s="3">
        <v>19.103556000000001</v>
      </c>
      <c r="P22" s="3">
        <v>14.830379000000001</v>
      </c>
      <c r="Q22" s="3">
        <v>25.709339</v>
      </c>
      <c r="R22" s="3">
        <v>19.520273</v>
      </c>
      <c r="S22" s="3">
        <v>25.668828999999999</v>
      </c>
      <c r="T22" s="3">
        <v>24.988865000000001</v>
      </c>
      <c r="U22" s="3">
        <v>21.732296000000002</v>
      </c>
      <c r="V22" s="3">
        <v>23.468900999999999</v>
      </c>
      <c r="W22" s="3">
        <v>11.374727</v>
      </c>
      <c r="X22" s="3">
        <v>27.923680999999998</v>
      </c>
      <c r="Y22" s="3">
        <v>17.136875</v>
      </c>
      <c r="Z22" s="3">
        <v>11.446552000000001</v>
      </c>
      <c r="AA22" s="3">
        <v>22.664545</v>
      </c>
      <c r="AB22" s="3">
        <v>23.502877999999999</v>
      </c>
      <c r="AC22" s="3">
        <v>21.441697999999999</v>
      </c>
      <c r="AD22" s="3">
        <v>23.993382</v>
      </c>
      <c r="AE22" s="3">
        <v>12.017647</v>
      </c>
      <c r="AF22" s="3">
        <v>21.480302999999999</v>
      </c>
      <c r="AG22" s="3">
        <v>16.49962</v>
      </c>
      <c r="AH22" s="3">
        <v>18.172440000000002</v>
      </c>
      <c r="AI22" s="3">
        <v>19.769711000000001</v>
      </c>
      <c r="AJ22" s="3">
        <v>12.543635999999999</v>
      </c>
      <c r="AK22" s="3">
        <v>21.323107</v>
      </c>
      <c r="AL22" s="3">
        <v>24.669331</v>
      </c>
      <c r="AM22" s="3">
        <v>16.636811999999999</v>
      </c>
      <c r="AN22" s="3">
        <v>17.202062999999999</v>
      </c>
      <c r="AO22" s="3">
        <v>14.453165</v>
      </c>
      <c r="AP22" s="3">
        <v>20.676577000000002</v>
      </c>
      <c r="AQ22" s="3">
        <v>21.682683999999998</v>
      </c>
      <c r="AR22" s="3">
        <v>26.053791</v>
      </c>
      <c r="AS22" s="3">
        <v>24.724072</v>
      </c>
      <c r="AT22" s="3">
        <v>21.130375000000001</v>
      </c>
      <c r="AU22" s="3">
        <v>23.118563000000002</v>
      </c>
      <c r="AV22" s="3">
        <v>12.110783</v>
      </c>
      <c r="AW22" s="3">
        <v>18.607077</v>
      </c>
      <c r="AX22" s="3">
        <v>10.916209</v>
      </c>
      <c r="AY22" s="3">
        <v>15.243496</v>
      </c>
      <c r="AZ22" s="3">
        <v>19.398056</v>
      </c>
      <c r="BA22" s="3">
        <v>22.832498999999999</v>
      </c>
      <c r="BB22" s="3">
        <v>22.27412</v>
      </c>
      <c r="BC22" s="3">
        <v>22.678484000000001</v>
      </c>
      <c r="BD22" s="3">
        <v>9.6127819999999993</v>
      </c>
      <c r="BE22" s="3">
        <v>20.226702</v>
      </c>
      <c r="BF22" s="3">
        <v>18.773410999999999</v>
      </c>
      <c r="BG22" s="3">
        <v>17.982309000000001</v>
      </c>
      <c r="BH22" s="3">
        <v>14.40785</v>
      </c>
      <c r="BI22" s="3">
        <v>15.820765</v>
      </c>
      <c r="BJ22" s="3">
        <v>19.776789000000001</v>
      </c>
      <c r="BK22" s="3">
        <v>19.922461999999999</v>
      </c>
      <c r="BL22" s="3">
        <v>21.560123000000001</v>
      </c>
      <c r="BM22" s="3">
        <v>16.511935999999999</v>
      </c>
      <c r="BN22" s="3">
        <v>10.406224</v>
      </c>
      <c r="BO22" s="3">
        <v>25.281921000000001</v>
      </c>
      <c r="BP22" s="3">
        <v>25.884433999999999</v>
      </c>
      <c r="BQ22" s="3">
        <v>24.156334000000001</v>
      </c>
      <c r="BR22" s="3">
        <v>24.922661000000002</v>
      </c>
      <c r="BS22" s="3">
        <v>15.953148000000001</v>
      </c>
      <c r="BT22" s="3">
        <v>24.638660000000002</v>
      </c>
      <c r="BU22" s="3">
        <v>11.523021</v>
      </c>
      <c r="BV22" s="3">
        <v>22.568988999999998</v>
      </c>
      <c r="BW22" s="3">
        <v>12.134981</v>
      </c>
      <c r="BX22" s="3">
        <v>10.972073999999999</v>
      </c>
      <c r="BY22" s="3">
        <v>19.656551</v>
      </c>
      <c r="BZ22" s="3">
        <v>21.408854000000002</v>
      </c>
      <c r="CA22" s="3">
        <v>24.149944000000001</v>
      </c>
      <c r="CB22" s="3">
        <v>22.327776</v>
      </c>
      <c r="CC22" s="3">
        <v>11.201212999999999</v>
      </c>
      <c r="CD22" s="3">
        <v>20.941960999999999</v>
      </c>
      <c r="CE22" s="3">
        <v>12.223725999999999</v>
      </c>
      <c r="CF22" s="3">
        <v>19.903538000000001</v>
      </c>
      <c r="CG22" s="3">
        <v>15.715676</v>
      </c>
      <c r="CH22" s="3">
        <v>11.409763</v>
      </c>
      <c r="CI22" s="3">
        <v>18.687231000000001</v>
      </c>
      <c r="CJ22" s="3">
        <v>22.153517000000001</v>
      </c>
      <c r="CK22" s="3">
        <v>21.690104999999999</v>
      </c>
      <c r="CL22" s="3">
        <v>14.436799000000001</v>
      </c>
      <c r="CM22" s="3">
        <v>13.866581</v>
      </c>
      <c r="CN22" s="3">
        <v>22.689689999999999</v>
      </c>
      <c r="CO22" s="3">
        <v>16.205086000000001</v>
      </c>
      <c r="CP22" s="3">
        <v>26.247444000000002</v>
      </c>
      <c r="CQ22" s="3">
        <v>21.959689999999998</v>
      </c>
      <c r="CR22" s="3">
        <v>21.365788999999999</v>
      </c>
      <c r="CS22" s="3">
        <v>23.624255999999999</v>
      </c>
      <c r="CT22" s="3">
        <v>12.380025</v>
      </c>
      <c r="CU22" s="3">
        <v>21.736868000000001</v>
      </c>
      <c r="CV22" s="3">
        <v>13.702446</v>
      </c>
      <c r="CW22" s="3">
        <v>11.252008999999999</v>
      </c>
      <c r="CX22" s="3">
        <v>13.412457</v>
      </c>
      <c r="CY22" s="3">
        <v>21.442668999999999</v>
      </c>
      <c r="CZ22" s="3">
        <v>23.188272000000001</v>
      </c>
      <c r="DA22" s="3">
        <v>22.731012</v>
      </c>
      <c r="DB22" s="3">
        <v>11.320945999999999</v>
      </c>
      <c r="DC22" s="3">
        <v>13.549792999999999</v>
      </c>
      <c r="DD22" s="3">
        <v>9.5180030000000002</v>
      </c>
      <c r="DE22" s="3">
        <v>17.626652</v>
      </c>
      <c r="DF22" s="3">
        <v>12.458109</v>
      </c>
      <c r="DG22" s="3">
        <v>20.303101000000002</v>
      </c>
      <c r="DH22" s="3">
        <v>21.446128999999999</v>
      </c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  <c r="EN22" s="3"/>
      <c r="EO22" s="3"/>
      <c r="EP22" s="3"/>
      <c r="EQ22" s="3"/>
      <c r="ER22" s="3"/>
      <c r="ES22" s="3"/>
      <c r="ET22" s="3"/>
      <c r="EU22" s="3"/>
      <c r="EV22" s="3"/>
      <c r="EW22" s="3"/>
      <c r="EX22" s="3"/>
      <c r="EY22" s="3"/>
      <c r="EZ22" s="3"/>
      <c r="FA22" s="3"/>
      <c r="FB22" s="3"/>
      <c r="FC22" s="3"/>
      <c r="FD22" s="3"/>
      <c r="FE22" s="3"/>
      <c r="FF22" s="3"/>
      <c r="FG22" s="3"/>
      <c r="FH22" s="3"/>
      <c r="FI22" s="3"/>
      <c r="FJ22" s="3"/>
      <c r="FK22" s="3"/>
      <c r="FL22" s="3"/>
      <c r="FM22" s="3"/>
      <c r="FN22" s="3"/>
      <c r="FO22" s="3"/>
      <c r="FP22" s="3"/>
      <c r="FQ22" s="3"/>
      <c r="FR22" s="3"/>
      <c r="FS22" s="3"/>
      <c r="FT22" s="3"/>
      <c r="FU22" s="3"/>
      <c r="FV22" s="3"/>
      <c r="FW22" s="3"/>
      <c r="FX22" s="3"/>
      <c r="FY22" s="3"/>
      <c r="FZ22" s="3"/>
      <c r="GA22" s="3"/>
      <c r="GB22" s="3"/>
      <c r="GC22" s="3"/>
      <c r="GD22" s="3"/>
      <c r="GE22" s="3"/>
      <c r="GF22" s="3"/>
      <c r="GG22" s="3"/>
      <c r="GH22" s="3"/>
      <c r="GI22" s="3"/>
      <c r="GJ22" s="3"/>
      <c r="GK22" s="3"/>
      <c r="GL22" s="3"/>
      <c r="GM22" s="3"/>
      <c r="GN22" s="3"/>
      <c r="GO22" s="3"/>
      <c r="GP22" s="3"/>
      <c r="GQ22" s="3"/>
      <c r="GR22" s="3"/>
      <c r="GS22" s="3"/>
      <c r="GT22" s="3"/>
      <c r="GU22" s="3"/>
      <c r="GV22" s="3"/>
      <c r="GW22" s="3"/>
      <c r="GX22" s="3"/>
      <c r="GY22" s="3"/>
    </row>
    <row r="24" spans="2:207" x14ac:dyDescent="0.2">
      <c r="D24" s="1"/>
    </row>
    <row r="25" spans="2:207" x14ac:dyDescent="0.2">
      <c r="B25" t="s">
        <v>59</v>
      </c>
      <c r="D25" s="1" t="s">
        <v>24</v>
      </c>
    </row>
    <row r="26" spans="2:207" x14ac:dyDescent="0.2">
      <c r="B26" s="2" t="s">
        <v>25</v>
      </c>
      <c r="D26" t="s">
        <v>3</v>
      </c>
      <c r="E26" t="s">
        <v>1</v>
      </c>
      <c r="F26">
        <f>COUNT(M26:GJ26)</f>
        <v>100</v>
      </c>
      <c r="G26" s="3">
        <f>AVERAGE(M26:GJ26)</f>
        <v>56.842493349999977</v>
      </c>
      <c r="H26" s="3">
        <f>MAX(M26:GJ26)</f>
        <v>65.462303000000006</v>
      </c>
      <c r="I26" s="3">
        <f>MIN(M26:GJ26)</f>
        <v>44.927455999999999</v>
      </c>
      <c r="J26" s="3">
        <f>_xlfn.STDEV.P(M26:GJ26)</f>
        <v>4.6751720077844743</v>
      </c>
      <c r="K26" s="3">
        <f>_xlfn.VAR.S(M26:GJ26)</f>
        <v>22.0780134367389</v>
      </c>
      <c r="M26" s="3">
        <v>54.197941</v>
      </c>
      <c r="N26" s="3">
        <v>50.226894000000001</v>
      </c>
      <c r="O26" s="3">
        <v>64.678398000000001</v>
      </c>
      <c r="P26" s="3">
        <v>63.975360999999999</v>
      </c>
      <c r="Q26" s="3">
        <v>58.767448000000002</v>
      </c>
      <c r="R26" s="3">
        <v>61.530731000000003</v>
      </c>
      <c r="S26" s="3">
        <v>63.918129</v>
      </c>
      <c r="T26" s="3">
        <v>59.412239</v>
      </c>
      <c r="U26" s="3">
        <v>51.384041000000003</v>
      </c>
      <c r="V26" s="3">
        <v>60.408904999999997</v>
      </c>
      <c r="W26" s="3">
        <v>54.202271000000003</v>
      </c>
      <c r="X26" s="3">
        <v>63.735275000000001</v>
      </c>
      <c r="Y26" s="3">
        <v>63.246558999999998</v>
      </c>
      <c r="Z26" s="3">
        <v>56.837662000000002</v>
      </c>
      <c r="AA26" s="3">
        <v>58.510773</v>
      </c>
      <c r="AB26" s="3">
        <v>57.102524000000003</v>
      </c>
      <c r="AC26" s="3">
        <v>59.461308000000002</v>
      </c>
      <c r="AD26" s="3">
        <v>58.404915000000003</v>
      </c>
      <c r="AE26" s="3">
        <v>63.800159000000001</v>
      </c>
      <c r="AF26" s="3">
        <v>60.600924999999997</v>
      </c>
      <c r="AG26" s="3">
        <v>57.104042</v>
      </c>
      <c r="AH26" s="3">
        <v>58.146099</v>
      </c>
      <c r="AI26" s="3">
        <v>59.964568999999997</v>
      </c>
      <c r="AJ26" s="3">
        <v>54.12397</v>
      </c>
      <c r="AK26" s="3">
        <v>63.021877000000003</v>
      </c>
      <c r="AL26" s="3">
        <v>54.468249999999998</v>
      </c>
      <c r="AM26" s="3">
        <v>52.271267000000002</v>
      </c>
      <c r="AN26" s="3">
        <v>61.298499999999997</v>
      </c>
      <c r="AO26" s="3">
        <v>59.866680000000002</v>
      </c>
      <c r="AP26" s="3">
        <v>59.801406999999998</v>
      </c>
      <c r="AQ26" s="3">
        <v>58.627212999999998</v>
      </c>
      <c r="AR26" s="3">
        <v>61.177833999999997</v>
      </c>
      <c r="AS26" s="3">
        <v>60.293751</v>
      </c>
      <c r="AT26" s="3">
        <v>57.022480000000002</v>
      </c>
      <c r="AU26" s="3">
        <v>61.751475999999997</v>
      </c>
      <c r="AV26" s="3">
        <v>61.955978000000002</v>
      </c>
      <c r="AW26" s="3">
        <v>61.110401000000003</v>
      </c>
      <c r="AX26" s="3">
        <v>65.462303000000006</v>
      </c>
      <c r="AY26" s="3">
        <v>54.907383000000003</v>
      </c>
      <c r="AZ26" s="3">
        <v>58.004116000000003</v>
      </c>
      <c r="BA26" s="3">
        <v>54.936503999999999</v>
      </c>
      <c r="BB26" s="3">
        <v>62.110866999999999</v>
      </c>
      <c r="BC26" s="3">
        <v>62.006675999999999</v>
      </c>
      <c r="BD26" s="3">
        <v>59.507626000000002</v>
      </c>
      <c r="BE26" s="3">
        <v>56.619633</v>
      </c>
      <c r="BF26" s="3">
        <v>50.327095</v>
      </c>
      <c r="BG26" s="3">
        <v>60.929749000000001</v>
      </c>
      <c r="BH26" s="3">
        <v>61.612751000000003</v>
      </c>
      <c r="BI26" s="3">
        <v>53.672974000000004</v>
      </c>
      <c r="BJ26" s="3">
        <v>61.105541000000002</v>
      </c>
      <c r="BK26" s="3">
        <v>48.966392999999997</v>
      </c>
      <c r="BL26" s="3">
        <v>54.39011</v>
      </c>
      <c r="BM26" s="3">
        <v>52.686573000000003</v>
      </c>
      <c r="BN26" s="3">
        <v>61.638385999999997</v>
      </c>
      <c r="BO26" s="3">
        <v>48.595432000000002</v>
      </c>
      <c r="BP26" s="3">
        <v>49.008769999999998</v>
      </c>
      <c r="BQ26" s="3">
        <v>54.493996000000003</v>
      </c>
      <c r="BR26" s="3">
        <v>52.488415000000003</v>
      </c>
      <c r="BS26" s="3">
        <v>59.742271000000002</v>
      </c>
      <c r="BT26" s="3">
        <v>57.077435000000001</v>
      </c>
      <c r="BU26" s="3">
        <v>46.411544999999997</v>
      </c>
      <c r="BV26" s="3">
        <v>59.584296999999999</v>
      </c>
      <c r="BW26" s="3">
        <v>51.884036999999999</v>
      </c>
      <c r="BX26" s="3">
        <v>44.927455999999999</v>
      </c>
      <c r="BY26" s="3">
        <v>57.385154999999997</v>
      </c>
      <c r="BZ26" s="3">
        <v>52.279525999999997</v>
      </c>
      <c r="CA26" s="3">
        <v>60.381022999999999</v>
      </c>
      <c r="CB26" s="3">
        <v>54.883026000000001</v>
      </c>
      <c r="CC26" s="3">
        <v>59.394919999999999</v>
      </c>
      <c r="CD26" s="3">
        <v>55.935794999999999</v>
      </c>
      <c r="CE26" s="3">
        <v>54.071503</v>
      </c>
      <c r="CF26" s="3">
        <v>53.468494</v>
      </c>
      <c r="CG26" s="3">
        <v>62.181992000000001</v>
      </c>
      <c r="CH26" s="3">
        <v>58.782501000000003</v>
      </c>
      <c r="CI26" s="3">
        <v>57.972197999999999</v>
      </c>
      <c r="CJ26" s="3">
        <v>52.937739999999998</v>
      </c>
      <c r="CK26" s="3">
        <v>50.627994999999999</v>
      </c>
      <c r="CL26" s="3">
        <v>60.443226000000003</v>
      </c>
      <c r="CM26" s="3">
        <v>59.747917000000001</v>
      </c>
      <c r="CN26" s="3">
        <v>52.112594999999999</v>
      </c>
      <c r="CO26" s="3">
        <v>47.074779999999997</v>
      </c>
      <c r="CP26" s="3">
        <v>56.585014000000001</v>
      </c>
      <c r="CQ26" s="3">
        <v>59.246941</v>
      </c>
      <c r="CR26" s="3">
        <v>50.627819000000002</v>
      </c>
      <c r="CS26" s="3">
        <v>55.890014999999998</v>
      </c>
      <c r="CT26" s="3">
        <v>56.090758999999998</v>
      </c>
      <c r="CU26" s="3">
        <v>55.297770999999997</v>
      </c>
      <c r="CV26" s="3">
        <v>51.731346000000002</v>
      </c>
      <c r="CW26" s="3">
        <v>45.96246</v>
      </c>
      <c r="CX26" s="3">
        <v>57.156695999999997</v>
      </c>
      <c r="CY26" s="3">
        <v>51.777714000000003</v>
      </c>
      <c r="CZ26" s="3">
        <v>56.021701999999998</v>
      </c>
      <c r="DA26" s="3">
        <v>50.296818000000002</v>
      </c>
      <c r="DB26" s="3">
        <v>48.464333000000003</v>
      </c>
      <c r="DC26" s="3">
        <v>59.710487000000001</v>
      </c>
      <c r="DD26" s="3">
        <v>56.088127</v>
      </c>
      <c r="DE26" s="3">
        <v>54.605358000000003</v>
      </c>
      <c r="DF26" s="3">
        <v>55.430858999999998</v>
      </c>
      <c r="DG26" s="3">
        <v>63.274372</v>
      </c>
      <c r="DH26" s="3">
        <v>60.803772000000002</v>
      </c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</row>
    <row r="27" spans="2:207" x14ac:dyDescent="0.2">
      <c r="B27" s="2" t="s">
        <v>26</v>
      </c>
      <c r="G27" s="3"/>
      <c r="H27" s="3"/>
      <c r="I27" s="3"/>
      <c r="J27" s="3"/>
      <c r="K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</row>
    <row r="28" spans="2:207" x14ac:dyDescent="0.2">
      <c r="B28" s="2" t="s">
        <v>27</v>
      </c>
      <c r="D28" t="s">
        <v>4</v>
      </c>
      <c r="E28" t="s">
        <v>1</v>
      </c>
      <c r="F28">
        <f>COUNT(M28:GJ28)</f>
        <v>100</v>
      </c>
      <c r="G28" s="3">
        <f>AVERAGE(M28:GJ28)</f>
        <v>50.481027610000012</v>
      </c>
      <c r="H28" s="3">
        <f>MAX(M28:GJ28)</f>
        <v>66.379233999999997</v>
      </c>
      <c r="I28" s="3">
        <f>MIN(M28:GJ28)</f>
        <v>33.124099999999999</v>
      </c>
      <c r="J28" s="3">
        <f>_xlfn.STDEV.P(M28:GJ28)</f>
        <v>5.304537658456308</v>
      </c>
      <c r="K28" s="3">
        <f>_xlfn.VAR.S(M28:GJ28)</f>
        <v>28.422343202001141</v>
      </c>
      <c r="M28" s="3">
        <v>44.596378000000001</v>
      </c>
      <c r="N28" s="3">
        <v>53.001541000000003</v>
      </c>
      <c r="O28" s="3">
        <v>43.724544999999999</v>
      </c>
      <c r="P28" s="3">
        <v>62.372630999999998</v>
      </c>
      <c r="Q28" s="3">
        <v>52.081603999999999</v>
      </c>
      <c r="R28" s="3">
        <v>51.419978999999998</v>
      </c>
      <c r="S28" s="3">
        <v>49.167484000000002</v>
      </c>
      <c r="T28" s="3">
        <v>51.249222000000003</v>
      </c>
      <c r="U28" s="3">
        <v>52.071021999999999</v>
      </c>
      <c r="V28" s="3">
        <v>53.575263999999997</v>
      </c>
      <c r="W28" s="3">
        <v>48.735576999999999</v>
      </c>
      <c r="X28" s="3">
        <v>53.735000999999997</v>
      </c>
      <c r="Y28" s="3">
        <v>55.661743000000001</v>
      </c>
      <c r="Z28" s="3">
        <v>50.052745999999999</v>
      </c>
      <c r="AA28" s="3">
        <v>54.821835</v>
      </c>
      <c r="AB28" s="3">
        <v>55.952457000000003</v>
      </c>
      <c r="AC28" s="3">
        <v>51.237419000000003</v>
      </c>
      <c r="AD28" s="3">
        <v>47.144817000000003</v>
      </c>
      <c r="AE28" s="3">
        <v>47.085228000000001</v>
      </c>
      <c r="AF28" s="3">
        <v>41.840561000000001</v>
      </c>
      <c r="AG28" s="3">
        <v>50.994098999999999</v>
      </c>
      <c r="AH28" s="3">
        <v>52.226871000000003</v>
      </c>
      <c r="AI28" s="3">
        <v>58.549042</v>
      </c>
      <c r="AJ28" s="3">
        <v>48.713352</v>
      </c>
      <c r="AK28" s="3">
        <v>53.856971999999999</v>
      </c>
      <c r="AL28" s="3">
        <v>51.235087999999998</v>
      </c>
      <c r="AM28" s="3">
        <v>52.037028999999997</v>
      </c>
      <c r="AN28" s="3">
        <v>44.433169999999997</v>
      </c>
      <c r="AO28" s="3">
        <v>51.171959000000001</v>
      </c>
      <c r="AP28" s="3">
        <v>42.738456999999997</v>
      </c>
      <c r="AQ28" s="3">
        <v>52.947108999999998</v>
      </c>
      <c r="AR28" s="3">
        <v>47.12368</v>
      </c>
      <c r="AS28" s="3">
        <v>48.795822000000001</v>
      </c>
      <c r="AT28" s="3">
        <v>58.149258000000003</v>
      </c>
      <c r="AU28" s="3">
        <v>58.645752000000002</v>
      </c>
      <c r="AV28" s="3">
        <v>54.220058000000002</v>
      </c>
      <c r="AW28" s="3">
        <v>53.126339000000002</v>
      </c>
      <c r="AX28" s="3">
        <v>54.069499999999998</v>
      </c>
      <c r="AY28" s="3">
        <v>54.710945000000002</v>
      </c>
      <c r="AZ28" s="3">
        <v>54.089314000000002</v>
      </c>
      <c r="BA28" s="3">
        <v>59.552920999999998</v>
      </c>
      <c r="BB28" s="3">
        <v>50.465026999999999</v>
      </c>
      <c r="BC28" s="3">
        <v>43.971642000000003</v>
      </c>
      <c r="BD28" s="3">
        <v>54.952713000000003</v>
      </c>
      <c r="BE28" s="3">
        <v>49.663200000000003</v>
      </c>
      <c r="BF28" s="3">
        <v>53.303840999999998</v>
      </c>
      <c r="BG28" s="3">
        <v>54.879348999999998</v>
      </c>
      <c r="BH28" s="3">
        <v>52.618262999999999</v>
      </c>
      <c r="BI28" s="3">
        <v>47.199902000000002</v>
      </c>
      <c r="BJ28" s="3">
        <v>50.576819999999998</v>
      </c>
      <c r="BK28" s="3">
        <v>50.028908000000001</v>
      </c>
      <c r="BL28" s="3">
        <v>58.38129</v>
      </c>
      <c r="BM28" s="3">
        <v>47.951934999999999</v>
      </c>
      <c r="BN28" s="3">
        <v>53.108212000000002</v>
      </c>
      <c r="BO28" s="3">
        <v>66.379233999999997</v>
      </c>
      <c r="BP28" s="3">
        <v>44.670302999999997</v>
      </c>
      <c r="BQ28" s="3">
        <v>49.334674999999997</v>
      </c>
      <c r="BR28" s="3">
        <v>51.364654999999999</v>
      </c>
      <c r="BS28" s="3">
        <v>48.104785999999997</v>
      </c>
      <c r="BT28" s="3">
        <v>47.335377000000001</v>
      </c>
      <c r="BU28" s="3">
        <v>48.517085999999999</v>
      </c>
      <c r="BV28" s="3">
        <v>58.782845000000002</v>
      </c>
      <c r="BW28" s="3">
        <v>54.641818999999998</v>
      </c>
      <c r="BX28" s="3">
        <v>62.594372</v>
      </c>
      <c r="BY28" s="3">
        <v>55.120213</v>
      </c>
      <c r="BZ28" s="3">
        <v>43.549923</v>
      </c>
      <c r="CA28" s="3">
        <v>36.317687999999997</v>
      </c>
      <c r="CB28" s="3">
        <v>46.537196999999999</v>
      </c>
      <c r="CC28" s="3">
        <v>45.360703000000001</v>
      </c>
      <c r="CD28" s="3">
        <v>53.915526999999997</v>
      </c>
      <c r="CE28" s="3">
        <v>50.052504999999996</v>
      </c>
      <c r="CF28" s="3">
        <v>55.570320000000002</v>
      </c>
      <c r="CG28" s="3">
        <v>57.976719000000003</v>
      </c>
      <c r="CH28" s="3">
        <v>45.810909000000002</v>
      </c>
      <c r="CI28" s="3">
        <v>48.582496999999996</v>
      </c>
      <c r="CJ28" s="3">
        <v>47.499729000000002</v>
      </c>
      <c r="CK28" s="3">
        <v>48.128075000000003</v>
      </c>
      <c r="CL28" s="3">
        <v>42.611834999999999</v>
      </c>
      <c r="CM28" s="3">
        <v>43.209099000000002</v>
      </c>
      <c r="CN28" s="3">
        <v>33.124099999999999</v>
      </c>
      <c r="CO28" s="3">
        <v>52.560580999999999</v>
      </c>
      <c r="CP28" s="3">
        <v>44.664082000000001</v>
      </c>
      <c r="CQ28" s="3">
        <v>47.864123999999997</v>
      </c>
      <c r="CR28" s="3">
        <v>49.587181000000001</v>
      </c>
      <c r="CS28" s="3">
        <v>46.510883</v>
      </c>
      <c r="CT28" s="3">
        <v>49.322296000000001</v>
      </c>
      <c r="CU28" s="3">
        <v>55.483490000000003</v>
      </c>
      <c r="CV28" s="3">
        <v>51.270287000000003</v>
      </c>
      <c r="CW28" s="3">
        <v>56.008842000000001</v>
      </c>
      <c r="CX28" s="3">
        <v>44.474758000000001</v>
      </c>
      <c r="CY28" s="3">
        <v>47.548499999999997</v>
      </c>
      <c r="CZ28" s="3">
        <v>46.371417999999998</v>
      </c>
      <c r="DA28" s="3">
        <v>43.98912</v>
      </c>
      <c r="DB28" s="3">
        <v>50.243172000000001</v>
      </c>
      <c r="DC28" s="3">
        <v>53.000422999999998</v>
      </c>
      <c r="DD28" s="3">
        <v>43.949829000000001</v>
      </c>
      <c r="DE28" s="3">
        <v>45.318539000000001</v>
      </c>
      <c r="DF28" s="3">
        <v>50.323891000000003</v>
      </c>
      <c r="DG28" s="3">
        <v>45.808154999999999</v>
      </c>
      <c r="DH28" s="3">
        <v>50.696106</v>
      </c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</row>
    <row r="29" spans="2:207" x14ac:dyDescent="0.2">
      <c r="G29" s="3"/>
      <c r="H29" s="3"/>
      <c r="I29" s="3"/>
      <c r="J29" s="3"/>
      <c r="K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</row>
    <row r="30" spans="2:207" x14ac:dyDescent="0.2">
      <c r="D30" t="s">
        <v>2</v>
      </c>
      <c r="E30" t="s">
        <v>1</v>
      </c>
      <c r="F30">
        <f>COUNT(M30:GJ30)</f>
        <v>100</v>
      </c>
      <c r="G30" s="3">
        <f>AVERAGE(M30:GJ30)</f>
        <v>45.610496439999991</v>
      </c>
      <c r="H30" s="3">
        <f>MAX(M30:GJ30)</f>
        <v>56.399700000000003</v>
      </c>
      <c r="I30" s="3">
        <f>MIN(M30:GJ30)</f>
        <v>39.890106000000003</v>
      </c>
      <c r="J30" s="3">
        <f>_xlfn.STDEV.P(M30:GJ30)</f>
        <v>3.4874242266563051</v>
      </c>
      <c r="K30" s="3">
        <f>_xlfn.VAR.S(M30:GJ30)</f>
        <v>12.284977511787201</v>
      </c>
      <c r="M30" s="3">
        <v>48.865943999999999</v>
      </c>
      <c r="N30" s="3">
        <v>43.007354999999997</v>
      </c>
      <c r="O30" s="3">
        <v>46.227367000000001</v>
      </c>
      <c r="P30" s="3">
        <v>52.548552999999998</v>
      </c>
      <c r="Q30" s="3">
        <v>52.636195999999998</v>
      </c>
      <c r="R30" s="3">
        <v>50.553367999999999</v>
      </c>
      <c r="S30" s="3">
        <v>45.202396</v>
      </c>
      <c r="T30" s="3">
        <v>50.476784000000002</v>
      </c>
      <c r="U30" s="3">
        <v>48.019103999999999</v>
      </c>
      <c r="V30" s="3">
        <v>50.975990000000003</v>
      </c>
      <c r="W30" s="3">
        <v>50.717906999999997</v>
      </c>
      <c r="X30" s="3">
        <v>52.193752000000003</v>
      </c>
      <c r="Y30" s="3">
        <v>46.973049000000003</v>
      </c>
      <c r="Z30" s="3">
        <v>51.308402999999998</v>
      </c>
      <c r="AA30" s="3">
        <v>48.37867</v>
      </c>
      <c r="AB30" s="3">
        <v>49.308822999999997</v>
      </c>
      <c r="AC30" s="3">
        <v>45.967621000000001</v>
      </c>
      <c r="AD30" s="3">
        <v>43.699894</v>
      </c>
      <c r="AE30" s="3">
        <v>54.956676000000002</v>
      </c>
      <c r="AF30" s="3">
        <v>52.134529000000001</v>
      </c>
      <c r="AG30" s="3">
        <v>43.438319999999997</v>
      </c>
      <c r="AH30" s="3">
        <v>51.922961999999998</v>
      </c>
      <c r="AI30" s="3">
        <v>44.445113999999997</v>
      </c>
      <c r="AJ30" s="3">
        <v>56.399700000000003</v>
      </c>
      <c r="AK30" s="3">
        <v>48.307822999999999</v>
      </c>
      <c r="AL30" s="3">
        <v>49.783301999999999</v>
      </c>
      <c r="AM30" s="3">
        <v>51.615420999999998</v>
      </c>
      <c r="AN30" s="3">
        <v>47.440688999999999</v>
      </c>
      <c r="AO30" s="3">
        <v>43.026378999999999</v>
      </c>
      <c r="AP30" s="3">
        <v>44.310242000000002</v>
      </c>
      <c r="AQ30" s="3">
        <v>40.756507999999997</v>
      </c>
      <c r="AR30" s="3">
        <v>46.462573999999996</v>
      </c>
      <c r="AS30" s="3">
        <v>44.822417999999999</v>
      </c>
      <c r="AT30" s="3">
        <v>45.174281999999998</v>
      </c>
      <c r="AU30" s="3">
        <v>44.690372000000004</v>
      </c>
      <c r="AV30" s="3">
        <v>43.488953000000002</v>
      </c>
      <c r="AW30" s="3">
        <v>48.490479000000001</v>
      </c>
      <c r="AX30" s="3">
        <v>44.592049000000003</v>
      </c>
      <c r="AY30" s="3">
        <v>44.805878</v>
      </c>
      <c r="AZ30" s="3">
        <v>44.547958000000001</v>
      </c>
      <c r="BA30" s="3">
        <v>41.429423999999997</v>
      </c>
      <c r="BB30" s="3">
        <v>50.233505000000001</v>
      </c>
      <c r="BC30" s="3">
        <v>50.478794000000001</v>
      </c>
      <c r="BD30" s="3">
        <v>43.815525000000001</v>
      </c>
      <c r="BE30" s="3">
        <v>48.185547</v>
      </c>
      <c r="BF30" s="3">
        <v>46.317894000000003</v>
      </c>
      <c r="BG30" s="3">
        <v>46.438606</v>
      </c>
      <c r="BH30" s="3">
        <v>42.936050000000002</v>
      </c>
      <c r="BI30" s="3">
        <v>51.53331</v>
      </c>
      <c r="BJ30" s="3">
        <v>44.107692999999998</v>
      </c>
      <c r="BK30" s="3">
        <v>44.629688000000002</v>
      </c>
      <c r="BL30" s="3">
        <v>41.108970999999997</v>
      </c>
      <c r="BM30" s="3">
        <v>45.805942999999999</v>
      </c>
      <c r="BN30" s="3">
        <v>43.830635000000001</v>
      </c>
      <c r="BO30" s="3">
        <v>42.019649999999999</v>
      </c>
      <c r="BP30" s="3">
        <v>42.017712000000003</v>
      </c>
      <c r="BQ30" s="3">
        <v>42.963329000000002</v>
      </c>
      <c r="BR30" s="3">
        <v>40.358745999999996</v>
      </c>
      <c r="BS30" s="3">
        <v>43.001671000000002</v>
      </c>
      <c r="BT30" s="3">
        <v>39.890106000000003</v>
      </c>
      <c r="BU30" s="3">
        <v>40.013171999999997</v>
      </c>
      <c r="BV30" s="3">
        <v>43.526133999999999</v>
      </c>
      <c r="BW30" s="3">
        <v>42.955207999999999</v>
      </c>
      <c r="BX30" s="3">
        <v>41.623134999999998</v>
      </c>
      <c r="BY30" s="3">
        <v>44.006259999999997</v>
      </c>
      <c r="BZ30" s="3">
        <v>46.200885999999997</v>
      </c>
      <c r="CA30" s="3">
        <v>44.411259000000001</v>
      </c>
      <c r="CB30" s="3">
        <v>41.111007999999998</v>
      </c>
      <c r="CC30" s="3">
        <v>43.620925999999997</v>
      </c>
      <c r="CD30" s="3">
        <v>44.692635000000003</v>
      </c>
      <c r="CE30" s="3">
        <v>41.962833000000003</v>
      </c>
      <c r="CF30" s="3">
        <v>44.836570999999999</v>
      </c>
      <c r="CG30" s="3">
        <v>43.896194000000001</v>
      </c>
      <c r="CH30" s="3">
        <v>43.184646999999998</v>
      </c>
      <c r="CI30" s="3">
        <v>43.491366999999997</v>
      </c>
      <c r="CJ30" s="3">
        <v>43.941681000000003</v>
      </c>
      <c r="CK30" s="3">
        <v>42.661869000000003</v>
      </c>
      <c r="CL30" s="3">
        <v>45.156868000000003</v>
      </c>
      <c r="CM30" s="3">
        <v>42.192585000000001</v>
      </c>
      <c r="CN30" s="3">
        <v>41.039164999999997</v>
      </c>
      <c r="CO30" s="3">
        <v>46.292946000000001</v>
      </c>
      <c r="CP30" s="3">
        <v>41.173164</v>
      </c>
      <c r="CQ30" s="3">
        <v>40.026820999999998</v>
      </c>
      <c r="CR30" s="3">
        <v>43.422981</v>
      </c>
      <c r="CS30" s="3">
        <v>43.713306000000003</v>
      </c>
      <c r="CT30" s="3">
        <v>46.676884000000001</v>
      </c>
      <c r="CU30" s="3">
        <v>45.256016000000002</v>
      </c>
      <c r="CV30" s="3">
        <v>45.216087000000002</v>
      </c>
      <c r="CW30" s="3">
        <v>47.995964000000001</v>
      </c>
      <c r="CX30" s="3">
        <v>44.493091999999997</v>
      </c>
      <c r="CY30" s="3">
        <v>44.960701</v>
      </c>
      <c r="CZ30" s="3">
        <v>44.343494</v>
      </c>
      <c r="DA30" s="3">
        <v>43.779324000000003</v>
      </c>
      <c r="DB30" s="3">
        <v>46.569389000000001</v>
      </c>
      <c r="DC30" s="3">
        <v>45.134804000000003</v>
      </c>
      <c r="DD30" s="3">
        <v>44.445675000000001</v>
      </c>
      <c r="DE30" s="3">
        <v>45.758583000000002</v>
      </c>
      <c r="DF30" s="3">
        <v>44.884022000000002</v>
      </c>
      <c r="DG30" s="3">
        <v>45.039065999999998</v>
      </c>
      <c r="DH30" s="3">
        <v>43.566319</v>
      </c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  <c r="EN30" s="3"/>
      <c r="EO30" s="3"/>
      <c r="EP30" s="3"/>
      <c r="EQ30" s="3"/>
      <c r="ER30" s="3"/>
      <c r="ES30" s="3"/>
      <c r="ET30" s="3"/>
      <c r="EU30" s="3"/>
      <c r="EV30" s="3"/>
      <c r="EW30" s="3"/>
      <c r="EX30" s="3"/>
      <c r="EY30" s="3"/>
      <c r="EZ30" s="3"/>
      <c r="FA30" s="3"/>
      <c r="FB30" s="3"/>
      <c r="FC30" s="3"/>
      <c r="FD30" s="3"/>
      <c r="FE30" s="3"/>
      <c r="FF30" s="3"/>
      <c r="FG30" s="3"/>
      <c r="FH30" s="3"/>
      <c r="FI30" s="3"/>
      <c r="FJ30" s="3"/>
      <c r="FK30" s="3"/>
      <c r="FL30" s="3"/>
      <c r="FM30" s="3"/>
      <c r="FN30" s="3"/>
      <c r="FO30" s="3"/>
      <c r="FP30" s="3"/>
      <c r="FQ30" s="3"/>
      <c r="FR30" s="3"/>
      <c r="FS30" s="3"/>
      <c r="FT30" s="3"/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/>
      <c r="GG30" s="3"/>
      <c r="GH30" s="3"/>
      <c r="GI30" s="3"/>
      <c r="GJ30" s="3"/>
      <c r="GK30" s="3"/>
      <c r="GL30" s="3"/>
      <c r="GM30" s="3"/>
      <c r="GN30" s="3"/>
      <c r="GO30" s="3"/>
      <c r="GP30" s="3"/>
      <c r="GQ30" s="3"/>
      <c r="GR30" s="3"/>
      <c r="GS30" s="3"/>
      <c r="GT30" s="3"/>
      <c r="GU30" s="3"/>
      <c r="GV30" s="3"/>
      <c r="GW30" s="3"/>
      <c r="GX30" s="3"/>
      <c r="GY30" s="3"/>
    </row>
    <row r="31" spans="2:207" x14ac:dyDescent="0.2">
      <c r="G31" s="3"/>
      <c r="H31" s="3"/>
      <c r="I31" s="3"/>
      <c r="J31" s="3"/>
      <c r="K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  <c r="EN31" s="3"/>
      <c r="EO31" s="3"/>
      <c r="EP31" s="3"/>
      <c r="EQ31" s="3"/>
      <c r="ER31" s="3"/>
      <c r="ES31" s="3"/>
      <c r="ET31" s="3"/>
      <c r="EU31" s="3"/>
      <c r="EV31" s="3"/>
      <c r="EW31" s="3"/>
      <c r="EX31" s="3"/>
      <c r="EY31" s="3"/>
      <c r="EZ31" s="3"/>
      <c r="FA31" s="3"/>
      <c r="FB31" s="3"/>
      <c r="FC31" s="3"/>
      <c r="FD31" s="3"/>
      <c r="FE31" s="3"/>
      <c r="FF31" s="3"/>
      <c r="FG31" s="3"/>
      <c r="FH31" s="3"/>
      <c r="FI31" s="3"/>
      <c r="FJ31" s="3"/>
      <c r="FK31" s="3"/>
      <c r="FL31" s="3"/>
      <c r="FM31" s="3"/>
      <c r="FN31" s="3"/>
      <c r="FO31" s="3"/>
      <c r="FP31" s="3"/>
      <c r="FQ31" s="3"/>
      <c r="FR31" s="3"/>
      <c r="FS31" s="3"/>
      <c r="FT31" s="3"/>
      <c r="FU31" s="3"/>
      <c r="FV31" s="3"/>
      <c r="FW31" s="3"/>
      <c r="FX31" s="3"/>
      <c r="FY31" s="3"/>
      <c r="FZ31" s="3"/>
      <c r="GA31" s="3"/>
      <c r="GB31" s="3"/>
      <c r="GC31" s="3"/>
      <c r="GD31" s="3"/>
      <c r="GE31" s="3"/>
      <c r="GF31" s="3"/>
      <c r="GG31" s="3"/>
      <c r="GH31" s="3"/>
      <c r="GI31" s="3"/>
      <c r="GJ31" s="3"/>
      <c r="GK31" s="3"/>
      <c r="GL31" s="3"/>
      <c r="GM31" s="3"/>
      <c r="GN31" s="3"/>
      <c r="GO31" s="3"/>
      <c r="GP31" s="3"/>
      <c r="GQ31" s="3"/>
      <c r="GR31" s="3"/>
      <c r="GS31" s="3"/>
      <c r="GT31" s="3"/>
      <c r="GU31" s="3"/>
      <c r="GV31" s="3"/>
      <c r="GW31" s="3"/>
      <c r="GX31" s="3"/>
      <c r="GY31" s="3"/>
    </row>
    <row r="32" spans="2:207" x14ac:dyDescent="0.2">
      <c r="D32" t="s">
        <v>5</v>
      </c>
      <c r="E32" t="s">
        <v>1</v>
      </c>
      <c r="F32">
        <f>COUNT(M32:GJ32)</f>
        <v>100</v>
      </c>
      <c r="G32" s="3">
        <f>AVERAGE(M32:GJ32)</f>
        <v>44.443919960000002</v>
      </c>
      <c r="H32" s="3">
        <f>MAX(M32:GJ32)</f>
        <v>58.854118</v>
      </c>
      <c r="I32" s="3">
        <f>MIN(M32:GJ32)</f>
        <v>35.432537000000004</v>
      </c>
      <c r="J32" s="3">
        <f>_xlfn.STDEV.P(M32:GJ32)</f>
        <v>4.7342750978356527</v>
      </c>
      <c r="K32" s="3">
        <f>_xlfn.VAR.S(M32:GJ32)</f>
        <v>22.639758284835175</v>
      </c>
      <c r="M32" s="3">
        <v>46.712012999999999</v>
      </c>
      <c r="N32" s="3">
        <v>39.266593999999998</v>
      </c>
      <c r="O32" s="3">
        <v>46.158192</v>
      </c>
      <c r="P32" s="3">
        <v>48.928719000000001</v>
      </c>
      <c r="Q32" s="3">
        <v>49.375861999999998</v>
      </c>
      <c r="R32" s="3">
        <v>39.957996000000001</v>
      </c>
      <c r="S32" s="3">
        <v>44.904387999999997</v>
      </c>
      <c r="T32" s="3">
        <v>48.631359000000003</v>
      </c>
      <c r="U32" s="3">
        <v>45.572719999999997</v>
      </c>
      <c r="V32" s="3">
        <v>41.559834000000002</v>
      </c>
      <c r="W32" s="3">
        <v>39.903174999999997</v>
      </c>
      <c r="X32" s="3">
        <v>46.044125000000001</v>
      </c>
      <c r="Y32" s="3">
        <v>53.269607999999998</v>
      </c>
      <c r="Z32" s="3">
        <v>40.510094000000002</v>
      </c>
      <c r="AA32" s="3">
        <v>45.278979999999997</v>
      </c>
      <c r="AB32" s="3">
        <v>40.551318999999999</v>
      </c>
      <c r="AC32" s="3">
        <v>45.048672000000003</v>
      </c>
      <c r="AD32" s="3">
        <v>48.373798000000001</v>
      </c>
      <c r="AE32" s="3">
        <v>46.077373999999999</v>
      </c>
      <c r="AF32" s="3">
        <v>37.386246</v>
      </c>
      <c r="AG32" s="3">
        <v>46.300975999999999</v>
      </c>
      <c r="AH32" s="3">
        <v>49.727508999999998</v>
      </c>
      <c r="AI32" s="3">
        <v>47.598263000000003</v>
      </c>
      <c r="AJ32" s="3">
        <v>54.295208000000002</v>
      </c>
      <c r="AK32" s="3">
        <v>58.854118</v>
      </c>
      <c r="AL32" s="3">
        <v>43.360129999999998</v>
      </c>
      <c r="AM32" s="3">
        <v>39.656348999999999</v>
      </c>
      <c r="AN32" s="3">
        <v>38.293514000000002</v>
      </c>
      <c r="AO32" s="3">
        <v>47.723540999999997</v>
      </c>
      <c r="AP32" s="3">
        <v>49.716411999999998</v>
      </c>
      <c r="AQ32" s="3">
        <v>47.545867999999999</v>
      </c>
      <c r="AR32" s="3">
        <v>42.862850000000002</v>
      </c>
      <c r="AS32" s="3">
        <v>38.764373999999997</v>
      </c>
      <c r="AT32" s="3">
        <v>47.739635</v>
      </c>
      <c r="AU32" s="3">
        <v>39.991405</v>
      </c>
      <c r="AV32" s="3">
        <v>49.150691999999999</v>
      </c>
      <c r="AW32" s="3">
        <v>44.372059</v>
      </c>
      <c r="AX32" s="3">
        <v>43.373984999999998</v>
      </c>
      <c r="AY32" s="3">
        <v>44.920147</v>
      </c>
      <c r="AZ32" s="3">
        <v>44.752457</v>
      </c>
      <c r="BA32" s="3">
        <v>41.63588</v>
      </c>
      <c r="BB32" s="3">
        <v>44.571598000000002</v>
      </c>
      <c r="BC32" s="3">
        <v>45.495525000000001</v>
      </c>
      <c r="BD32" s="3">
        <v>41.929969999999997</v>
      </c>
      <c r="BE32" s="3">
        <v>35.655532999999998</v>
      </c>
      <c r="BF32" s="3">
        <v>36.262123000000003</v>
      </c>
      <c r="BG32" s="3">
        <v>52.349266</v>
      </c>
      <c r="BH32" s="3">
        <v>48.094070000000002</v>
      </c>
      <c r="BI32" s="3">
        <v>52.348328000000002</v>
      </c>
      <c r="BJ32" s="3">
        <v>58.100684999999999</v>
      </c>
      <c r="BK32" s="3">
        <v>43.994038000000003</v>
      </c>
      <c r="BL32" s="3">
        <v>39.320476999999997</v>
      </c>
      <c r="BM32" s="3">
        <v>37.115181</v>
      </c>
      <c r="BN32" s="3">
        <v>47.083809000000002</v>
      </c>
      <c r="BO32" s="3">
        <v>39.173183000000002</v>
      </c>
      <c r="BP32" s="3">
        <v>45.405163000000002</v>
      </c>
      <c r="BQ32" s="3">
        <v>41.431472999999997</v>
      </c>
      <c r="BR32" s="3">
        <v>43.844807000000003</v>
      </c>
      <c r="BS32" s="3">
        <v>40.20919</v>
      </c>
      <c r="BT32" s="3">
        <v>41.614494000000001</v>
      </c>
      <c r="BU32" s="3">
        <v>43.146571999999999</v>
      </c>
      <c r="BV32" s="3">
        <v>43.507747999999999</v>
      </c>
      <c r="BW32" s="3">
        <v>51.664124000000001</v>
      </c>
      <c r="BX32" s="3">
        <v>42.723166999999997</v>
      </c>
      <c r="BY32" s="3">
        <v>42.887507999999997</v>
      </c>
      <c r="BZ32" s="3">
        <v>41.637718</v>
      </c>
      <c r="CA32" s="3">
        <v>46.070877000000003</v>
      </c>
      <c r="CB32" s="3">
        <v>46.271132999999999</v>
      </c>
      <c r="CC32" s="3">
        <v>47.246414000000001</v>
      </c>
      <c r="CD32" s="3">
        <v>35.432537000000004</v>
      </c>
      <c r="CE32" s="3">
        <v>38.463093000000001</v>
      </c>
      <c r="CF32" s="3">
        <v>47.543483999999999</v>
      </c>
      <c r="CG32" s="3">
        <v>45.087707999999999</v>
      </c>
      <c r="CH32" s="3">
        <v>50.305762999999999</v>
      </c>
      <c r="CI32" s="3">
        <v>55.315646999999998</v>
      </c>
      <c r="CJ32" s="3">
        <v>42.066135000000003</v>
      </c>
      <c r="CK32" s="3">
        <v>38.846313000000002</v>
      </c>
      <c r="CL32" s="3">
        <v>44.340935000000002</v>
      </c>
      <c r="CM32" s="3">
        <v>47.486224999999997</v>
      </c>
      <c r="CN32" s="3">
        <v>45.804828999999998</v>
      </c>
      <c r="CO32" s="3">
        <v>44.942928000000002</v>
      </c>
      <c r="CP32" s="3">
        <v>42.149093999999998</v>
      </c>
      <c r="CQ32" s="3">
        <v>39.069777999999999</v>
      </c>
      <c r="CR32" s="3">
        <v>41.332188000000002</v>
      </c>
      <c r="CS32" s="3">
        <v>42.007210000000001</v>
      </c>
      <c r="CT32" s="3">
        <v>43.401553999999997</v>
      </c>
      <c r="CU32" s="3">
        <v>38.059714999999997</v>
      </c>
      <c r="CV32" s="3">
        <v>46.072609</v>
      </c>
      <c r="CW32" s="3">
        <v>38.778984000000001</v>
      </c>
      <c r="CX32" s="3">
        <v>40.904232</v>
      </c>
      <c r="CY32" s="3">
        <v>48.346297999999997</v>
      </c>
      <c r="CZ32" s="3">
        <v>42.962207999999997</v>
      </c>
      <c r="DA32" s="3">
        <v>47.743484000000002</v>
      </c>
      <c r="DB32" s="3">
        <v>50.044593999999996</v>
      </c>
      <c r="DC32" s="3">
        <v>36.230358000000003</v>
      </c>
      <c r="DD32" s="3">
        <v>39.612568000000003</v>
      </c>
      <c r="DE32" s="3">
        <v>49.002437999999998</v>
      </c>
      <c r="DF32" s="3">
        <v>45.477093000000004</v>
      </c>
      <c r="DG32" s="3">
        <v>43.009475999999999</v>
      </c>
      <c r="DH32" s="3">
        <v>41.251904000000003</v>
      </c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  <c r="EN32" s="3"/>
      <c r="EO32" s="3"/>
      <c r="EP32" s="3"/>
      <c r="EQ32" s="3"/>
      <c r="ER32" s="3"/>
      <c r="ES32" s="3"/>
      <c r="ET32" s="3"/>
      <c r="EU32" s="3"/>
      <c r="EV32" s="3"/>
      <c r="EW32" s="3"/>
      <c r="EX32" s="3"/>
      <c r="EY32" s="3"/>
      <c r="EZ32" s="3"/>
      <c r="FA32" s="3"/>
      <c r="FB32" s="3"/>
      <c r="FC32" s="3"/>
      <c r="FD32" s="3"/>
      <c r="FE32" s="3"/>
      <c r="FF32" s="3"/>
      <c r="FG32" s="3"/>
      <c r="FH32" s="3"/>
      <c r="FI32" s="3"/>
      <c r="FJ32" s="3"/>
      <c r="FK32" s="3"/>
      <c r="FL32" s="3"/>
      <c r="FM32" s="3"/>
      <c r="FN32" s="3"/>
      <c r="FO32" s="3"/>
      <c r="FP32" s="3"/>
      <c r="FQ32" s="3"/>
      <c r="FR32" s="3"/>
      <c r="FS32" s="3"/>
      <c r="FT32" s="3"/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/>
      <c r="GG32" s="3"/>
      <c r="GH32" s="3"/>
      <c r="GI32" s="3"/>
      <c r="GJ32" s="3"/>
      <c r="GK32" s="3"/>
      <c r="GL32" s="3"/>
      <c r="GM32" s="3"/>
      <c r="GN32" s="3"/>
      <c r="GO32" s="3"/>
      <c r="GP32" s="3"/>
      <c r="GQ32" s="3"/>
      <c r="GR32" s="3"/>
      <c r="GS32" s="3"/>
      <c r="GT32" s="3"/>
      <c r="GU32" s="3"/>
      <c r="GV32" s="3"/>
      <c r="GW32" s="3"/>
      <c r="GX32" s="3"/>
      <c r="GY32" s="3"/>
    </row>
    <row r="33" spans="2:207" x14ac:dyDescent="0.2">
      <c r="G33" s="3"/>
      <c r="H33" s="3"/>
      <c r="I33" s="3"/>
      <c r="J33" s="3"/>
      <c r="K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/>
      <c r="ET33" s="3"/>
      <c r="EU33" s="3"/>
      <c r="EV33" s="3"/>
      <c r="EW33" s="3"/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/>
      <c r="FL33" s="3"/>
      <c r="FM33" s="3"/>
      <c r="FN33" s="3"/>
      <c r="FO33" s="3"/>
      <c r="FP33" s="3"/>
      <c r="FQ33" s="3"/>
      <c r="FR33" s="3"/>
      <c r="FS33" s="3"/>
      <c r="FT33" s="3"/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/>
      <c r="GG33" s="3"/>
      <c r="GH33" s="3"/>
      <c r="GI33" s="3"/>
      <c r="GJ33" s="3"/>
      <c r="GK33" s="3"/>
      <c r="GL33" s="3"/>
      <c r="GM33" s="3"/>
      <c r="GN33" s="3"/>
      <c r="GO33" s="3"/>
      <c r="GP33" s="3"/>
      <c r="GQ33" s="3"/>
      <c r="GR33" s="3"/>
      <c r="GS33" s="3"/>
      <c r="GT33" s="3"/>
      <c r="GU33" s="3"/>
      <c r="GV33" s="3"/>
      <c r="GW33" s="3"/>
      <c r="GX33" s="3"/>
      <c r="GY33" s="3"/>
    </row>
    <row r="34" spans="2:207" x14ac:dyDescent="0.2">
      <c r="D34" t="s">
        <v>6</v>
      </c>
      <c r="E34" t="s">
        <v>1</v>
      </c>
      <c r="F34">
        <f>COUNT(M34:GJ34)</f>
        <v>100</v>
      </c>
      <c r="G34" s="3">
        <f>AVERAGE(M34:GJ34)</f>
        <v>47.079156179999984</v>
      </c>
      <c r="H34" s="3">
        <f>MAX(M34:GJ34)</f>
        <v>61.563792999999997</v>
      </c>
      <c r="I34" s="3">
        <f>MIN(M34:GJ34)</f>
        <v>28.049047000000002</v>
      </c>
      <c r="J34" s="3">
        <f>_xlfn.STDEV.P(M34:GJ34)</f>
        <v>7.3027761626023109</v>
      </c>
      <c r="K34" s="3">
        <f>_xlfn.VAR.S(M34:GJ34)</f>
        <v>53.86923200108324</v>
      </c>
      <c r="M34" s="3">
        <v>59.347790000000003</v>
      </c>
      <c r="N34" s="3">
        <v>39.609313999999998</v>
      </c>
      <c r="O34" s="3">
        <v>41.011597000000002</v>
      </c>
      <c r="P34" s="3">
        <v>40.135463999999999</v>
      </c>
      <c r="Q34" s="3">
        <v>53.222340000000003</v>
      </c>
      <c r="R34" s="3">
        <v>51.661994999999997</v>
      </c>
      <c r="S34" s="3">
        <v>55.292175</v>
      </c>
      <c r="T34" s="3">
        <v>55.953136000000001</v>
      </c>
      <c r="U34" s="3">
        <v>45.405216000000003</v>
      </c>
      <c r="V34" s="3">
        <v>55.922584999999998</v>
      </c>
      <c r="W34" s="3">
        <v>32.772243000000003</v>
      </c>
      <c r="X34" s="3">
        <v>55.674655999999999</v>
      </c>
      <c r="Y34" s="3">
        <v>42.602989000000001</v>
      </c>
      <c r="Z34" s="3">
        <v>54.596321000000003</v>
      </c>
      <c r="AA34" s="3">
        <v>47.825256000000003</v>
      </c>
      <c r="AB34" s="3">
        <v>52.924590999999999</v>
      </c>
      <c r="AC34" s="3">
        <v>49.969867999999998</v>
      </c>
      <c r="AD34" s="3">
        <v>46.258029999999998</v>
      </c>
      <c r="AE34" s="3">
        <v>37.184390999999998</v>
      </c>
      <c r="AF34" s="3">
        <v>56.385528999999998</v>
      </c>
      <c r="AG34" s="3">
        <v>41.721412999999998</v>
      </c>
      <c r="AH34" s="3">
        <v>51.569823999999997</v>
      </c>
      <c r="AI34" s="3">
        <v>41.496346000000003</v>
      </c>
      <c r="AJ34" s="3">
        <v>42.296337000000001</v>
      </c>
      <c r="AK34" s="3">
        <v>43.654068000000002</v>
      </c>
      <c r="AL34" s="3">
        <v>48.362811999999998</v>
      </c>
      <c r="AM34" s="3">
        <v>45.377521999999999</v>
      </c>
      <c r="AN34" s="3">
        <v>37.360301999999997</v>
      </c>
      <c r="AO34" s="3">
        <v>38.436664999999998</v>
      </c>
      <c r="AP34" s="3">
        <v>53.567360000000001</v>
      </c>
      <c r="AQ34" s="3">
        <v>51.958187000000002</v>
      </c>
      <c r="AR34" s="3">
        <v>59.021918999999997</v>
      </c>
      <c r="AS34" s="3">
        <v>53.365561999999997</v>
      </c>
      <c r="AT34" s="3">
        <v>47.133029999999998</v>
      </c>
      <c r="AU34" s="3">
        <v>51.751883999999997</v>
      </c>
      <c r="AV34" s="3">
        <v>41.480956999999997</v>
      </c>
      <c r="AW34" s="3">
        <v>47.405994</v>
      </c>
      <c r="AX34" s="3">
        <v>33.948616000000001</v>
      </c>
      <c r="AY34" s="3">
        <v>49.216811999999997</v>
      </c>
      <c r="AZ34" s="3">
        <v>44.067656999999997</v>
      </c>
      <c r="BA34" s="3">
        <v>51.860137999999999</v>
      </c>
      <c r="BB34" s="3">
        <v>49.71143</v>
      </c>
      <c r="BC34" s="3">
        <v>46.756168000000002</v>
      </c>
      <c r="BD34" s="3">
        <v>38.876441999999997</v>
      </c>
      <c r="BE34" s="3">
        <v>52.294254000000002</v>
      </c>
      <c r="BF34" s="3">
        <v>32.874802000000003</v>
      </c>
      <c r="BG34" s="3">
        <v>59.741615000000003</v>
      </c>
      <c r="BH34" s="3">
        <v>49.645587999999996</v>
      </c>
      <c r="BI34" s="3">
        <v>42.237110000000001</v>
      </c>
      <c r="BJ34" s="3">
        <v>43.008198</v>
      </c>
      <c r="BK34" s="3">
        <v>61.563792999999997</v>
      </c>
      <c r="BL34" s="3">
        <v>42.507522999999999</v>
      </c>
      <c r="BM34" s="3">
        <v>48.725388000000002</v>
      </c>
      <c r="BN34" s="3">
        <v>29.853166999999999</v>
      </c>
      <c r="BO34" s="3">
        <v>49.077587000000001</v>
      </c>
      <c r="BP34" s="3">
        <v>54.697463999999997</v>
      </c>
      <c r="BQ34" s="3">
        <v>48.689540999999998</v>
      </c>
      <c r="BR34" s="3">
        <v>51.665568999999998</v>
      </c>
      <c r="BS34" s="3">
        <v>49.626801</v>
      </c>
      <c r="BT34" s="3">
        <v>58.804271999999997</v>
      </c>
      <c r="BU34" s="3">
        <v>42.916229000000001</v>
      </c>
      <c r="BV34" s="3">
        <v>52.246291999999997</v>
      </c>
      <c r="BW34" s="3">
        <v>42.887951000000001</v>
      </c>
      <c r="BX34" s="3">
        <v>43.312247999999997</v>
      </c>
      <c r="BY34" s="3">
        <v>46.582500000000003</v>
      </c>
      <c r="BZ34" s="3">
        <v>50.500838999999999</v>
      </c>
      <c r="CA34" s="3">
        <v>49.061881999999997</v>
      </c>
      <c r="CB34" s="3">
        <v>49.846657</v>
      </c>
      <c r="CC34" s="3">
        <v>37.569735999999999</v>
      </c>
      <c r="CD34" s="3">
        <v>52.218113000000002</v>
      </c>
      <c r="CE34" s="3">
        <v>39.933281000000001</v>
      </c>
      <c r="CF34" s="3">
        <v>56.018363999999998</v>
      </c>
      <c r="CG34" s="3">
        <v>40.303932000000003</v>
      </c>
      <c r="CH34" s="3">
        <v>28.049047000000002</v>
      </c>
      <c r="CI34" s="3">
        <v>43.640324</v>
      </c>
      <c r="CJ34" s="3">
        <v>59.914954999999999</v>
      </c>
      <c r="CK34" s="3">
        <v>46.142960000000002</v>
      </c>
      <c r="CL34" s="3">
        <v>42.857292000000001</v>
      </c>
      <c r="CM34" s="3">
        <v>46.509148000000003</v>
      </c>
      <c r="CN34" s="3">
        <v>56.098163999999997</v>
      </c>
      <c r="CO34" s="3">
        <v>48.080249999999999</v>
      </c>
      <c r="CP34" s="3">
        <v>56.803424999999997</v>
      </c>
      <c r="CQ34" s="3">
        <v>56.544682000000002</v>
      </c>
      <c r="CR34" s="3">
        <v>52.365765000000003</v>
      </c>
      <c r="CS34" s="3">
        <v>49.187221999999998</v>
      </c>
      <c r="CT34" s="3">
        <v>38.462722999999997</v>
      </c>
      <c r="CU34" s="3">
        <v>55.200096000000002</v>
      </c>
      <c r="CV34" s="3">
        <v>42.453116999999999</v>
      </c>
      <c r="CW34" s="3">
        <v>39.028793</v>
      </c>
      <c r="CX34" s="3">
        <v>42.256912</v>
      </c>
      <c r="CY34" s="3">
        <v>40.025165999999999</v>
      </c>
      <c r="CZ34" s="3">
        <v>50.268783999999997</v>
      </c>
      <c r="DA34" s="3">
        <v>54.507317</v>
      </c>
      <c r="DB34" s="3">
        <v>35.153111000000003</v>
      </c>
      <c r="DC34" s="3">
        <v>52.442656999999997</v>
      </c>
      <c r="DD34" s="3">
        <v>32.143630999999999</v>
      </c>
      <c r="DE34" s="3">
        <v>45.129249999999999</v>
      </c>
      <c r="DF34" s="3">
        <v>42.008006999999999</v>
      </c>
      <c r="DG34" s="3">
        <v>50.398048000000003</v>
      </c>
      <c r="DH34" s="3">
        <v>39.681145000000001</v>
      </c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  <c r="EN34" s="3"/>
      <c r="EO34" s="3"/>
      <c r="EP34" s="3"/>
      <c r="EQ34" s="3"/>
      <c r="ER34" s="3"/>
      <c r="ES34" s="3"/>
      <c r="ET34" s="3"/>
      <c r="EU34" s="3"/>
      <c r="EV34" s="3"/>
      <c r="EW34" s="3"/>
      <c r="EX34" s="3"/>
      <c r="EY34" s="3"/>
      <c r="EZ34" s="3"/>
      <c r="FA34" s="3"/>
      <c r="FB34" s="3"/>
      <c r="FC34" s="3"/>
      <c r="FD34" s="3"/>
      <c r="FE34" s="3"/>
      <c r="FF34" s="3"/>
      <c r="FG34" s="3"/>
      <c r="FH34" s="3"/>
      <c r="FI34" s="3"/>
      <c r="FJ34" s="3"/>
      <c r="FK34" s="3"/>
      <c r="FL34" s="3"/>
      <c r="FM34" s="3"/>
      <c r="FN34" s="3"/>
      <c r="FO34" s="3"/>
      <c r="FP34" s="3"/>
      <c r="FQ34" s="3"/>
      <c r="FR34" s="3"/>
      <c r="FS34" s="3"/>
      <c r="FT34" s="3"/>
      <c r="FU34" s="3"/>
      <c r="FV34" s="3"/>
      <c r="FW34" s="3"/>
      <c r="FX34" s="3"/>
      <c r="FY34" s="3"/>
      <c r="FZ34" s="3"/>
      <c r="GA34" s="3"/>
      <c r="GB34" s="3"/>
      <c r="GC34" s="3"/>
      <c r="GD34" s="3"/>
      <c r="GE34" s="3"/>
      <c r="GF34" s="3"/>
      <c r="GG34" s="3"/>
      <c r="GH34" s="3"/>
      <c r="GI34" s="3"/>
      <c r="GJ34" s="3"/>
      <c r="GK34" s="3"/>
      <c r="GL34" s="3"/>
      <c r="GM34" s="3"/>
      <c r="GN34" s="3"/>
      <c r="GO34" s="3"/>
      <c r="GP34" s="3"/>
      <c r="GQ34" s="3"/>
      <c r="GR34" s="3"/>
      <c r="GS34" s="3"/>
      <c r="GT34" s="3"/>
      <c r="GU34" s="3"/>
      <c r="GV34" s="3"/>
      <c r="GW34" s="3"/>
      <c r="GX34" s="3"/>
      <c r="GY34" s="3"/>
    </row>
    <row r="35" spans="2:207" x14ac:dyDescent="0.2">
      <c r="G35" s="3"/>
      <c r="H35" s="3"/>
      <c r="I35" s="3"/>
      <c r="J35" s="3"/>
      <c r="K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  <c r="EN35" s="3"/>
      <c r="EO35" s="3"/>
      <c r="EP35" s="3"/>
      <c r="EQ35" s="3"/>
      <c r="ER35" s="3"/>
      <c r="ES35" s="3"/>
      <c r="ET35" s="3"/>
      <c r="EU35" s="3"/>
      <c r="EV35" s="3"/>
      <c r="EW35" s="3"/>
      <c r="EX35" s="3"/>
      <c r="EY35" s="3"/>
      <c r="EZ35" s="3"/>
      <c r="FA35" s="3"/>
      <c r="FB35" s="3"/>
      <c r="FC35" s="3"/>
      <c r="FD35" s="3"/>
      <c r="FE35" s="3"/>
      <c r="FF35" s="3"/>
      <c r="FG35" s="3"/>
      <c r="FH35" s="3"/>
      <c r="FI35" s="3"/>
      <c r="FJ35" s="3"/>
      <c r="FK35" s="3"/>
      <c r="FL35" s="3"/>
      <c r="FM35" s="3"/>
      <c r="FN35" s="3"/>
      <c r="FO35" s="3"/>
      <c r="FP35" s="3"/>
      <c r="FQ35" s="3"/>
      <c r="FR35" s="3"/>
      <c r="FS35" s="3"/>
      <c r="FT35" s="3"/>
      <c r="FU35" s="3"/>
      <c r="FV35" s="3"/>
      <c r="FW35" s="3"/>
      <c r="FX35" s="3"/>
      <c r="FY35" s="3"/>
      <c r="FZ35" s="3"/>
      <c r="GA35" s="3"/>
      <c r="GB35" s="3"/>
      <c r="GC35" s="3"/>
      <c r="GD35" s="3"/>
      <c r="GE35" s="3"/>
      <c r="GF35" s="3"/>
      <c r="GG35" s="3"/>
      <c r="GH35" s="3"/>
      <c r="GI35" s="3"/>
      <c r="GJ35" s="3"/>
      <c r="GK35" s="3"/>
      <c r="GL35" s="3"/>
      <c r="GM35" s="3"/>
      <c r="GN35" s="3"/>
      <c r="GO35" s="3"/>
      <c r="GP35" s="3"/>
      <c r="GQ35" s="3"/>
      <c r="GR35" s="3"/>
      <c r="GS35" s="3"/>
      <c r="GT35" s="3"/>
      <c r="GU35" s="3"/>
      <c r="GV35" s="3"/>
      <c r="GW35" s="3"/>
      <c r="GX35" s="3"/>
      <c r="GY35" s="3"/>
    </row>
    <row r="37" spans="2:207" x14ac:dyDescent="0.2">
      <c r="B37" t="s">
        <v>59</v>
      </c>
      <c r="D37" s="1" t="s">
        <v>31</v>
      </c>
    </row>
    <row r="38" spans="2:207" x14ac:dyDescent="0.2">
      <c r="B38" s="2" t="s">
        <v>28</v>
      </c>
      <c r="D38" t="s">
        <v>3</v>
      </c>
      <c r="E38" t="s">
        <v>1</v>
      </c>
      <c r="F38">
        <f>COUNT(M38:GJ38)</f>
        <v>100</v>
      </c>
      <c r="G38" s="3">
        <f>AVERAGE(M38:GJ38)</f>
        <v>28.42967999</v>
      </c>
      <c r="H38" s="3">
        <f>MAX(M38:GJ38)</f>
        <v>32.988810999999998</v>
      </c>
      <c r="I38" s="3">
        <f>MIN(M38:GJ38)</f>
        <v>24.608463</v>
      </c>
      <c r="J38" s="3">
        <f>_xlfn.STDEV.P(M38:GJ38)</f>
        <v>1.8307158317953141</v>
      </c>
      <c r="K38" s="3">
        <f>_xlfn.VAR.S(M38:GJ38)</f>
        <v>3.385374198773746</v>
      </c>
      <c r="M38" s="3">
        <v>26.340043999999999</v>
      </c>
      <c r="N38" s="3">
        <v>26.387077000000001</v>
      </c>
      <c r="O38" s="3">
        <v>31.469895999999999</v>
      </c>
      <c r="P38" s="3">
        <v>32.987633000000002</v>
      </c>
      <c r="Q38" s="3">
        <v>27.748995000000001</v>
      </c>
      <c r="R38" s="3">
        <v>31.915098</v>
      </c>
      <c r="S38" s="3">
        <v>29.540330999999998</v>
      </c>
      <c r="T38" s="3">
        <v>28.971271999999999</v>
      </c>
      <c r="U38" s="3">
        <v>26.991717999999999</v>
      </c>
      <c r="V38" s="3">
        <v>31.129321999999998</v>
      </c>
      <c r="W38" s="3">
        <v>27.660259</v>
      </c>
      <c r="X38" s="3">
        <v>30.844301000000002</v>
      </c>
      <c r="Y38" s="3">
        <v>28.657747000000001</v>
      </c>
      <c r="Z38" s="3">
        <v>28.715284</v>
      </c>
      <c r="AA38" s="3">
        <v>30.425813999999999</v>
      </c>
      <c r="AB38" s="3">
        <v>27.220231999999999</v>
      </c>
      <c r="AC38" s="3">
        <v>29.644113999999998</v>
      </c>
      <c r="AD38" s="3">
        <v>30.619965000000001</v>
      </c>
      <c r="AE38" s="3">
        <v>30.385529999999999</v>
      </c>
      <c r="AF38" s="3">
        <v>29.305643</v>
      </c>
      <c r="AG38" s="3">
        <v>28.195150000000002</v>
      </c>
      <c r="AH38" s="3">
        <v>29.421354000000001</v>
      </c>
      <c r="AI38" s="3">
        <v>30.459471000000001</v>
      </c>
      <c r="AJ38" s="3">
        <v>27.752790000000001</v>
      </c>
      <c r="AK38" s="3">
        <v>28.942080000000001</v>
      </c>
      <c r="AL38" s="3">
        <v>27.850567000000002</v>
      </c>
      <c r="AM38" s="3">
        <v>27.776036999999999</v>
      </c>
      <c r="AN38" s="3">
        <v>30.317388999999999</v>
      </c>
      <c r="AO38" s="3">
        <v>32.988810999999998</v>
      </c>
      <c r="AP38" s="3">
        <v>28.414580999999998</v>
      </c>
      <c r="AQ38" s="3">
        <v>29.350543999999999</v>
      </c>
      <c r="AR38" s="3">
        <v>28.551038999999999</v>
      </c>
      <c r="AS38" s="3">
        <v>28.900579</v>
      </c>
      <c r="AT38" s="3">
        <v>26.72607</v>
      </c>
      <c r="AU38" s="3">
        <v>31.907834999999999</v>
      </c>
      <c r="AV38" s="3">
        <v>30.392531999999999</v>
      </c>
      <c r="AW38" s="3">
        <v>27.699093000000001</v>
      </c>
      <c r="AX38" s="3">
        <v>30.6905</v>
      </c>
      <c r="AY38" s="3">
        <v>26.503554999999999</v>
      </c>
      <c r="AZ38" s="3">
        <v>28.797003</v>
      </c>
      <c r="BA38" s="3">
        <v>27.566714999999999</v>
      </c>
      <c r="BB38" s="3">
        <v>31.420746000000001</v>
      </c>
      <c r="BC38" s="3">
        <v>29.82375</v>
      </c>
      <c r="BD38" s="3">
        <v>28.573877</v>
      </c>
      <c r="BE38" s="3">
        <v>29.435299000000001</v>
      </c>
      <c r="BF38" s="3">
        <v>27.908932</v>
      </c>
      <c r="BG38" s="3">
        <v>29.695656</v>
      </c>
      <c r="BH38" s="3">
        <v>29.407979999999998</v>
      </c>
      <c r="BI38" s="3">
        <v>27.4786</v>
      </c>
      <c r="BJ38" s="3">
        <v>28.331140999999999</v>
      </c>
      <c r="BK38" s="3">
        <v>25.978724</v>
      </c>
      <c r="BL38" s="3">
        <v>28.398357000000001</v>
      </c>
      <c r="BM38" s="3">
        <v>28.847254</v>
      </c>
      <c r="BN38" s="3">
        <v>29.923580000000001</v>
      </c>
      <c r="BO38" s="3">
        <v>25.735146</v>
      </c>
      <c r="BP38" s="3">
        <v>25.905266000000001</v>
      </c>
      <c r="BQ38" s="3">
        <v>28.482617999999999</v>
      </c>
      <c r="BR38" s="3">
        <v>26.700699</v>
      </c>
      <c r="BS38" s="3">
        <v>28.042684999999999</v>
      </c>
      <c r="BT38" s="3">
        <v>28.875537999999999</v>
      </c>
      <c r="BU38" s="3">
        <v>24.857165999999999</v>
      </c>
      <c r="BV38" s="3">
        <v>31.613562000000002</v>
      </c>
      <c r="BW38" s="3">
        <v>27.366364999999998</v>
      </c>
      <c r="BX38" s="3">
        <v>24.608463</v>
      </c>
      <c r="BY38" s="3">
        <v>28.964865</v>
      </c>
      <c r="BZ38" s="3">
        <v>26.764900000000001</v>
      </c>
      <c r="CA38" s="3">
        <v>29.504225000000002</v>
      </c>
      <c r="CB38" s="3">
        <v>26.871725000000001</v>
      </c>
      <c r="CC38" s="3">
        <v>28.550276</v>
      </c>
      <c r="CD38" s="3">
        <v>27.91114</v>
      </c>
      <c r="CE38" s="3">
        <v>26.847508999999999</v>
      </c>
      <c r="CF38" s="3">
        <v>28.020254000000001</v>
      </c>
      <c r="CG38" s="3">
        <v>31.557713</v>
      </c>
      <c r="CH38" s="3">
        <v>30.203389999999999</v>
      </c>
      <c r="CI38" s="3">
        <v>26.478743000000001</v>
      </c>
      <c r="CJ38" s="3">
        <v>28.892668</v>
      </c>
      <c r="CK38" s="3">
        <v>25.643453999999998</v>
      </c>
      <c r="CL38" s="3">
        <v>30.593588</v>
      </c>
      <c r="CM38" s="3">
        <v>29.120574999999999</v>
      </c>
      <c r="CN38" s="3">
        <v>27.043071999999999</v>
      </c>
      <c r="CO38" s="3">
        <v>25.533411000000001</v>
      </c>
      <c r="CP38" s="3">
        <v>26.579134</v>
      </c>
      <c r="CQ38" s="3">
        <v>28.398340000000001</v>
      </c>
      <c r="CR38" s="3">
        <v>25.623595999999999</v>
      </c>
      <c r="CS38" s="3">
        <v>29.190666</v>
      </c>
      <c r="CT38" s="3">
        <v>28.078955000000001</v>
      </c>
      <c r="CU38" s="3">
        <v>27.192442</v>
      </c>
      <c r="CV38" s="3">
        <v>25.647831</v>
      </c>
      <c r="CW38" s="3">
        <v>25.335518</v>
      </c>
      <c r="CX38" s="3">
        <v>28.824707</v>
      </c>
      <c r="CY38" s="3">
        <v>26.163620000000002</v>
      </c>
      <c r="CZ38" s="3">
        <v>26.672777</v>
      </c>
      <c r="DA38" s="3">
        <v>25.612117999999999</v>
      </c>
      <c r="DB38" s="3">
        <v>26.303612000000001</v>
      </c>
      <c r="DC38" s="3">
        <v>30.535132999999998</v>
      </c>
      <c r="DD38" s="3">
        <v>27.140629000000001</v>
      </c>
      <c r="DE38" s="3">
        <v>28.020391</v>
      </c>
      <c r="DF38" s="3">
        <v>29.4818</v>
      </c>
      <c r="DG38" s="3">
        <v>28.403084</v>
      </c>
      <c r="DH38" s="3">
        <v>27.686764</v>
      </c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</row>
    <row r="39" spans="2:207" x14ac:dyDescent="0.2">
      <c r="B39" s="2" t="s">
        <v>29</v>
      </c>
      <c r="G39" s="3"/>
      <c r="H39" s="3"/>
      <c r="I39" s="3"/>
      <c r="J39" s="3"/>
      <c r="K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</row>
    <row r="40" spans="2:207" x14ac:dyDescent="0.2">
      <c r="B40" s="2" t="s">
        <v>30</v>
      </c>
      <c r="D40" t="s">
        <v>4</v>
      </c>
      <c r="E40" t="s">
        <v>1</v>
      </c>
      <c r="F40">
        <f>COUNT(M40:GJ40)</f>
        <v>100</v>
      </c>
      <c r="G40" s="3">
        <f>AVERAGE(M40:GJ40)</f>
        <v>25.042682110000015</v>
      </c>
      <c r="H40" s="3">
        <f>MAX(M40:GJ40)</f>
        <v>31.221267999999998</v>
      </c>
      <c r="I40" s="3">
        <f>MIN(M40:GJ40)</f>
        <v>20.060476000000001</v>
      </c>
      <c r="J40" s="3">
        <f>_xlfn.STDEV.P(M40:GJ40)</f>
        <v>2.3023137045886117</v>
      </c>
      <c r="K40" s="3">
        <f>_xlfn.VAR.S(M40:GJ40)</f>
        <v>5.3541902973096338</v>
      </c>
      <c r="M40" s="3">
        <v>26.025448000000001</v>
      </c>
      <c r="N40" s="3">
        <v>26.022065999999999</v>
      </c>
      <c r="O40" s="3">
        <v>28.266729000000002</v>
      </c>
      <c r="P40" s="3">
        <v>26.518502999999999</v>
      </c>
      <c r="Q40" s="3">
        <v>26.273273</v>
      </c>
      <c r="R40" s="3">
        <v>24.714597999999999</v>
      </c>
      <c r="S40" s="3">
        <v>28.499777000000002</v>
      </c>
      <c r="T40" s="3">
        <v>27.005787000000002</v>
      </c>
      <c r="U40" s="3">
        <v>29.380860999999999</v>
      </c>
      <c r="V40" s="3">
        <v>27.413836</v>
      </c>
      <c r="W40" s="3">
        <v>24.952570000000001</v>
      </c>
      <c r="X40" s="3">
        <v>24.433230999999999</v>
      </c>
      <c r="Y40" s="3">
        <v>22.776679999999999</v>
      </c>
      <c r="Z40" s="3">
        <v>22.694685</v>
      </c>
      <c r="AA40" s="3">
        <v>26.497897999999999</v>
      </c>
      <c r="AB40" s="3">
        <v>31.221267999999998</v>
      </c>
      <c r="AC40" s="3">
        <v>25.743309</v>
      </c>
      <c r="AD40" s="3">
        <v>24.197433</v>
      </c>
      <c r="AE40" s="3">
        <v>20.516825000000001</v>
      </c>
      <c r="AF40" s="3">
        <v>23.170069000000002</v>
      </c>
      <c r="AG40" s="3">
        <v>26.920929000000001</v>
      </c>
      <c r="AH40" s="3">
        <v>25.258602</v>
      </c>
      <c r="AI40" s="3">
        <v>24.302391</v>
      </c>
      <c r="AJ40" s="3">
        <v>23.100414000000001</v>
      </c>
      <c r="AK40" s="3">
        <v>29.070404</v>
      </c>
      <c r="AL40" s="3">
        <v>23.626626999999999</v>
      </c>
      <c r="AM40" s="3">
        <v>26.299209999999999</v>
      </c>
      <c r="AN40" s="3">
        <v>23.119074000000001</v>
      </c>
      <c r="AO40" s="3">
        <v>22.398439</v>
      </c>
      <c r="AP40" s="3">
        <v>25.609553999999999</v>
      </c>
      <c r="AQ40" s="3">
        <v>23.259616999999999</v>
      </c>
      <c r="AR40" s="3">
        <v>25.075631999999999</v>
      </c>
      <c r="AS40" s="3">
        <v>26.532150000000001</v>
      </c>
      <c r="AT40" s="3">
        <v>26.893737999999999</v>
      </c>
      <c r="AU40" s="3">
        <v>29.179745</v>
      </c>
      <c r="AV40" s="3">
        <v>25.088433999999999</v>
      </c>
      <c r="AW40" s="3">
        <v>21.676698999999999</v>
      </c>
      <c r="AX40" s="3">
        <v>23.238218</v>
      </c>
      <c r="AY40" s="3">
        <v>22.793289000000001</v>
      </c>
      <c r="AZ40" s="3">
        <v>23.823201999999998</v>
      </c>
      <c r="BA40" s="3">
        <v>30.183973000000002</v>
      </c>
      <c r="BB40" s="3">
        <v>28.398975</v>
      </c>
      <c r="BC40" s="3">
        <v>23.957228000000001</v>
      </c>
      <c r="BD40" s="3">
        <v>22.390958999999999</v>
      </c>
      <c r="BE40" s="3">
        <v>26.291381999999999</v>
      </c>
      <c r="BF40" s="3">
        <v>27.132774000000001</v>
      </c>
      <c r="BG40" s="3">
        <v>28.251982000000002</v>
      </c>
      <c r="BH40" s="3">
        <v>25.703320000000001</v>
      </c>
      <c r="BI40" s="3">
        <v>23.537865</v>
      </c>
      <c r="BJ40" s="3">
        <v>27.873916999999999</v>
      </c>
      <c r="BK40" s="3">
        <v>29.316586000000001</v>
      </c>
      <c r="BL40" s="3">
        <v>24.147860999999999</v>
      </c>
      <c r="BM40" s="3">
        <v>27.661804</v>
      </c>
      <c r="BN40" s="3">
        <v>22.471432</v>
      </c>
      <c r="BO40" s="3">
        <v>28.440995999999998</v>
      </c>
      <c r="BP40" s="3">
        <v>23.857496000000001</v>
      </c>
      <c r="BQ40" s="3">
        <v>22.691960999999999</v>
      </c>
      <c r="BR40" s="3">
        <v>24.547173999999998</v>
      </c>
      <c r="BS40" s="3">
        <v>24.318187999999999</v>
      </c>
      <c r="BT40" s="3">
        <v>27.099146000000001</v>
      </c>
      <c r="BU40" s="3">
        <v>22.685002999999998</v>
      </c>
      <c r="BV40" s="3">
        <v>26.035772000000001</v>
      </c>
      <c r="BW40" s="3">
        <v>22.776194</v>
      </c>
      <c r="BX40" s="3">
        <v>25.981649000000001</v>
      </c>
      <c r="BY40" s="3">
        <v>26.515222999999999</v>
      </c>
      <c r="BZ40" s="3">
        <v>25.544948999999999</v>
      </c>
      <c r="CA40" s="3">
        <v>22.704522999999998</v>
      </c>
      <c r="CB40" s="3">
        <v>23.777833999999999</v>
      </c>
      <c r="CC40" s="3">
        <v>24.912008</v>
      </c>
      <c r="CD40" s="3">
        <v>23.504173000000002</v>
      </c>
      <c r="CE40" s="3">
        <v>26.696596</v>
      </c>
      <c r="CF40" s="3">
        <v>22.091152000000001</v>
      </c>
      <c r="CG40" s="3">
        <v>24.833763000000001</v>
      </c>
      <c r="CH40" s="3">
        <v>26.089618999999999</v>
      </c>
      <c r="CI40" s="3">
        <v>25.014800999999999</v>
      </c>
      <c r="CJ40" s="3">
        <v>25.068586</v>
      </c>
      <c r="CK40" s="3">
        <v>23.722935</v>
      </c>
      <c r="CL40" s="3">
        <v>26.599630000000001</v>
      </c>
      <c r="CM40" s="3">
        <v>22.852709000000001</v>
      </c>
      <c r="CN40" s="3">
        <v>22.896184999999999</v>
      </c>
      <c r="CO40" s="3">
        <v>23.882528000000001</v>
      </c>
      <c r="CP40" s="3">
        <v>23.784386000000001</v>
      </c>
      <c r="CQ40" s="3">
        <v>24.760242000000002</v>
      </c>
      <c r="CR40" s="3">
        <v>26.943991</v>
      </c>
      <c r="CS40" s="3">
        <v>22.799913</v>
      </c>
      <c r="CT40" s="3">
        <v>27.079958000000001</v>
      </c>
      <c r="CU40" s="3">
        <v>20.060476000000001</v>
      </c>
      <c r="CV40" s="3">
        <v>22.286588999999999</v>
      </c>
      <c r="CW40" s="3">
        <v>24.210191999999999</v>
      </c>
      <c r="CX40" s="3">
        <v>24.574081</v>
      </c>
      <c r="CY40" s="3">
        <v>21.753340000000001</v>
      </c>
      <c r="CZ40" s="3">
        <v>30.218824000000001</v>
      </c>
      <c r="DA40" s="3">
        <v>25.935815999999999</v>
      </c>
      <c r="DB40" s="3">
        <v>23.550357999999999</v>
      </c>
      <c r="DC40" s="3">
        <v>25.681304999999998</v>
      </c>
      <c r="DD40" s="3">
        <v>24.942246999999998</v>
      </c>
      <c r="DE40" s="3">
        <v>20.203482000000001</v>
      </c>
      <c r="DF40" s="3">
        <v>22.780778999999999</v>
      </c>
      <c r="DG40" s="3">
        <v>21.413754999999998</v>
      </c>
      <c r="DH40" s="3">
        <v>25.236412000000001</v>
      </c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</row>
    <row r="41" spans="2:207" x14ac:dyDescent="0.2">
      <c r="G41" s="3"/>
      <c r="H41" s="3"/>
      <c r="I41" s="3"/>
      <c r="J41" s="3"/>
      <c r="K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</row>
    <row r="42" spans="2:207" x14ac:dyDescent="0.2">
      <c r="D42" t="s">
        <v>2</v>
      </c>
      <c r="E42" t="s">
        <v>1</v>
      </c>
      <c r="F42">
        <f>COUNT(M42:GJ42)</f>
        <v>100</v>
      </c>
      <c r="G42" s="3">
        <f>AVERAGE(M42:GJ42)</f>
        <v>27.404493450000004</v>
      </c>
      <c r="H42" s="3">
        <f>MAX(M42:GJ42)</f>
        <v>34.303780000000003</v>
      </c>
      <c r="I42" s="3">
        <f>MIN(M42:GJ42)</f>
        <v>25.201809000000001</v>
      </c>
      <c r="J42" s="3">
        <f>_xlfn.STDEV.P(M42:GJ42)</f>
        <v>1.293765702134327</v>
      </c>
      <c r="K42" s="3">
        <f>_xlfn.VAR.S(M42:GJ42)</f>
        <v>1.6907370626455838</v>
      </c>
      <c r="M42" s="3">
        <v>29.346643</v>
      </c>
      <c r="N42" s="3">
        <v>26.454509999999999</v>
      </c>
      <c r="O42" s="3">
        <v>25.56315</v>
      </c>
      <c r="P42" s="3">
        <v>30.545480999999999</v>
      </c>
      <c r="Q42" s="3">
        <v>28.83061</v>
      </c>
      <c r="R42" s="3">
        <v>27.102377000000001</v>
      </c>
      <c r="S42" s="3">
        <v>26.655456999999998</v>
      </c>
      <c r="T42" s="3">
        <v>30.166001999999999</v>
      </c>
      <c r="U42" s="3">
        <v>25.338107999999998</v>
      </c>
      <c r="V42" s="3">
        <v>25.969389</v>
      </c>
      <c r="W42" s="3">
        <v>26.464570999999999</v>
      </c>
      <c r="X42" s="3">
        <v>27.538252</v>
      </c>
      <c r="Y42" s="3">
        <v>28.416982999999998</v>
      </c>
      <c r="Z42" s="3">
        <v>29.056363999999999</v>
      </c>
      <c r="AA42" s="3">
        <v>26.77713</v>
      </c>
      <c r="AB42" s="3">
        <v>28.585062000000001</v>
      </c>
      <c r="AC42" s="3">
        <v>28.318327</v>
      </c>
      <c r="AD42" s="3">
        <v>27.513850999999999</v>
      </c>
      <c r="AE42" s="3">
        <v>29.049272999999999</v>
      </c>
      <c r="AF42" s="3">
        <v>28.668806</v>
      </c>
      <c r="AG42" s="3">
        <v>27.337097</v>
      </c>
      <c r="AH42" s="3">
        <v>27.299392999999998</v>
      </c>
      <c r="AI42" s="3">
        <v>25.996887000000001</v>
      </c>
      <c r="AJ42" s="3">
        <v>27.403244000000001</v>
      </c>
      <c r="AK42" s="3">
        <v>25.518211000000001</v>
      </c>
      <c r="AL42" s="3">
        <v>28.513779</v>
      </c>
      <c r="AM42" s="3">
        <v>28.817153999999999</v>
      </c>
      <c r="AN42" s="3">
        <v>27.940203</v>
      </c>
      <c r="AO42" s="3">
        <v>28.353259999999999</v>
      </c>
      <c r="AP42" s="3">
        <v>27.149266999999998</v>
      </c>
      <c r="AQ42" s="3">
        <v>26.590294</v>
      </c>
      <c r="AR42" s="3">
        <v>28.782684</v>
      </c>
      <c r="AS42" s="3">
        <v>28.930354999999999</v>
      </c>
      <c r="AT42" s="3">
        <v>28.118389000000001</v>
      </c>
      <c r="AU42" s="3">
        <v>27.815331</v>
      </c>
      <c r="AV42" s="3">
        <v>28.605274000000001</v>
      </c>
      <c r="AW42" s="3">
        <v>27.572745999999999</v>
      </c>
      <c r="AX42" s="3">
        <v>27.233654000000001</v>
      </c>
      <c r="AY42" s="3">
        <v>26.127393999999999</v>
      </c>
      <c r="AZ42" s="3">
        <v>27.169090000000001</v>
      </c>
      <c r="BA42" s="3">
        <v>27.543865</v>
      </c>
      <c r="BB42" s="3">
        <v>28.469996999999999</v>
      </c>
      <c r="BC42" s="3">
        <v>34.303780000000003</v>
      </c>
      <c r="BD42" s="3">
        <v>26.579794</v>
      </c>
      <c r="BE42" s="3">
        <v>26.354866000000001</v>
      </c>
      <c r="BF42" s="3">
        <v>28.400064</v>
      </c>
      <c r="BG42" s="3">
        <v>26.418934</v>
      </c>
      <c r="BH42" s="3">
        <v>26.862832999999998</v>
      </c>
      <c r="BI42" s="3">
        <v>29.883082999999999</v>
      </c>
      <c r="BJ42" s="3">
        <v>27.214072999999999</v>
      </c>
      <c r="BK42" s="3">
        <v>26.537911999999999</v>
      </c>
      <c r="BL42" s="3">
        <v>26.313003999999999</v>
      </c>
      <c r="BM42" s="3">
        <v>27.539663000000001</v>
      </c>
      <c r="BN42" s="3">
        <v>25.780889999999999</v>
      </c>
      <c r="BO42" s="3">
        <v>26.689232000000001</v>
      </c>
      <c r="BP42" s="3">
        <v>26.088971999999998</v>
      </c>
      <c r="BQ42" s="3">
        <v>26.573568000000002</v>
      </c>
      <c r="BR42" s="3">
        <v>27.967988999999999</v>
      </c>
      <c r="BS42" s="3">
        <v>26.840149</v>
      </c>
      <c r="BT42" s="3">
        <v>25.201809000000001</v>
      </c>
      <c r="BU42" s="3">
        <v>27.216953</v>
      </c>
      <c r="BV42" s="3">
        <v>25.838818</v>
      </c>
      <c r="BW42" s="3">
        <v>27.495331</v>
      </c>
      <c r="BX42" s="3">
        <v>26.713009</v>
      </c>
      <c r="BY42" s="3">
        <v>27.374428000000002</v>
      </c>
      <c r="BZ42" s="3">
        <v>26.638574999999999</v>
      </c>
      <c r="CA42" s="3">
        <v>28.666903999999999</v>
      </c>
      <c r="CB42" s="3">
        <v>26.685661</v>
      </c>
      <c r="CC42" s="3">
        <v>26.311229999999998</v>
      </c>
      <c r="CD42" s="3">
        <v>27.816319</v>
      </c>
      <c r="CE42" s="3">
        <v>26.340626</v>
      </c>
      <c r="CF42" s="3">
        <v>28.095953000000002</v>
      </c>
      <c r="CG42" s="3">
        <v>25.663343000000001</v>
      </c>
      <c r="CH42" s="3">
        <v>25.812708000000001</v>
      </c>
      <c r="CI42" s="3">
        <v>26.229869999999998</v>
      </c>
      <c r="CJ42" s="3">
        <v>28.111929</v>
      </c>
      <c r="CK42" s="3">
        <v>26.666274999999999</v>
      </c>
      <c r="CL42" s="3">
        <v>28.160354999999999</v>
      </c>
      <c r="CM42" s="3">
        <v>26.745211000000001</v>
      </c>
      <c r="CN42" s="3">
        <v>27.001612000000002</v>
      </c>
      <c r="CO42" s="3">
        <v>27.291755999999999</v>
      </c>
      <c r="CP42" s="3">
        <v>26.363626</v>
      </c>
      <c r="CQ42" s="3">
        <v>27.102271999999999</v>
      </c>
      <c r="CR42" s="3">
        <v>27.380354000000001</v>
      </c>
      <c r="CS42" s="3">
        <v>26.164712999999999</v>
      </c>
      <c r="CT42" s="3">
        <v>28.906009999999998</v>
      </c>
      <c r="CU42" s="3">
        <v>28.453831000000001</v>
      </c>
      <c r="CV42" s="3">
        <v>28.093669999999999</v>
      </c>
      <c r="CW42" s="3">
        <v>28.430330000000001</v>
      </c>
      <c r="CX42" s="3">
        <v>26.229975</v>
      </c>
      <c r="CY42" s="3">
        <v>27.717127000000001</v>
      </c>
      <c r="CZ42" s="3">
        <v>26.941680999999999</v>
      </c>
      <c r="DA42" s="3">
        <v>27.121748</v>
      </c>
      <c r="DB42" s="3">
        <v>26.950766000000002</v>
      </c>
      <c r="DC42" s="3">
        <v>27.747458999999999</v>
      </c>
      <c r="DD42" s="3">
        <v>26.900763000000001</v>
      </c>
      <c r="DE42" s="3">
        <v>26.555634999999999</v>
      </c>
      <c r="DF42" s="3">
        <v>28.057112</v>
      </c>
      <c r="DG42" s="3">
        <v>26.223704999999999</v>
      </c>
      <c r="DH42" s="3">
        <v>27.033173000000001</v>
      </c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  <c r="EX42" s="3"/>
      <c r="EY42" s="3"/>
      <c r="EZ42" s="3"/>
      <c r="FA42" s="3"/>
      <c r="FB42" s="3"/>
      <c r="FC42" s="3"/>
      <c r="FD42" s="3"/>
      <c r="FE42" s="3"/>
      <c r="FF42" s="3"/>
      <c r="FG42" s="3"/>
      <c r="FH42" s="3"/>
      <c r="FI42" s="3"/>
      <c r="FJ42" s="3"/>
      <c r="FK42" s="3"/>
      <c r="FL42" s="3"/>
      <c r="FM42" s="3"/>
      <c r="FN42" s="3"/>
      <c r="FO42" s="3"/>
      <c r="FP42" s="3"/>
      <c r="FQ42" s="3"/>
      <c r="FR42" s="3"/>
      <c r="FS42" s="3"/>
      <c r="FT42" s="3"/>
      <c r="FU42" s="3"/>
      <c r="FV42" s="3"/>
      <c r="FW42" s="3"/>
      <c r="FX42" s="3"/>
      <c r="FY42" s="3"/>
      <c r="FZ42" s="3"/>
      <c r="GA42" s="3"/>
      <c r="GB42" s="3"/>
      <c r="GC42" s="3"/>
      <c r="GD42" s="3"/>
      <c r="GE42" s="3"/>
      <c r="GF42" s="3"/>
      <c r="GG42" s="3"/>
      <c r="GH42" s="3"/>
      <c r="GI42" s="3"/>
      <c r="GJ42" s="3"/>
      <c r="GK42" s="3"/>
      <c r="GL42" s="3"/>
      <c r="GM42" s="3"/>
      <c r="GN42" s="3"/>
      <c r="GO42" s="3"/>
      <c r="GP42" s="3"/>
      <c r="GQ42" s="3"/>
      <c r="GR42" s="3"/>
      <c r="GS42" s="3"/>
      <c r="GT42" s="3"/>
      <c r="GU42" s="3"/>
      <c r="GV42" s="3"/>
      <c r="GW42" s="3"/>
      <c r="GX42" s="3"/>
      <c r="GY42" s="3"/>
    </row>
    <row r="43" spans="2:207" x14ac:dyDescent="0.2">
      <c r="G43" s="3"/>
      <c r="H43" s="3"/>
      <c r="I43" s="3"/>
      <c r="J43" s="3"/>
      <c r="K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  <c r="EX43" s="3"/>
      <c r="EY43" s="3"/>
      <c r="EZ43" s="3"/>
      <c r="FA43" s="3"/>
      <c r="FB43" s="3"/>
      <c r="FC43" s="3"/>
      <c r="FD43" s="3"/>
      <c r="FE43" s="3"/>
      <c r="FF43" s="3"/>
      <c r="FG43" s="3"/>
      <c r="FH43" s="3"/>
      <c r="FI43" s="3"/>
      <c r="FJ43" s="3"/>
      <c r="FK43" s="3"/>
      <c r="FL43" s="3"/>
      <c r="FM43" s="3"/>
      <c r="FN43" s="3"/>
      <c r="FO43" s="3"/>
      <c r="FP43" s="3"/>
      <c r="FQ43" s="3"/>
      <c r="FR43" s="3"/>
      <c r="FS43" s="3"/>
      <c r="FT43" s="3"/>
      <c r="FU43" s="3"/>
      <c r="FV43" s="3"/>
      <c r="FW43" s="3"/>
      <c r="FX43" s="3"/>
      <c r="FY43" s="3"/>
      <c r="FZ43" s="3"/>
      <c r="GA43" s="3"/>
      <c r="GB43" s="3"/>
      <c r="GC43" s="3"/>
      <c r="GD43" s="3"/>
      <c r="GE43" s="3"/>
      <c r="GF43" s="3"/>
      <c r="GG43" s="3"/>
      <c r="GH43" s="3"/>
      <c r="GI43" s="3"/>
      <c r="GJ43" s="3"/>
      <c r="GK43" s="3"/>
      <c r="GL43" s="3"/>
      <c r="GM43" s="3"/>
      <c r="GN43" s="3"/>
      <c r="GO43" s="3"/>
      <c r="GP43" s="3"/>
      <c r="GQ43" s="3"/>
      <c r="GR43" s="3"/>
      <c r="GS43" s="3"/>
      <c r="GT43" s="3"/>
      <c r="GU43" s="3"/>
      <c r="GV43" s="3"/>
      <c r="GW43" s="3"/>
      <c r="GX43" s="3"/>
      <c r="GY43" s="3"/>
    </row>
    <row r="44" spans="2:207" x14ac:dyDescent="0.2">
      <c r="D44" t="s">
        <v>5</v>
      </c>
      <c r="E44" t="s">
        <v>1</v>
      </c>
      <c r="F44">
        <f>COUNT(M44:GJ44)</f>
        <v>100</v>
      </c>
      <c r="G44" s="3">
        <f>AVERAGE(M44:GJ44)</f>
        <v>26.498342320000006</v>
      </c>
      <c r="H44" s="3">
        <f>MAX(M44:GJ44)</f>
        <v>29.976279999999999</v>
      </c>
      <c r="I44" s="3">
        <f>MIN(M44:GJ44)</f>
        <v>24.370621</v>
      </c>
      <c r="J44" s="3">
        <f>_xlfn.STDEV.P(M44:GJ44)</f>
        <v>1.0173887284354279</v>
      </c>
      <c r="K44" s="3">
        <f>_xlfn.VAR.S(M44:GJ44)</f>
        <v>1.0455351765125831</v>
      </c>
      <c r="M44" s="3">
        <v>26.552931000000001</v>
      </c>
      <c r="N44" s="3">
        <v>25.206478000000001</v>
      </c>
      <c r="O44" s="3">
        <v>25.165806</v>
      </c>
      <c r="P44" s="3">
        <v>26.430226999999999</v>
      </c>
      <c r="Q44" s="3">
        <v>26.133908999999999</v>
      </c>
      <c r="R44" s="3">
        <v>26.578707000000001</v>
      </c>
      <c r="S44" s="3">
        <v>26.399588000000001</v>
      </c>
      <c r="T44" s="3">
        <v>26.746244000000001</v>
      </c>
      <c r="U44" s="3">
        <v>26.490431000000001</v>
      </c>
      <c r="V44" s="3">
        <v>27.321259999999999</v>
      </c>
      <c r="W44" s="3">
        <v>27.222687000000001</v>
      </c>
      <c r="X44" s="3">
        <v>27.172121000000001</v>
      </c>
      <c r="Y44" s="3">
        <v>26.468042000000001</v>
      </c>
      <c r="Z44" s="3">
        <v>26.512573</v>
      </c>
      <c r="AA44" s="3">
        <v>26.637968000000001</v>
      </c>
      <c r="AB44" s="3">
        <v>26.776188000000001</v>
      </c>
      <c r="AC44" s="3">
        <v>27.923335999999999</v>
      </c>
      <c r="AD44" s="3">
        <v>26.212945999999999</v>
      </c>
      <c r="AE44" s="3">
        <v>26.405954000000001</v>
      </c>
      <c r="AF44" s="3">
        <v>27.497705</v>
      </c>
      <c r="AG44" s="3">
        <v>26.982498</v>
      </c>
      <c r="AH44" s="3">
        <v>26.847854999999999</v>
      </c>
      <c r="AI44" s="3">
        <v>27.013356999999999</v>
      </c>
      <c r="AJ44" s="3">
        <v>27.960889999999999</v>
      </c>
      <c r="AK44" s="3">
        <v>28.170328000000001</v>
      </c>
      <c r="AL44" s="3">
        <v>25.586480999999999</v>
      </c>
      <c r="AM44" s="3">
        <v>25.743742000000001</v>
      </c>
      <c r="AN44" s="3">
        <v>25.644435999999999</v>
      </c>
      <c r="AO44" s="3">
        <v>26.804200999999999</v>
      </c>
      <c r="AP44" s="3">
        <v>26.970359999999999</v>
      </c>
      <c r="AQ44" s="3">
        <v>26.793322</v>
      </c>
      <c r="AR44" s="3">
        <v>26.051825999999998</v>
      </c>
      <c r="AS44" s="3">
        <v>25.412199000000001</v>
      </c>
      <c r="AT44" s="3">
        <v>28.286110000000001</v>
      </c>
      <c r="AU44" s="3">
        <v>27.417223</v>
      </c>
      <c r="AV44" s="3">
        <v>28.796420999999999</v>
      </c>
      <c r="AW44" s="3">
        <v>26.685403999999998</v>
      </c>
      <c r="AX44" s="3">
        <v>25.304957999999999</v>
      </c>
      <c r="AY44" s="3">
        <v>26.561474</v>
      </c>
      <c r="AZ44" s="3">
        <v>24.915406999999998</v>
      </c>
      <c r="BA44" s="3">
        <v>26.549156</v>
      </c>
      <c r="BB44" s="3">
        <v>25.785599000000001</v>
      </c>
      <c r="BC44" s="3">
        <v>25.789711</v>
      </c>
      <c r="BD44" s="3">
        <v>25.319447</v>
      </c>
      <c r="BE44" s="3">
        <v>24.370621</v>
      </c>
      <c r="BF44" s="3">
        <v>25.063949999999998</v>
      </c>
      <c r="BG44" s="3">
        <v>26.325980999999999</v>
      </c>
      <c r="BH44" s="3">
        <v>26.653659999999999</v>
      </c>
      <c r="BI44" s="3">
        <v>27.793126999999998</v>
      </c>
      <c r="BJ44" s="3">
        <v>29.285086</v>
      </c>
      <c r="BK44" s="3">
        <v>26.192405999999998</v>
      </c>
      <c r="BL44" s="3">
        <v>26.705072000000001</v>
      </c>
      <c r="BM44" s="3">
        <v>24.930519</v>
      </c>
      <c r="BN44" s="3">
        <v>26.640989000000001</v>
      </c>
      <c r="BO44" s="3">
        <v>26.519321000000001</v>
      </c>
      <c r="BP44" s="3">
        <v>26.919991</v>
      </c>
      <c r="BQ44" s="3">
        <v>25.839033000000001</v>
      </c>
      <c r="BR44" s="3">
        <v>26.190522999999999</v>
      </c>
      <c r="BS44" s="3">
        <v>25.939157000000002</v>
      </c>
      <c r="BT44" s="3">
        <v>26.980975999999998</v>
      </c>
      <c r="BU44" s="3">
        <v>26.818273999999999</v>
      </c>
      <c r="BV44" s="3">
        <v>26.194386999999999</v>
      </c>
      <c r="BW44" s="3">
        <v>29.144171</v>
      </c>
      <c r="BX44" s="3">
        <v>25.024317</v>
      </c>
      <c r="BY44" s="3">
        <v>24.88081</v>
      </c>
      <c r="BZ44" s="3">
        <v>26.396145000000001</v>
      </c>
      <c r="CA44" s="3">
        <v>25.783919999999998</v>
      </c>
      <c r="CB44" s="3">
        <v>26.331734000000001</v>
      </c>
      <c r="CC44" s="3">
        <v>25.826495999999999</v>
      </c>
      <c r="CD44" s="3">
        <v>24.663278999999999</v>
      </c>
      <c r="CE44" s="3">
        <v>26.740562000000001</v>
      </c>
      <c r="CF44" s="3">
        <v>27.039878999999999</v>
      </c>
      <c r="CG44" s="3">
        <v>26.712208</v>
      </c>
      <c r="CH44" s="3">
        <v>28.010501999999999</v>
      </c>
      <c r="CI44" s="3">
        <v>27.763839999999998</v>
      </c>
      <c r="CJ44" s="3">
        <v>25.601375999999998</v>
      </c>
      <c r="CK44" s="3">
        <v>26.083151000000001</v>
      </c>
      <c r="CL44" s="3">
        <v>25.312071</v>
      </c>
      <c r="CM44" s="3">
        <v>26.615368</v>
      </c>
      <c r="CN44" s="3">
        <v>27.274847000000001</v>
      </c>
      <c r="CO44" s="3">
        <v>25.589205</v>
      </c>
      <c r="CP44" s="3">
        <v>26.625402000000001</v>
      </c>
      <c r="CQ44" s="3">
        <v>25.795511000000001</v>
      </c>
      <c r="CR44" s="3">
        <v>26.676327000000001</v>
      </c>
      <c r="CS44" s="3">
        <v>29.976279999999999</v>
      </c>
      <c r="CT44" s="3">
        <v>27.646837000000001</v>
      </c>
      <c r="CU44" s="3">
        <v>25.732271000000001</v>
      </c>
      <c r="CV44" s="3">
        <v>26.366700999999999</v>
      </c>
      <c r="CW44" s="3">
        <v>25.426313</v>
      </c>
      <c r="CX44" s="3">
        <v>25.685541000000001</v>
      </c>
      <c r="CY44" s="3">
        <v>27.356188</v>
      </c>
      <c r="CZ44" s="3">
        <v>26.072908000000002</v>
      </c>
      <c r="DA44" s="3">
        <v>27.535920999999998</v>
      </c>
      <c r="DB44" s="3">
        <v>26.431350999999999</v>
      </c>
      <c r="DC44" s="3">
        <v>24.495471999999999</v>
      </c>
      <c r="DD44" s="3">
        <v>27.153300999999999</v>
      </c>
      <c r="DE44" s="3">
        <v>26.051380000000002</v>
      </c>
      <c r="DF44" s="3">
        <v>26.161632999999998</v>
      </c>
      <c r="DG44" s="3">
        <v>25.560904000000001</v>
      </c>
      <c r="DH44" s="3">
        <v>27.679531000000001</v>
      </c>
      <c r="DI44" s="3"/>
      <c r="DJ44" s="3"/>
      <c r="DK44" s="3"/>
      <c r="DL44" s="3"/>
      <c r="DM44" s="3"/>
      <c r="DN44" s="3"/>
      <c r="DO44" s="3"/>
      <c r="DP44" s="3"/>
      <c r="DQ44" s="3"/>
      <c r="DR44" s="3"/>
      <c r="DS44" s="3"/>
      <c r="DT44" s="3"/>
      <c r="DU44" s="3"/>
      <c r="DV44" s="3"/>
      <c r="DW44" s="3"/>
      <c r="DX44" s="3"/>
      <c r="DY44" s="3"/>
      <c r="DZ44" s="3"/>
      <c r="EA44" s="3"/>
      <c r="EB44" s="3"/>
      <c r="EC44" s="3"/>
      <c r="ED44" s="3"/>
      <c r="EE44" s="3"/>
      <c r="EF44" s="3"/>
      <c r="EG44" s="3"/>
      <c r="EH44" s="3"/>
      <c r="EI44" s="3"/>
      <c r="EJ44" s="3"/>
      <c r="EK44" s="3"/>
      <c r="EL44" s="3"/>
      <c r="EM44" s="3"/>
      <c r="EN44" s="3"/>
      <c r="EO44" s="3"/>
      <c r="EP44" s="3"/>
      <c r="EQ44" s="3"/>
      <c r="ER44" s="3"/>
      <c r="ES44" s="3"/>
      <c r="ET44" s="3"/>
      <c r="EU44" s="3"/>
      <c r="EV44" s="3"/>
      <c r="EW44" s="3"/>
      <c r="EX44" s="3"/>
      <c r="EY44" s="3"/>
      <c r="EZ44" s="3"/>
      <c r="FA44" s="3"/>
      <c r="FB44" s="3"/>
      <c r="FC44" s="3"/>
      <c r="FD44" s="3"/>
      <c r="FE44" s="3"/>
      <c r="FF44" s="3"/>
      <c r="FG44" s="3"/>
      <c r="FH44" s="3"/>
      <c r="FI44" s="3"/>
      <c r="FJ44" s="3"/>
      <c r="FK44" s="3"/>
      <c r="FL44" s="3"/>
      <c r="FM44" s="3"/>
      <c r="FN44" s="3"/>
      <c r="FO44" s="3"/>
      <c r="FP44" s="3"/>
      <c r="FQ44" s="3"/>
      <c r="FR44" s="3"/>
      <c r="FS44" s="3"/>
      <c r="FT44" s="3"/>
      <c r="FU44" s="3"/>
      <c r="FV44" s="3"/>
      <c r="FW44" s="3"/>
      <c r="FX44" s="3"/>
      <c r="FY44" s="3"/>
      <c r="FZ44" s="3"/>
      <c r="GA44" s="3"/>
      <c r="GB44" s="3"/>
      <c r="GC44" s="3"/>
      <c r="GD44" s="3"/>
      <c r="GE44" s="3"/>
      <c r="GF44" s="3"/>
      <c r="GG44" s="3"/>
      <c r="GH44" s="3"/>
      <c r="GI44" s="3"/>
      <c r="GJ44" s="3"/>
      <c r="GK44" s="3"/>
      <c r="GL44" s="3"/>
      <c r="GM44" s="3"/>
      <c r="GN44" s="3"/>
      <c r="GO44" s="3"/>
      <c r="GP44" s="3"/>
      <c r="GQ44" s="3"/>
      <c r="GR44" s="3"/>
      <c r="GS44" s="3"/>
      <c r="GT44" s="3"/>
      <c r="GU44" s="3"/>
      <c r="GV44" s="3"/>
      <c r="GW44" s="3"/>
      <c r="GX44" s="3"/>
      <c r="GY44" s="3"/>
    </row>
    <row r="45" spans="2:207" x14ac:dyDescent="0.2">
      <c r="G45" s="3"/>
      <c r="H45" s="3"/>
      <c r="I45" s="3"/>
      <c r="J45" s="3"/>
      <c r="K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  <c r="DN45" s="3"/>
      <c r="DO45" s="3"/>
      <c r="DP45" s="3"/>
      <c r="DQ45" s="3"/>
      <c r="DR45" s="3"/>
      <c r="DS45" s="3"/>
      <c r="DT45" s="3"/>
      <c r="DU45" s="3"/>
      <c r="DV45" s="3"/>
      <c r="DW45" s="3"/>
      <c r="DX45" s="3"/>
      <c r="DY45" s="3"/>
      <c r="DZ45" s="3"/>
      <c r="EA45" s="3"/>
      <c r="EB45" s="3"/>
      <c r="EC45" s="3"/>
      <c r="ED45" s="3"/>
      <c r="EE45" s="3"/>
      <c r="EF45" s="3"/>
      <c r="EG45" s="3"/>
      <c r="EH45" s="3"/>
      <c r="EI45" s="3"/>
      <c r="EJ45" s="3"/>
      <c r="EK45" s="3"/>
      <c r="EL45" s="3"/>
      <c r="EM45" s="3"/>
      <c r="EN45" s="3"/>
      <c r="EO45" s="3"/>
      <c r="EP45" s="3"/>
      <c r="EQ45" s="3"/>
      <c r="ER45" s="3"/>
      <c r="ES45" s="3"/>
      <c r="ET45" s="3"/>
      <c r="EU45" s="3"/>
      <c r="EV45" s="3"/>
      <c r="EW45" s="3"/>
      <c r="EX45" s="3"/>
      <c r="EY45" s="3"/>
      <c r="EZ45" s="3"/>
      <c r="FA45" s="3"/>
      <c r="FB45" s="3"/>
      <c r="FC45" s="3"/>
      <c r="FD45" s="3"/>
      <c r="FE45" s="3"/>
      <c r="FF45" s="3"/>
      <c r="FG45" s="3"/>
      <c r="FH45" s="3"/>
      <c r="FI45" s="3"/>
      <c r="FJ45" s="3"/>
      <c r="FK45" s="3"/>
      <c r="FL45" s="3"/>
      <c r="FM45" s="3"/>
      <c r="FN45" s="3"/>
      <c r="FO45" s="3"/>
      <c r="FP45" s="3"/>
      <c r="FQ45" s="3"/>
      <c r="FR45" s="3"/>
      <c r="FS45" s="3"/>
      <c r="FT45" s="3"/>
      <c r="FU45" s="3"/>
      <c r="FV45" s="3"/>
      <c r="FW45" s="3"/>
      <c r="FX45" s="3"/>
      <c r="FY45" s="3"/>
      <c r="FZ45" s="3"/>
      <c r="GA45" s="3"/>
      <c r="GB45" s="3"/>
      <c r="GC45" s="3"/>
      <c r="GD45" s="3"/>
      <c r="GE45" s="3"/>
      <c r="GF45" s="3"/>
      <c r="GG45" s="3"/>
      <c r="GH45" s="3"/>
      <c r="GI45" s="3"/>
      <c r="GJ45" s="3"/>
      <c r="GK45" s="3"/>
      <c r="GL45" s="3"/>
      <c r="GM45" s="3"/>
      <c r="GN45" s="3"/>
      <c r="GO45" s="3"/>
      <c r="GP45" s="3"/>
      <c r="GQ45" s="3"/>
      <c r="GR45" s="3"/>
      <c r="GS45" s="3"/>
      <c r="GT45" s="3"/>
      <c r="GU45" s="3"/>
      <c r="GV45" s="3"/>
      <c r="GW45" s="3"/>
      <c r="GX45" s="3"/>
      <c r="GY45" s="3"/>
    </row>
    <row r="46" spans="2:207" x14ac:dyDescent="0.2">
      <c r="D46" t="s">
        <v>6</v>
      </c>
      <c r="E46" t="s">
        <v>1</v>
      </c>
      <c r="F46">
        <f>COUNT(M46:GJ46)</f>
        <v>100</v>
      </c>
      <c r="G46" s="3">
        <f>AVERAGE(M46:GJ46)</f>
        <v>26.114578479999995</v>
      </c>
      <c r="H46" s="3">
        <f>MAX(M46:GJ46)</f>
        <v>32.865833000000002</v>
      </c>
      <c r="I46" s="3">
        <f>MIN(M46:GJ46)</f>
        <v>21.847522999999999</v>
      </c>
      <c r="J46" s="3">
        <f>_xlfn.STDEV.P(M46:GJ46)</f>
        <v>1.9490656362765699</v>
      </c>
      <c r="K46" s="3">
        <f>_xlfn.VAR.S(M46:GJ46)</f>
        <v>3.8372291459739296</v>
      </c>
      <c r="M46" s="3">
        <v>27.973555000000001</v>
      </c>
      <c r="N46" s="3">
        <v>23.651646</v>
      </c>
      <c r="O46" s="3">
        <v>25.085332999999999</v>
      </c>
      <c r="P46" s="3">
        <v>26.336302</v>
      </c>
      <c r="Q46" s="3">
        <v>29.956620999999998</v>
      </c>
      <c r="R46" s="3">
        <v>24.999102000000001</v>
      </c>
      <c r="S46" s="3">
        <v>25.910865999999999</v>
      </c>
      <c r="T46" s="3">
        <v>27.963944999999999</v>
      </c>
      <c r="U46" s="3">
        <v>26.187771000000001</v>
      </c>
      <c r="V46" s="3">
        <v>27.767002000000002</v>
      </c>
      <c r="W46" s="3">
        <v>23.287931</v>
      </c>
      <c r="X46" s="3">
        <v>29.800982000000001</v>
      </c>
      <c r="Y46" s="3">
        <v>24.811247000000002</v>
      </c>
      <c r="Z46" s="3">
        <v>24.212564</v>
      </c>
      <c r="AA46" s="3">
        <v>23.706565999999999</v>
      </c>
      <c r="AB46" s="3">
        <v>27.712907999999999</v>
      </c>
      <c r="AC46" s="3">
        <v>26.261144999999999</v>
      </c>
      <c r="AD46" s="3">
        <v>25.258365999999999</v>
      </c>
      <c r="AE46" s="3">
        <v>24.013335999999999</v>
      </c>
      <c r="AF46" s="3">
        <v>28.555002000000002</v>
      </c>
      <c r="AG46" s="3">
        <v>24.458057</v>
      </c>
      <c r="AH46" s="3">
        <v>26.551431999999998</v>
      </c>
      <c r="AI46" s="3">
        <v>25.201450000000001</v>
      </c>
      <c r="AJ46" s="3">
        <v>24.719460999999999</v>
      </c>
      <c r="AK46" s="3">
        <v>24.929971999999999</v>
      </c>
      <c r="AL46" s="3">
        <v>27.208324000000001</v>
      </c>
      <c r="AM46" s="3">
        <v>25.368411999999999</v>
      </c>
      <c r="AN46" s="3">
        <v>24.381402999999999</v>
      </c>
      <c r="AO46" s="3">
        <v>24.591013</v>
      </c>
      <c r="AP46" s="3">
        <v>29.234217000000001</v>
      </c>
      <c r="AQ46" s="3">
        <v>28.483533999999999</v>
      </c>
      <c r="AR46" s="3">
        <v>28.107144999999999</v>
      </c>
      <c r="AS46" s="3">
        <v>28.153096999999999</v>
      </c>
      <c r="AT46" s="3">
        <v>26.338797</v>
      </c>
      <c r="AU46" s="3">
        <v>27.079377999999998</v>
      </c>
      <c r="AV46" s="3">
        <v>25.664009</v>
      </c>
      <c r="AW46" s="3">
        <v>25.51557</v>
      </c>
      <c r="AX46" s="3">
        <v>24.257874000000001</v>
      </c>
      <c r="AY46" s="3">
        <v>21.847522999999999</v>
      </c>
      <c r="AZ46" s="3">
        <v>24.951270999999998</v>
      </c>
      <c r="BA46" s="3">
        <v>26.420368</v>
      </c>
      <c r="BB46" s="3">
        <v>26.902664000000001</v>
      </c>
      <c r="BC46" s="3">
        <v>25.855395999999999</v>
      </c>
      <c r="BD46" s="3">
        <v>23.439979999999998</v>
      </c>
      <c r="BE46" s="3">
        <v>27.278765</v>
      </c>
      <c r="BF46" s="3">
        <v>24.401160999999998</v>
      </c>
      <c r="BG46" s="3">
        <v>28.053608000000001</v>
      </c>
      <c r="BH46" s="3">
        <v>26.068587999999998</v>
      </c>
      <c r="BI46" s="3">
        <v>26.540264000000001</v>
      </c>
      <c r="BJ46" s="3">
        <v>23.658161</v>
      </c>
      <c r="BK46" s="3">
        <v>31.591604</v>
      </c>
      <c r="BL46" s="3">
        <v>24.338543000000001</v>
      </c>
      <c r="BM46" s="3">
        <v>25.425861000000001</v>
      </c>
      <c r="BN46" s="3">
        <v>22.850189</v>
      </c>
      <c r="BO46" s="3">
        <v>27.834824000000001</v>
      </c>
      <c r="BP46" s="3">
        <v>32.865833000000002</v>
      </c>
      <c r="BQ46" s="3">
        <v>26.547470000000001</v>
      </c>
      <c r="BR46" s="3">
        <v>26.597977</v>
      </c>
      <c r="BS46" s="3">
        <v>26.506723000000001</v>
      </c>
      <c r="BT46" s="3">
        <v>27.069410000000001</v>
      </c>
      <c r="BU46" s="3">
        <v>24.530235000000001</v>
      </c>
      <c r="BV46" s="3">
        <v>26.830074</v>
      </c>
      <c r="BW46" s="3">
        <v>26.261621000000002</v>
      </c>
      <c r="BX46" s="3">
        <v>22.911303</v>
      </c>
      <c r="BY46" s="3">
        <v>24.624544</v>
      </c>
      <c r="BZ46" s="3">
        <v>26.71069</v>
      </c>
      <c r="CA46" s="3">
        <v>27.372696000000001</v>
      </c>
      <c r="CB46" s="3">
        <v>26.925501000000001</v>
      </c>
      <c r="CC46" s="3">
        <v>25.677261000000001</v>
      </c>
      <c r="CD46" s="3">
        <v>25.41695</v>
      </c>
      <c r="CE46" s="3">
        <v>24.291958000000001</v>
      </c>
      <c r="CF46" s="3">
        <v>26.661570000000001</v>
      </c>
      <c r="CG46" s="3">
        <v>27.723402</v>
      </c>
      <c r="CH46" s="3">
        <v>23.365846999999999</v>
      </c>
      <c r="CI46" s="3">
        <v>24.038225000000001</v>
      </c>
      <c r="CJ46" s="3">
        <v>28.792300999999998</v>
      </c>
      <c r="CK46" s="3">
        <v>26.037029</v>
      </c>
      <c r="CL46" s="3">
        <v>24.557741</v>
      </c>
      <c r="CM46" s="3">
        <v>25.314661000000001</v>
      </c>
      <c r="CN46" s="3">
        <v>30.000238</v>
      </c>
      <c r="CO46" s="3">
        <v>27.512684</v>
      </c>
      <c r="CP46" s="3">
        <v>29.036708999999998</v>
      </c>
      <c r="CQ46" s="3">
        <v>26.377129</v>
      </c>
      <c r="CR46" s="3">
        <v>26.316403999999999</v>
      </c>
      <c r="CS46" s="3">
        <v>25.411118999999999</v>
      </c>
      <c r="CT46" s="3">
        <v>25.501128999999999</v>
      </c>
      <c r="CU46" s="3">
        <v>27.692713000000001</v>
      </c>
      <c r="CV46" s="3">
        <v>29.788838999999999</v>
      </c>
      <c r="CW46" s="3">
        <v>24.186471999999998</v>
      </c>
      <c r="CX46" s="3">
        <v>24.941113999999999</v>
      </c>
      <c r="CY46" s="3">
        <v>25.958898999999999</v>
      </c>
      <c r="CZ46" s="3">
        <v>25.885242000000002</v>
      </c>
      <c r="DA46" s="3">
        <v>26.304076999999999</v>
      </c>
      <c r="DB46" s="3">
        <v>24.629259000000001</v>
      </c>
      <c r="DC46" s="3">
        <v>24.182016000000001</v>
      </c>
      <c r="DD46" s="3">
        <v>23.371493999999998</v>
      </c>
      <c r="DE46" s="3">
        <v>27.15147</v>
      </c>
      <c r="DF46" s="3">
        <v>25.504401999999999</v>
      </c>
      <c r="DG46" s="3">
        <v>28.900998999999999</v>
      </c>
      <c r="DH46" s="3">
        <v>24.020313000000002</v>
      </c>
      <c r="DI46" s="3"/>
      <c r="DJ46" s="3"/>
      <c r="DK46" s="3"/>
      <c r="DL46" s="3"/>
      <c r="DM46" s="3"/>
      <c r="DN46" s="3"/>
      <c r="DO46" s="3"/>
      <c r="DP46" s="3"/>
      <c r="DQ46" s="3"/>
      <c r="DR46" s="3"/>
      <c r="DS46" s="3"/>
      <c r="DT46" s="3"/>
      <c r="DU46" s="3"/>
      <c r="DV46" s="3"/>
      <c r="DW46" s="3"/>
      <c r="DX46" s="3"/>
      <c r="DY46" s="3"/>
      <c r="DZ46" s="3"/>
      <c r="EA46" s="3"/>
      <c r="EB46" s="3"/>
      <c r="EC46" s="3"/>
      <c r="ED46" s="3"/>
      <c r="EE46" s="3"/>
      <c r="EF46" s="3"/>
      <c r="EG46" s="3"/>
      <c r="EH46" s="3"/>
      <c r="EI46" s="3"/>
      <c r="EJ46" s="3"/>
      <c r="EK46" s="3"/>
      <c r="EL46" s="3"/>
      <c r="EM46" s="3"/>
      <c r="EN46" s="3"/>
      <c r="EO46" s="3"/>
      <c r="EP46" s="3"/>
      <c r="EQ46" s="3"/>
      <c r="ER46" s="3"/>
      <c r="ES46" s="3"/>
      <c r="ET46" s="3"/>
      <c r="EU46" s="3"/>
      <c r="EV46" s="3"/>
      <c r="EW46" s="3"/>
      <c r="EX46" s="3"/>
      <c r="EY46" s="3"/>
      <c r="EZ46" s="3"/>
      <c r="FA46" s="3"/>
      <c r="FB46" s="3"/>
      <c r="FC46" s="3"/>
      <c r="FD46" s="3"/>
      <c r="FE46" s="3"/>
      <c r="FF46" s="3"/>
      <c r="FG46" s="3"/>
      <c r="FH46" s="3"/>
      <c r="FI46" s="3"/>
      <c r="FJ46" s="3"/>
      <c r="FK46" s="3"/>
      <c r="FL46" s="3"/>
      <c r="FM46" s="3"/>
      <c r="FN46" s="3"/>
      <c r="FO46" s="3"/>
      <c r="FP46" s="3"/>
      <c r="FQ46" s="3"/>
      <c r="FR46" s="3"/>
      <c r="FS46" s="3"/>
      <c r="FT46" s="3"/>
      <c r="FU46" s="3"/>
      <c r="FV46" s="3"/>
      <c r="FW46" s="3"/>
      <c r="FX46" s="3"/>
      <c r="FY46" s="3"/>
      <c r="FZ46" s="3"/>
      <c r="GA46" s="3"/>
      <c r="GB46" s="3"/>
      <c r="GC46" s="3"/>
      <c r="GD46" s="3"/>
      <c r="GE46" s="3"/>
      <c r="GF46" s="3"/>
      <c r="GG46" s="3"/>
      <c r="GH46" s="3"/>
      <c r="GI46" s="3"/>
      <c r="GJ46" s="3"/>
      <c r="GK46" s="3"/>
      <c r="GL46" s="3"/>
      <c r="GM46" s="3"/>
      <c r="GN46" s="3"/>
      <c r="GO46" s="3"/>
      <c r="GP46" s="3"/>
      <c r="GQ46" s="3"/>
      <c r="GR46" s="3"/>
      <c r="GS46" s="3"/>
      <c r="GT46" s="3"/>
      <c r="GU46" s="3"/>
      <c r="GV46" s="3"/>
      <c r="GW46" s="3"/>
      <c r="GX46" s="3"/>
      <c r="GY46" s="3"/>
    </row>
    <row r="47" spans="2:207" x14ac:dyDescent="0.2">
      <c r="M47" s="3"/>
      <c r="N47" s="3"/>
    </row>
    <row r="48" spans="2:207" x14ac:dyDescent="0.2">
      <c r="D48" s="1"/>
    </row>
    <row r="49" spans="2:207" x14ac:dyDescent="0.2">
      <c r="B49" t="s">
        <v>59</v>
      </c>
      <c r="D49" s="1" t="s">
        <v>32</v>
      </c>
    </row>
    <row r="50" spans="2:207" x14ac:dyDescent="0.2">
      <c r="B50" s="2" t="s">
        <v>33</v>
      </c>
      <c r="D50" t="s">
        <v>3</v>
      </c>
      <c r="E50" t="s">
        <v>1</v>
      </c>
      <c r="F50">
        <f>COUNT(M50:GJ50)</f>
        <v>100</v>
      </c>
      <c r="G50" s="3">
        <f>AVERAGE(M50:GJ50)</f>
        <v>28.247069930000002</v>
      </c>
      <c r="H50" s="3">
        <f>MAX(M50:GJ50)</f>
        <v>33.168464999999998</v>
      </c>
      <c r="I50" s="3">
        <f>MIN(M50:GJ50)</f>
        <v>24.729036000000001</v>
      </c>
      <c r="J50" s="3">
        <f>_xlfn.STDEV.P(M50:GJ50)</f>
        <v>1.7327474079490657</v>
      </c>
      <c r="K50" s="3">
        <f>_xlfn.VAR.S(M50:GJ50)</f>
        <v>3.0327409896507125</v>
      </c>
      <c r="M50" s="3">
        <v>27.115686</v>
      </c>
      <c r="N50" s="3">
        <v>27.445374000000001</v>
      </c>
      <c r="O50" s="3">
        <v>30.138029</v>
      </c>
      <c r="P50" s="3">
        <v>33.168464999999998</v>
      </c>
      <c r="Q50" s="3">
        <v>28.970372999999999</v>
      </c>
      <c r="R50" s="3">
        <v>30.097273000000001</v>
      </c>
      <c r="S50" s="3">
        <v>29.798321000000001</v>
      </c>
      <c r="T50" s="3">
        <v>26.207115000000002</v>
      </c>
      <c r="U50" s="3">
        <v>26.576504</v>
      </c>
      <c r="V50" s="3">
        <v>28.007339000000002</v>
      </c>
      <c r="W50" s="3">
        <v>27.523524999999999</v>
      </c>
      <c r="X50" s="3">
        <v>29.385952</v>
      </c>
      <c r="Y50" s="3">
        <v>27.810030000000001</v>
      </c>
      <c r="Z50" s="3">
        <v>26.38269</v>
      </c>
      <c r="AA50" s="3">
        <v>26.874355000000001</v>
      </c>
      <c r="AB50" s="3">
        <v>28.611235000000001</v>
      </c>
      <c r="AC50" s="3">
        <v>29.133254999999998</v>
      </c>
      <c r="AD50" s="3">
        <v>27.357762999999998</v>
      </c>
      <c r="AE50" s="3">
        <v>32.808846000000003</v>
      </c>
      <c r="AF50" s="3">
        <v>27.295072999999999</v>
      </c>
      <c r="AG50" s="3">
        <v>28.860873999999999</v>
      </c>
      <c r="AH50" s="3">
        <v>28.896189</v>
      </c>
      <c r="AI50" s="3">
        <v>27.583893</v>
      </c>
      <c r="AJ50" s="3">
        <v>25.179511999999999</v>
      </c>
      <c r="AK50" s="3">
        <v>30.158332999999999</v>
      </c>
      <c r="AL50" s="3">
        <v>28.389229</v>
      </c>
      <c r="AM50" s="3">
        <v>29.47916</v>
      </c>
      <c r="AN50" s="3">
        <v>28.559664000000001</v>
      </c>
      <c r="AO50" s="3">
        <v>30.416004000000001</v>
      </c>
      <c r="AP50" s="3">
        <v>27.559239999999999</v>
      </c>
      <c r="AQ50" s="3">
        <v>26.274538</v>
      </c>
      <c r="AR50" s="3">
        <v>29.179601999999999</v>
      </c>
      <c r="AS50" s="3">
        <v>29.098288</v>
      </c>
      <c r="AT50" s="3">
        <v>25.848461</v>
      </c>
      <c r="AU50" s="3">
        <v>30.702969</v>
      </c>
      <c r="AV50" s="3">
        <v>29.062498000000001</v>
      </c>
      <c r="AW50" s="3">
        <v>29.527248</v>
      </c>
      <c r="AX50" s="3">
        <v>30.117114999999998</v>
      </c>
      <c r="AY50" s="3">
        <v>25.798791999999999</v>
      </c>
      <c r="AZ50" s="3">
        <v>28.304022</v>
      </c>
      <c r="BA50" s="3">
        <v>25.199558</v>
      </c>
      <c r="BB50" s="3">
        <v>30.138641</v>
      </c>
      <c r="BC50" s="3">
        <v>31.305111</v>
      </c>
      <c r="BD50" s="3">
        <v>28.213282</v>
      </c>
      <c r="BE50" s="3">
        <v>27.565391999999999</v>
      </c>
      <c r="BF50" s="3">
        <v>27.957515999999998</v>
      </c>
      <c r="BG50" s="3">
        <v>27.354458000000001</v>
      </c>
      <c r="BH50" s="3">
        <v>27.212541999999999</v>
      </c>
      <c r="BI50" s="3">
        <v>27.587821999999999</v>
      </c>
      <c r="BJ50" s="3">
        <v>29.773083</v>
      </c>
      <c r="BK50" s="3">
        <v>27.440291999999999</v>
      </c>
      <c r="BL50" s="3">
        <v>28.454398999999999</v>
      </c>
      <c r="BM50" s="3">
        <v>24.729036000000001</v>
      </c>
      <c r="BN50" s="3">
        <v>26.895333999999998</v>
      </c>
      <c r="BO50" s="3">
        <v>27.760286000000001</v>
      </c>
      <c r="BP50" s="3">
        <v>28.138113000000001</v>
      </c>
      <c r="BQ50" s="3">
        <v>31.225245000000001</v>
      </c>
      <c r="BR50" s="3">
        <v>28.231354</v>
      </c>
      <c r="BS50" s="3">
        <v>27.08005</v>
      </c>
      <c r="BT50" s="3">
        <v>26.902934999999999</v>
      </c>
      <c r="BU50" s="3">
        <v>26.540827</v>
      </c>
      <c r="BV50" s="3">
        <v>31.022469999999998</v>
      </c>
      <c r="BW50" s="3">
        <v>28.375516999999999</v>
      </c>
      <c r="BX50" s="3">
        <v>25.664919000000001</v>
      </c>
      <c r="BY50" s="3">
        <v>29.879985999999999</v>
      </c>
      <c r="BZ50" s="3">
        <v>27.230346999999998</v>
      </c>
      <c r="CA50" s="3">
        <v>28.009287</v>
      </c>
      <c r="CB50" s="3">
        <v>26.046475999999998</v>
      </c>
      <c r="CC50" s="3">
        <v>32.156666000000001</v>
      </c>
      <c r="CD50" s="3">
        <v>28.105034</v>
      </c>
      <c r="CE50" s="3">
        <v>27.587446</v>
      </c>
      <c r="CF50" s="3">
        <v>25.657298999999998</v>
      </c>
      <c r="CG50" s="3">
        <v>28.664228000000001</v>
      </c>
      <c r="CH50" s="3">
        <v>30.736763</v>
      </c>
      <c r="CI50" s="3">
        <v>29.763791999999999</v>
      </c>
      <c r="CJ50" s="3">
        <v>30.931640999999999</v>
      </c>
      <c r="CK50" s="3">
        <v>25.722083999999999</v>
      </c>
      <c r="CL50" s="3">
        <v>27.280573</v>
      </c>
      <c r="CM50" s="3">
        <v>29.190483</v>
      </c>
      <c r="CN50" s="3">
        <v>28.873058</v>
      </c>
      <c r="CO50" s="3">
        <v>27.471723999999998</v>
      </c>
      <c r="CP50" s="3">
        <v>28.837935999999999</v>
      </c>
      <c r="CQ50" s="3">
        <v>30.168215</v>
      </c>
      <c r="CR50" s="3">
        <v>26.358013</v>
      </c>
      <c r="CS50" s="3">
        <v>27.831037999999999</v>
      </c>
      <c r="CT50" s="3">
        <v>27.449000999999999</v>
      </c>
      <c r="CU50" s="3">
        <v>27.354837</v>
      </c>
      <c r="CV50" s="3">
        <v>24.891098</v>
      </c>
      <c r="CW50" s="3">
        <v>27.737075999999998</v>
      </c>
      <c r="CX50" s="3">
        <v>28.596170000000001</v>
      </c>
      <c r="CY50" s="3">
        <v>25.914173000000002</v>
      </c>
      <c r="CZ50" s="3">
        <v>26.262384000000001</v>
      </c>
      <c r="DA50" s="3">
        <v>27.85154</v>
      </c>
      <c r="DB50" s="3">
        <v>30.323025000000001</v>
      </c>
      <c r="DC50" s="3">
        <v>29.617232999999999</v>
      </c>
      <c r="DD50" s="3">
        <v>26.983910000000002</v>
      </c>
      <c r="DE50" s="3">
        <v>30.120068</v>
      </c>
      <c r="DF50" s="3">
        <v>26.164558</v>
      </c>
      <c r="DG50" s="3">
        <v>28.911653999999999</v>
      </c>
      <c r="DH50" s="3">
        <v>29.557161000000001</v>
      </c>
      <c r="DI50" s="3"/>
      <c r="DJ50" s="3"/>
      <c r="DK50" s="3"/>
      <c r="DL50" s="3"/>
      <c r="DM50" s="3"/>
      <c r="DN50" s="3"/>
      <c r="DO50" s="3"/>
      <c r="DP50" s="3"/>
      <c r="DQ50" s="3"/>
      <c r="DR50" s="3"/>
      <c r="DS50" s="3"/>
      <c r="DT50" s="3"/>
      <c r="DU50" s="3"/>
      <c r="DV50" s="3"/>
      <c r="DW50" s="3"/>
      <c r="DX50" s="3"/>
      <c r="DY50" s="3"/>
      <c r="DZ50" s="3"/>
      <c r="EA50" s="3"/>
      <c r="EB50" s="3"/>
      <c r="EC50" s="3"/>
      <c r="ED50" s="3"/>
      <c r="EE50" s="3"/>
      <c r="EF50" s="3"/>
      <c r="EG50" s="3"/>
      <c r="EH50" s="3"/>
      <c r="EI50" s="3"/>
      <c r="EJ50" s="3"/>
      <c r="EK50" s="3"/>
      <c r="EL50" s="3"/>
      <c r="EM50" s="3"/>
      <c r="EN50" s="3"/>
      <c r="EO50" s="3"/>
      <c r="EP50" s="3"/>
      <c r="EQ50" s="3"/>
      <c r="ER50" s="3"/>
      <c r="ES50" s="3"/>
      <c r="ET50" s="3"/>
      <c r="EU50" s="3"/>
      <c r="EV50" s="3"/>
      <c r="EW50" s="3"/>
      <c r="EX50" s="3"/>
      <c r="EY50" s="3"/>
      <c r="EZ50" s="3"/>
      <c r="FA50" s="3"/>
      <c r="FB50" s="3"/>
      <c r="FC50" s="3"/>
      <c r="FD50" s="3"/>
      <c r="FE50" s="3"/>
      <c r="FF50" s="3"/>
      <c r="FG50" s="3"/>
      <c r="FH50" s="3"/>
      <c r="FI50" s="3"/>
      <c r="FJ50" s="3"/>
      <c r="FK50" s="3"/>
      <c r="FL50" s="3"/>
      <c r="FM50" s="3"/>
      <c r="FN50" s="3"/>
      <c r="FO50" s="3"/>
      <c r="FP50" s="3"/>
      <c r="FQ50" s="3"/>
      <c r="FR50" s="3"/>
      <c r="FS50" s="3"/>
      <c r="FT50" s="3"/>
      <c r="FU50" s="3"/>
      <c r="FV50" s="3"/>
      <c r="FW50" s="3"/>
      <c r="FX50" s="3"/>
      <c r="FY50" s="3"/>
      <c r="FZ50" s="3"/>
      <c r="GA50" s="3"/>
      <c r="GB50" s="3"/>
      <c r="GC50" s="3"/>
      <c r="GD50" s="3"/>
      <c r="GE50" s="3"/>
      <c r="GF50" s="3"/>
      <c r="GG50" s="3"/>
      <c r="GH50" s="3"/>
      <c r="GI50" s="3"/>
      <c r="GJ50" s="3"/>
      <c r="GK50" s="3"/>
      <c r="GL50" s="3"/>
      <c r="GM50" s="3"/>
      <c r="GN50" s="3"/>
      <c r="GO50" s="3"/>
      <c r="GP50" s="3"/>
      <c r="GQ50" s="3"/>
      <c r="GR50" s="3"/>
      <c r="GS50" s="3"/>
      <c r="GT50" s="3"/>
      <c r="GU50" s="3"/>
      <c r="GV50" s="3"/>
      <c r="GW50" s="3"/>
      <c r="GX50" s="3"/>
      <c r="GY50" s="3"/>
    </row>
    <row r="51" spans="2:207" x14ac:dyDescent="0.2">
      <c r="B51" s="2" t="s">
        <v>34</v>
      </c>
      <c r="G51" s="3"/>
      <c r="H51" s="3"/>
      <c r="I51" s="3"/>
      <c r="J51" s="3"/>
      <c r="K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  <c r="FI51" s="3"/>
      <c r="FJ51" s="3"/>
      <c r="FK51" s="3"/>
      <c r="FL51" s="3"/>
      <c r="FM51" s="3"/>
      <c r="FN51" s="3"/>
      <c r="FO51" s="3"/>
      <c r="FP51" s="3"/>
      <c r="FQ51" s="3"/>
      <c r="FR51" s="3"/>
      <c r="FS51" s="3"/>
      <c r="FT51" s="3"/>
      <c r="FU51" s="3"/>
      <c r="FV51" s="3"/>
      <c r="FW51" s="3"/>
      <c r="FX51" s="3"/>
      <c r="FY51" s="3"/>
      <c r="FZ51" s="3"/>
      <c r="GA51" s="3"/>
      <c r="GB51" s="3"/>
      <c r="GC51" s="3"/>
      <c r="GD51" s="3"/>
      <c r="GE51" s="3"/>
      <c r="GF51" s="3"/>
      <c r="GG51" s="3"/>
      <c r="GH51" s="3"/>
      <c r="GI51" s="3"/>
      <c r="GJ51" s="3"/>
      <c r="GK51" s="3"/>
      <c r="GL51" s="3"/>
      <c r="GM51" s="3"/>
      <c r="GN51" s="3"/>
      <c r="GO51" s="3"/>
      <c r="GP51" s="3"/>
      <c r="GQ51" s="3"/>
      <c r="GR51" s="3"/>
      <c r="GS51" s="3"/>
      <c r="GT51" s="3"/>
      <c r="GU51" s="3"/>
      <c r="GV51" s="3"/>
      <c r="GW51" s="3"/>
      <c r="GX51" s="3"/>
      <c r="GY51" s="3"/>
    </row>
    <row r="52" spans="2:207" x14ac:dyDescent="0.2">
      <c r="B52" s="2" t="s">
        <v>35</v>
      </c>
      <c r="D52" t="s">
        <v>4</v>
      </c>
      <c r="E52" t="s">
        <v>1</v>
      </c>
      <c r="F52">
        <f>COUNT(M52:GJ52)</f>
        <v>100</v>
      </c>
      <c r="G52" s="3">
        <f>AVERAGE(M52:GJ52)</f>
        <v>29.174840930000002</v>
      </c>
      <c r="H52" s="3">
        <f>MAX(M52:GJ52)</f>
        <v>39.331668999999998</v>
      </c>
      <c r="I52" s="3">
        <f>MIN(M52:GJ52)</f>
        <v>24.151786999999999</v>
      </c>
      <c r="J52" s="3">
        <f>_xlfn.STDEV.P(M52:GJ52)</f>
        <v>2.8371165221359527</v>
      </c>
      <c r="K52" s="3">
        <f>_xlfn.VAR.S(M52:GJ52)</f>
        <v>8.130535515330104</v>
      </c>
      <c r="M52" s="3">
        <v>28.531428999999999</v>
      </c>
      <c r="N52" s="3">
        <v>28.337105000000001</v>
      </c>
      <c r="O52" s="3">
        <v>28.135368</v>
      </c>
      <c r="P52" s="3">
        <v>33.571162999999999</v>
      </c>
      <c r="Q52" s="3">
        <v>26.574380999999999</v>
      </c>
      <c r="R52" s="3">
        <v>28.025534</v>
      </c>
      <c r="S52" s="3">
        <v>29.293921000000001</v>
      </c>
      <c r="T52" s="3">
        <v>28.999689</v>
      </c>
      <c r="U52" s="3">
        <v>28.092264</v>
      </c>
      <c r="V52" s="3">
        <v>26.872437000000001</v>
      </c>
      <c r="W52" s="3">
        <v>27.275296999999998</v>
      </c>
      <c r="X52" s="3">
        <v>29.020600999999999</v>
      </c>
      <c r="Y52" s="3">
        <v>27.226789</v>
      </c>
      <c r="Z52" s="3">
        <v>29.587122000000001</v>
      </c>
      <c r="AA52" s="3">
        <v>32.262507999999997</v>
      </c>
      <c r="AB52" s="3">
        <v>32.518470999999998</v>
      </c>
      <c r="AC52" s="3">
        <v>33.175837999999999</v>
      </c>
      <c r="AD52" s="3">
        <v>26.969830999999999</v>
      </c>
      <c r="AE52" s="3">
        <v>25.976686000000001</v>
      </c>
      <c r="AF52" s="3">
        <v>26.534034999999999</v>
      </c>
      <c r="AG52" s="3">
        <v>25.632912000000001</v>
      </c>
      <c r="AH52" s="3">
        <v>28.364826000000001</v>
      </c>
      <c r="AI52" s="3">
        <v>30.724627000000002</v>
      </c>
      <c r="AJ52" s="3">
        <v>28.040443</v>
      </c>
      <c r="AK52" s="3">
        <v>32.114117</v>
      </c>
      <c r="AL52" s="3">
        <v>29.316319</v>
      </c>
      <c r="AM52" s="3">
        <v>28.076938999999999</v>
      </c>
      <c r="AN52" s="3">
        <v>26.705410000000001</v>
      </c>
      <c r="AO52" s="3">
        <v>31.810789</v>
      </c>
      <c r="AP52" s="3">
        <v>25.434035999999999</v>
      </c>
      <c r="AQ52" s="3">
        <v>28.482127999999999</v>
      </c>
      <c r="AR52" s="3">
        <v>28.059383</v>
      </c>
      <c r="AS52" s="3">
        <v>27.960632</v>
      </c>
      <c r="AT52" s="3">
        <v>31.133641999999998</v>
      </c>
      <c r="AU52" s="3">
        <v>31.373816999999999</v>
      </c>
      <c r="AV52" s="3">
        <v>29.756128</v>
      </c>
      <c r="AW52" s="3">
        <v>30.66123</v>
      </c>
      <c r="AX52" s="3">
        <v>25.934984</v>
      </c>
      <c r="AY52" s="3">
        <v>29.702417000000001</v>
      </c>
      <c r="AZ52" s="3">
        <v>24.812258</v>
      </c>
      <c r="BA52" s="3">
        <v>35.396717000000002</v>
      </c>
      <c r="BB52" s="3">
        <v>28.256005999999999</v>
      </c>
      <c r="BC52" s="3">
        <v>25.42474</v>
      </c>
      <c r="BD52" s="3">
        <v>29.209358000000002</v>
      </c>
      <c r="BE52" s="3">
        <v>29.139050999999998</v>
      </c>
      <c r="BF52" s="3">
        <v>28.7729</v>
      </c>
      <c r="BG52" s="3">
        <v>28.184031999999998</v>
      </c>
      <c r="BH52" s="3">
        <v>32.373199</v>
      </c>
      <c r="BI52" s="3">
        <v>26.860749999999999</v>
      </c>
      <c r="BJ52" s="3">
        <v>26.783995000000001</v>
      </c>
      <c r="BK52" s="3">
        <v>33.004218999999999</v>
      </c>
      <c r="BL52" s="3">
        <v>30.090979000000001</v>
      </c>
      <c r="BM52" s="3">
        <v>32.490253000000003</v>
      </c>
      <c r="BN52" s="3">
        <v>28.145330000000001</v>
      </c>
      <c r="BO52" s="3">
        <v>34.100445000000001</v>
      </c>
      <c r="BP52" s="3">
        <v>29.533117000000001</v>
      </c>
      <c r="BQ52" s="3">
        <v>25.534223999999998</v>
      </c>
      <c r="BR52" s="3">
        <v>24.151786999999999</v>
      </c>
      <c r="BS52" s="3">
        <v>27.173738</v>
      </c>
      <c r="BT52" s="3">
        <v>27.383424999999999</v>
      </c>
      <c r="BU52" s="3">
        <v>24.789804</v>
      </c>
      <c r="BV52" s="3">
        <v>32.553406000000003</v>
      </c>
      <c r="BW52" s="3">
        <v>28.185358000000001</v>
      </c>
      <c r="BX52" s="3">
        <v>39.331668999999998</v>
      </c>
      <c r="BY52" s="3">
        <v>35.291519000000001</v>
      </c>
      <c r="BZ52" s="3">
        <v>30.695855999999999</v>
      </c>
      <c r="CA52" s="3">
        <v>29.417930999999999</v>
      </c>
      <c r="CB52" s="3">
        <v>27.311581</v>
      </c>
      <c r="CC52" s="3">
        <v>27.359961999999999</v>
      </c>
      <c r="CD52" s="3">
        <v>32.294646999999998</v>
      </c>
      <c r="CE52" s="3">
        <v>28.159309</v>
      </c>
      <c r="CF52" s="3">
        <v>28.351896</v>
      </c>
      <c r="CG52" s="3">
        <v>29.537811000000001</v>
      </c>
      <c r="CH52" s="3">
        <v>31.263494000000001</v>
      </c>
      <c r="CI52" s="3">
        <v>26.546759000000002</v>
      </c>
      <c r="CJ52" s="3">
        <v>32.648147999999999</v>
      </c>
      <c r="CK52" s="3">
        <v>26.684806999999999</v>
      </c>
      <c r="CL52" s="3">
        <v>35.115161999999998</v>
      </c>
      <c r="CM52" s="3">
        <v>27.177481</v>
      </c>
      <c r="CN52" s="3">
        <v>26.327406</v>
      </c>
      <c r="CO52" s="3">
        <v>32.965522999999997</v>
      </c>
      <c r="CP52" s="3">
        <v>28.557234000000001</v>
      </c>
      <c r="CQ52" s="3">
        <v>34.402327999999997</v>
      </c>
      <c r="CR52" s="3">
        <v>33.211941000000003</v>
      </c>
      <c r="CS52" s="3">
        <v>27.050159000000001</v>
      </c>
      <c r="CT52" s="3">
        <v>25.659600999999999</v>
      </c>
      <c r="CU52" s="3">
        <v>27.443322999999999</v>
      </c>
      <c r="CV52" s="3">
        <v>28.861481000000001</v>
      </c>
      <c r="CW52" s="3">
        <v>28.471626000000001</v>
      </c>
      <c r="CX52" s="3">
        <v>26.697855000000001</v>
      </c>
      <c r="CY52" s="3">
        <v>29.719315999999999</v>
      </c>
      <c r="CZ52" s="3">
        <v>33.873386000000004</v>
      </c>
      <c r="DA52" s="3">
        <v>30.583276999999999</v>
      </c>
      <c r="DB52" s="3">
        <v>32.173611000000001</v>
      </c>
      <c r="DC52" s="3">
        <v>27.431950000000001</v>
      </c>
      <c r="DD52" s="3">
        <v>28.397055000000002</v>
      </c>
      <c r="DE52" s="3">
        <v>28.121283999999999</v>
      </c>
      <c r="DF52" s="3">
        <v>31.399688999999999</v>
      </c>
      <c r="DG52" s="3">
        <v>25.760947999999999</v>
      </c>
      <c r="DH52" s="3">
        <v>24.572728999999999</v>
      </c>
      <c r="DI52" s="3"/>
      <c r="DJ52" s="3"/>
      <c r="DK52" s="3"/>
      <c r="DL52" s="3"/>
      <c r="DM52" s="3"/>
      <c r="DN52" s="3"/>
      <c r="DO52" s="3"/>
      <c r="DP52" s="3"/>
      <c r="DQ52" s="3"/>
      <c r="DR52" s="3"/>
      <c r="DS52" s="3"/>
      <c r="DT52" s="3"/>
      <c r="DU52" s="3"/>
      <c r="DV52" s="3"/>
      <c r="DW52" s="3"/>
      <c r="DX52" s="3"/>
      <c r="DY52" s="3"/>
      <c r="DZ52" s="3"/>
      <c r="EA52" s="3"/>
      <c r="EB52" s="3"/>
      <c r="EC52" s="3"/>
      <c r="ED52" s="3"/>
      <c r="EE52" s="3"/>
      <c r="EF52" s="3"/>
      <c r="EG52" s="3"/>
      <c r="EH52" s="3"/>
      <c r="EI52" s="3"/>
      <c r="EJ52" s="3"/>
      <c r="EK52" s="3"/>
      <c r="EL52" s="3"/>
      <c r="EM52" s="3"/>
      <c r="EN52" s="3"/>
      <c r="EO52" s="3"/>
      <c r="EP52" s="3"/>
      <c r="EQ52" s="3"/>
      <c r="ER52" s="3"/>
      <c r="ES52" s="3"/>
      <c r="ET52" s="3"/>
      <c r="EU52" s="3"/>
      <c r="EV52" s="3"/>
      <c r="EW52" s="3"/>
      <c r="EX52" s="3"/>
      <c r="EY52" s="3"/>
      <c r="EZ52" s="3"/>
      <c r="FA52" s="3"/>
      <c r="FB52" s="3"/>
      <c r="FC52" s="3"/>
      <c r="FD52" s="3"/>
      <c r="FE52" s="3"/>
      <c r="FF52" s="3"/>
      <c r="FG52" s="3"/>
      <c r="FH52" s="3"/>
      <c r="FI52" s="3"/>
      <c r="FJ52" s="3"/>
      <c r="FK52" s="3"/>
      <c r="FL52" s="3"/>
      <c r="FM52" s="3"/>
      <c r="FN52" s="3"/>
      <c r="FO52" s="3"/>
      <c r="FP52" s="3"/>
      <c r="FQ52" s="3"/>
      <c r="FR52" s="3"/>
      <c r="FS52" s="3"/>
      <c r="FT52" s="3"/>
      <c r="FU52" s="3"/>
      <c r="FV52" s="3"/>
      <c r="FW52" s="3"/>
      <c r="FX52" s="3"/>
      <c r="FY52" s="3"/>
      <c r="FZ52" s="3"/>
      <c r="GA52" s="3"/>
      <c r="GB52" s="3"/>
      <c r="GC52" s="3"/>
      <c r="GD52" s="3"/>
      <c r="GE52" s="3"/>
      <c r="GF52" s="3"/>
      <c r="GG52" s="3"/>
      <c r="GH52" s="3"/>
      <c r="GI52" s="3"/>
      <c r="GJ52" s="3"/>
      <c r="GK52" s="3"/>
      <c r="GL52" s="3"/>
      <c r="GM52" s="3"/>
      <c r="GN52" s="3"/>
      <c r="GO52" s="3"/>
      <c r="GP52" s="3"/>
      <c r="GQ52" s="3"/>
      <c r="GR52" s="3"/>
      <c r="GS52" s="3"/>
      <c r="GT52" s="3"/>
      <c r="GU52" s="3"/>
      <c r="GV52" s="3"/>
      <c r="GW52" s="3"/>
      <c r="GX52" s="3"/>
      <c r="GY52" s="3"/>
    </row>
    <row r="53" spans="2:207" x14ac:dyDescent="0.2">
      <c r="G53" s="3"/>
      <c r="H53" s="3"/>
      <c r="I53" s="3"/>
      <c r="J53" s="3"/>
      <c r="K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  <c r="CL53" s="3"/>
      <c r="CM53" s="3"/>
      <c r="CN53" s="3"/>
      <c r="CO53" s="3"/>
      <c r="CP53" s="3"/>
      <c r="CQ53" s="3"/>
      <c r="CR53" s="3"/>
      <c r="CS53" s="3"/>
      <c r="CT53" s="3"/>
      <c r="CU53" s="3"/>
      <c r="CV53" s="3"/>
      <c r="CW53" s="3"/>
      <c r="CX53" s="3"/>
      <c r="CY53" s="3"/>
      <c r="CZ53" s="3"/>
      <c r="DA53" s="3"/>
      <c r="DB53" s="3"/>
      <c r="DC53" s="3"/>
      <c r="DD53" s="3"/>
      <c r="DE53" s="3"/>
      <c r="DF53" s="3"/>
      <c r="DG53" s="3"/>
      <c r="DH53" s="3"/>
      <c r="DI53" s="3"/>
      <c r="DJ53" s="3"/>
      <c r="DK53" s="3"/>
      <c r="DL53" s="3"/>
      <c r="DM53" s="3"/>
      <c r="DN53" s="3"/>
      <c r="DO53" s="3"/>
      <c r="DP53" s="3"/>
      <c r="DQ53" s="3"/>
      <c r="DR53" s="3"/>
      <c r="DS53" s="3"/>
      <c r="DT53" s="3"/>
      <c r="DU53" s="3"/>
      <c r="DV53" s="3"/>
      <c r="DW53" s="3"/>
      <c r="DX53" s="3"/>
      <c r="DY53" s="3"/>
      <c r="DZ53" s="3"/>
      <c r="EA53" s="3"/>
      <c r="EB53" s="3"/>
      <c r="EC53" s="3"/>
      <c r="ED53" s="3"/>
      <c r="EE53" s="3"/>
      <c r="EF53" s="3"/>
      <c r="EG53" s="3"/>
      <c r="EH53" s="3"/>
      <c r="EI53" s="3"/>
      <c r="EJ53" s="3"/>
      <c r="EK53" s="3"/>
      <c r="EL53" s="3"/>
      <c r="EM53" s="3"/>
      <c r="EN53" s="3"/>
      <c r="EO53" s="3"/>
      <c r="EP53" s="3"/>
      <c r="EQ53" s="3"/>
      <c r="ER53" s="3"/>
      <c r="ES53" s="3"/>
      <c r="ET53" s="3"/>
      <c r="EU53" s="3"/>
      <c r="EV53" s="3"/>
      <c r="EW53" s="3"/>
      <c r="EX53" s="3"/>
      <c r="EY53" s="3"/>
      <c r="EZ53" s="3"/>
      <c r="FA53" s="3"/>
      <c r="FB53" s="3"/>
      <c r="FC53" s="3"/>
      <c r="FD53" s="3"/>
      <c r="FE53" s="3"/>
      <c r="FF53" s="3"/>
      <c r="FG53" s="3"/>
      <c r="FH53" s="3"/>
      <c r="FI53" s="3"/>
      <c r="FJ53" s="3"/>
      <c r="FK53" s="3"/>
      <c r="FL53" s="3"/>
      <c r="FM53" s="3"/>
      <c r="FN53" s="3"/>
      <c r="FO53" s="3"/>
      <c r="FP53" s="3"/>
      <c r="FQ53" s="3"/>
      <c r="FR53" s="3"/>
      <c r="FS53" s="3"/>
      <c r="FT53" s="3"/>
      <c r="FU53" s="3"/>
      <c r="FV53" s="3"/>
      <c r="FW53" s="3"/>
      <c r="FX53" s="3"/>
      <c r="FY53" s="3"/>
      <c r="FZ53" s="3"/>
      <c r="GA53" s="3"/>
      <c r="GB53" s="3"/>
      <c r="GC53" s="3"/>
      <c r="GD53" s="3"/>
      <c r="GE53" s="3"/>
      <c r="GF53" s="3"/>
      <c r="GG53" s="3"/>
      <c r="GH53" s="3"/>
      <c r="GI53" s="3"/>
      <c r="GJ53" s="3"/>
      <c r="GK53" s="3"/>
      <c r="GL53" s="3"/>
      <c r="GM53" s="3"/>
      <c r="GN53" s="3"/>
      <c r="GO53" s="3"/>
      <c r="GP53" s="3"/>
      <c r="GQ53" s="3"/>
      <c r="GR53" s="3"/>
      <c r="GS53" s="3"/>
      <c r="GT53" s="3"/>
      <c r="GU53" s="3"/>
      <c r="GV53" s="3"/>
      <c r="GW53" s="3"/>
      <c r="GX53" s="3"/>
      <c r="GY53" s="3"/>
    </row>
    <row r="54" spans="2:207" x14ac:dyDescent="0.2">
      <c r="D54" t="s">
        <v>2</v>
      </c>
      <c r="E54" t="s">
        <v>1</v>
      </c>
      <c r="F54">
        <f>COUNT(M54:GJ54)</f>
        <v>100</v>
      </c>
      <c r="G54" s="3">
        <f>AVERAGE(M54:GJ54)</f>
        <v>28.444462669999997</v>
      </c>
      <c r="H54" s="3">
        <f>MAX(M54:GJ54)</f>
        <v>33.187438999999998</v>
      </c>
      <c r="I54" s="3">
        <f>MIN(M54:GJ54)</f>
        <v>24.940318999999999</v>
      </c>
      <c r="J54" s="3">
        <f>_xlfn.STDEV.P(M54:GJ54)</f>
        <v>1.532676939490812</v>
      </c>
      <c r="K54" s="3">
        <f>_xlfn.VAR.S(M54:GJ54)</f>
        <v>2.3728268695423456</v>
      </c>
      <c r="M54" s="3">
        <v>29.395786000000001</v>
      </c>
      <c r="N54" s="3">
        <v>25.792192</v>
      </c>
      <c r="O54" s="3">
        <v>27.304735000000001</v>
      </c>
      <c r="P54" s="3">
        <v>27.856241000000001</v>
      </c>
      <c r="Q54" s="3">
        <v>30.624039</v>
      </c>
      <c r="R54" s="3">
        <v>26.942905</v>
      </c>
      <c r="S54" s="3">
        <v>28.136731999999999</v>
      </c>
      <c r="T54" s="3">
        <v>30.986460000000001</v>
      </c>
      <c r="U54" s="3">
        <v>27.537561</v>
      </c>
      <c r="V54" s="3">
        <v>27.177140999999999</v>
      </c>
      <c r="W54" s="3">
        <v>26.105318</v>
      </c>
      <c r="X54" s="3">
        <v>28.288767</v>
      </c>
      <c r="Y54" s="3">
        <v>28.369734000000001</v>
      </c>
      <c r="Z54" s="3">
        <v>31.027397000000001</v>
      </c>
      <c r="AA54" s="3">
        <v>27.244526</v>
      </c>
      <c r="AB54" s="3">
        <v>28.43121</v>
      </c>
      <c r="AC54" s="3">
        <v>27.561178000000002</v>
      </c>
      <c r="AD54" s="3">
        <v>26.871130000000001</v>
      </c>
      <c r="AE54" s="3">
        <v>28.698788</v>
      </c>
      <c r="AF54" s="3">
        <v>30.032050999999999</v>
      </c>
      <c r="AG54" s="3">
        <v>27.646172</v>
      </c>
      <c r="AH54" s="3">
        <v>24.940318999999999</v>
      </c>
      <c r="AI54" s="3">
        <v>27.581985</v>
      </c>
      <c r="AJ54" s="3">
        <v>27.520412</v>
      </c>
      <c r="AK54" s="3">
        <v>27.798991999999998</v>
      </c>
      <c r="AL54" s="3">
        <v>29.905725</v>
      </c>
      <c r="AM54" s="3">
        <v>30.171150000000001</v>
      </c>
      <c r="AN54" s="3">
        <v>30.176400999999998</v>
      </c>
      <c r="AO54" s="3">
        <v>28.029945000000001</v>
      </c>
      <c r="AP54" s="3">
        <v>28.491146000000001</v>
      </c>
      <c r="AQ54" s="3">
        <v>26.548492</v>
      </c>
      <c r="AR54" s="3">
        <v>29.681491999999999</v>
      </c>
      <c r="AS54" s="3">
        <v>30.520600999999999</v>
      </c>
      <c r="AT54" s="3">
        <v>28.300234</v>
      </c>
      <c r="AU54" s="3">
        <v>27.684601000000001</v>
      </c>
      <c r="AV54" s="3">
        <v>26.593495999999998</v>
      </c>
      <c r="AW54" s="3">
        <v>28.703997000000001</v>
      </c>
      <c r="AX54" s="3">
        <v>27.675689999999999</v>
      </c>
      <c r="AY54" s="3">
        <v>27.449231999999999</v>
      </c>
      <c r="AZ54" s="3">
        <v>29.965088000000002</v>
      </c>
      <c r="BA54" s="3">
        <v>25.438289999999999</v>
      </c>
      <c r="BB54" s="3">
        <v>31.718343999999998</v>
      </c>
      <c r="BC54" s="3">
        <v>32.667816000000002</v>
      </c>
      <c r="BD54" s="3">
        <v>27.717319</v>
      </c>
      <c r="BE54" s="3">
        <v>27.602501</v>
      </c>
      <c r="BF54" s="3">
        <v>28.011021</v>
      </c>
      <c r="BG54" s="3">
        <v>27.712975</v>
      </c>
      <c r="BH54" s="3">
        <v>26.281033000000001</v>
      </c>
      <c r="BI54" s="3">
        <v>30.556767000000001</v>
      </c>
      <c r="BJ54" s="3">
        <v>27.538239000000001</v>
      </c>
      <c r="BK54" s="3">
        <v>27.598538999999999</v>
      </c>
      <c r="BL54" s="3">
        <v>26.808509999999998</v>
      </c>
      <c r="BM54" s="3">
        <v>28.815300000000001</v>
      </c>
      <c r="BN54" s="3">
        <v>27.512857</v>
      </c>
      <c r="BO54" s="3">
        <v>28.234995000000001</v>
      </c>
      <c r="BP54" s="3">
        <v>27.172948999999999</v>
      </c>
      <c r="BQ54" s="3">
        <v>28.127967999999999</v>
      </c>
      <c r="BR54" s="3">
        <v>28.702265000000001</v>
      </c>
      <c r="BS54" s="3">
        <v>28.388006000000001</v>
      </c>
      <c r="BT54" s="3">
        <v>26.796444000000001</v>
      </c>
      <c r="BU54" s="3">
        <v>26.088808</v>
      </c>
      <c r="BV54" s="3">
        <v>26.939081000000002</v>
      </c>
      <c r="BW54" s="3">
        <v>27.256440999999999</v>
      </c>
      <c r="BX54" s="3">
        <v>28.753851000000001</v>
      </c>
      <c r="BY54" s="3">
        <v>30.369114</v>
      </c>
      <c r="BZ54" s="3">
        <v>27.746207999999999</v>
      </c>
      <c r="CA54" s="3">
        <v>31.006021</v>
      </c>
      <c r="CB54" s="3">
        <v>27.938122</v>
      </c>
      <c r="CC54" s="3">
        <v>29.032969000000001</v>
      </c>
      <c r="CD54" s="3">
        <v>30.038405999999998</v>
      </c>
      <c r="CE54" s="3">
        <v>27.485804000000002</v>
      </c>
      <c r="CF54" s="3">
        <v>29.924173</v>
      </c>
      <c r="CG54" s="3">
        <v>26.123464999999999</v>
      </c>
      <c r="CH54" s="3">
        <v>26.660520999999999</v>
      </c>
      <c r="CI54" s="3">
        <v>26.918361999999998</v>
      </c>
      <c r="CJ54" s="3">
        <v>28.806570000000001</v>
      </c>
      <c r="CK54" s="3">
        <v>29.254014999999999</v>
      </c>
      <c r="CL54" s="3">
        <v>28.921901999999999</v>
      </c>
      <c r="CM54" s="3">
        <v>28.390535</v>
      </c>
      <c r="CN54" s="3">
        <v>28.478655</v>
      </c>
      <c r="CO54" s="3">
        <v>28.646792999999999</v>
      </c>
      <c r="CP54" s="3">
        <v>28.810832999999999</v>
      </c>
      <c r="CQ54" s="3">
        <v>29.170099</v>
      </c>
      <c r="CR54" s="3">
        <v>28.245712000000001</v>
      </c>
      <c r="CS54" s="3">
        <v>29.982665999999998</v>
      </c>
      <c r="CT54" s="3">
        <v>29.315411000000001</v>
      </c>
      <c r="CU54" s="3">
        <v>28.181850000000001</v>
      </c>
      <c r="CV54" s="3">
        <v>28.221159</v>
      </c>
      <c r="CW54" s="3">
        <v>33.187438999999998</v>
      </c>
      <c r="CX54" s="3">
        <v>29.798701999999999</v>
      </c>
      <c r="CY54" s="3">
        <v>28.660416000000001</v>
      </c>
      <c r="CZ54" s="3">
        <v>31.011870999999999</v>
      </c>
      <c r="DA54" s="3">
        <v>28.710139999999999</v>
      </c>
      <c r="DB54" s="3">
        <v>30.742487000000001</v>
      </c>
      <c r="DC54" s="3">
        <v>31.022326</v>
      </c>
      <c r="DD54" s="3">
        <v>29.66328</v>
      </c>
      <c r="DE54" s="3">
        <v>28.732616</v>
      </c>
      <c r="DF54" s="3">
        <v>27.803459</v>
      </c>
      <c r="DG54" s="3">
        <v>26.559585999999999</v>
      </c>
      <c r="DH54" s="3">
        <v>28.6752</v>
      </c>
      <c r="DI54" s="3"/>
      <c r="DJ54" s="3"/>
      <c r="DK54" s="3"/>
      <c r="DL54" s="3"/>
      <c r="DM54" s="3"/>
      <c r="DN54" s="3"/>
      <c r="DO54" s="3"/>
      <c r="DP54" s="3"/>
      <c r="DQ54" s="3"/>
      <c r="DR54" s="3"/>
      <c r="DS54" s="3"/>
      <c r="DT54" s="3"/>
      <c r="DU54" s="3"/>
      <c r="DV54" s="3"/>
      <c r="DW54" s="3"/>
      <c r="DX54" s="3"/>
      <c r="DY54" s="3"/>
      <c r="DZ54" s="3"/>
      <c r="EA54" s="3"/>
      <c r="EB54" s="3"/>
      <c r="EC54" s="3"/>
      <c r="ED54" s="3"/>
      <c r="EE54" s="3"/>
      <c r="EF54" s="3"/>
      <c r="EG54" s="3"/>
      <c r="EH54" s="3"/>
      <c r="EI54" s="3"/>
      <c r="EJ54" s="3"/>
      <c r="EK54" s="3"/>
      <c r="EL54" s="3"/>
      <c r="EM54" s="3"/>
      <c r="EN54" s="3"/>
      <c r="EO54" s="3"/>
      <c r="EP54" s="3"/>
      <c r="EQ54" s="3"/>
      <c r="ER54" s="3"/>
      <c r="ES54" s="3"/>
      <c r="ET54" s="3"/>
      <c r="EU54" s="3"/>
      <c r="EV54" s="3"/>
      <c r="EW54" s="3"/>
      <c r="EX54" s="3"/>
      <c r="EY54" s="3"/>
      <c r="EZ54" s="3"/>
      <c r="FA54" s="3"/>
      <c r="FB54" s="3"/>
      <c r="FC54" s="3"/>
      <c r="FD54" s="3"/>
      <c r="FE54" s="3"/>
      <c r="FF54" s="3"/>
      <c r="FG54" s="3"/>
      <c r="FH54" s="3"/>
      <c r="FI54" s="3"/>
      <c r="FJ54" s="3"/>
      <c r="FK54" s="3"/>
      <c r="FL54" s="3"/>
      <c r="FM54" s="3"/>
      <c r="FN54" s="3"/>
      <c r="FO54" s="3"/>
      <c r="FP54" s="3"/>
      <c r="FQ54" s="3"/>
      <c r="FR54" s="3"/>
      <c r="FS54" s="3"/>
      <c r="FT54" s="3"/>
      <c r="FU54" s="3"/>
      <c r="FV54" s="3"/>
      <c r="FW54" s="3"/>
      <c r="FX54" s="3"/>
      <c r="FY54" s="3"/>
      <c r="FZ54" s="3"/>
      <c r="GA54" s="3"/>
      <c r="GB54" s="3"/>
      <c r="GC54" s="3"/>
      <c r="GD54" s="3"/>
      <c r="GE54" s="3"/>
      <c r="GF54" s="3"/>
      <c r="GG54" s="3"/>
      <c r="GH54" s="3"/>
      <c r="GI54" s="3"/>
      <c r="GJ54" s="3"/>
      <c r="GK54" s="3"/>
      <c r="GL54" s="3"/>
      <c r="GM54" s="3"/>
      <c r="GN54" s="3"/>
      <c r="GO54" s="3"/>
      <c r="GP54" s="3"/>
      <c r="GQ54" s="3"/>
      <c r="GR54" s="3"/>
      <c r="GS54" s="3"/>
      <c r="GT54" s="3"/>
      <c r="GU54" s="3"/>
      <c r="GV54" s="3"/>
      <c r="GW54" s="3"/>
      <c r="GX54" s="3"/>
      <c r="GY54" s="3"/>
    </row>
    <row r="55" spans="2:207" x14ac:dyDescent="0.2">
      <c r="G55" s="3"/>
      <c r="H55" s="3"/>
      <c r="I55" s="3"/>
      <c r="J55" s="3"/>
      <c r="K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  <c r="DN55" s="3"/>
      <c r="DO55" s="3"/>
      <c r="DP55" s="3"/>
      <c r="DQ55" s="3"/>
      <c r="DR55" s="3"/>
      <c r="DS55" s="3"/>
      <c r="DT55" s="3"/>
      <c r="DU55" s="3"/>
      <c r="DV55" s="3"/>
      <c r="DW55" s="3"/>
      <c r="DX55" s="3"/>
      <c r="DY55" s="3"/>
      <c r="DZ55" s="3"/>
      <c r="EA55" s="3"/>
      <c r="EB55" s="3"/>
      <c r="EC55" s="3"/>
      <c r="ED55" s="3"/>
      <c r="EE55" s="3"/>
      <c r="EF55" s="3"/>
      <c r="EG55" s="3"/>
      <c r="EH55" s="3"/>
      <c r="EI55" s="3"/>
      <c r="EJ55" s="3"/>
      <c r="EK55" s="3"/>
      <c r="EL55" s="3"/>
      <c r="EM55" s="3"/>
      <c r="EN55" s="3"/>
      <c r="EO55" s="3"/>
      <c r="EP55" s="3"/>
      <c r="EQ55" s="3"/>
      <c r="ER55" s="3"/>
      <c r="ES55" s="3"/>
      <c r="ET55" s="3"/>
      <c r="EU55" s="3"/>
      <c r="EV55" s="3"/>
      <c r="EW55" s="3"/>
      <c r="EX55" s="3"/>
      <c r="EY55" s="3"/>
      <c r="EZ55" s="3"/>
      <c r="FA55" s="3"/>
      <c r="FB55" s="3"/>
      <c r="FC55" s="3"/>
      <c r="FD55" s="3"/>
      <c r="FE55" s="3"/>
      <c r="FF55" s="3"/>
      <c r="FG55" s="3"/>
      <c r="FH55" s="3"/>
      <c r="FI55" s="3"/>
      <c r="FJ55" s="3"/>
      <c r="FK55" s="3"/>
      <c r="FL55" s="3"/>
      <c r="FM55" s="3"/>
      <c r="FN55" s="3"/>
      <c r="FO55" s="3"/>
      <c r="FP55" s="3"/>
      <c r="FQ55" s="3"/>
      <c r="FR55" s="3"/>
      <c r="FS55" s="3"/>
      <c r="FT55" s="3"/>
      <c r="FU55" s="3"/>
      <c r="FV55" s="3"/>
      <c r="FW55" s="3"/>
      <c r="FX55" s="3"/>
      <c r="FY55" s="3"/>
      <c r="FZ55" s="3"/>
      <c r="GA55" s="3"/>
      <c r="GB55" s="3"/>
      <c r="GC55" s="3"/>
      <c r="GD55" s="3"/>
      <c r="GE55" s="3"/>
      <c r="GF55" s="3"/>
      <c r="GG55" s="3"/>
      <c r="GH55" s="3"/>
      <c r="GI55" s="3"/>
      <c r="GJ55" s="3"/>
      <c r="GK55" s="3"/>
      <c r="GL55" s="3"/>
      <c r="GM55" s="3"/>
      <c r="GN55" s="3"/>
      <c r="GO55" s="3"/>
      <c r="GP55" s="3"/>
      <c r="GQ55" s="3"/>
      <c r="GR55" s="3"/>
      <c r="GS55" s="3"/>
      <c r="GT55" s="3"/>
      <c r="GU55" s="3"/>
      <c r="GV55" s="3"/>
      <c r="GW55" s="3"/>
      <c r="GX55" s="3"/>
      <c r="GY55" s="3"/>
    </row>
    <row r="56" spans="2:207" x14ac:dyDescent="0.2">
      <c r="D56" t="s">
        <v>5</v>
      </c>
      <c r="E56" t="s">
        <v>1</v>
      </c>
      <c r="F56">
        <f>COUNT(M56:GJ56)</f>
        <v>100</v>
      </c>
      <c r="G56" s="3">
        <f>AVERAGE(M56:GJ56)</f>
        <v>29.557535489999996</v>
      </c>
      <c r="H56" s="3">
        <f>MAX(M56:GJ56)</f>
        <v>37.594814</v>
      </c>
      <c r="I56" s="3">
        <f>MIN(M56:GJ56)</f>
        <v>25.832657000000001</v>
      </c>
      <c r="J56" s="3">
        <f>_xlfn.STDEV.P(M56:GJ56)</f>
        <v>2.0011610194471032</v>
      </c>
      <c r="K56" s="3">
        <f>_xlfn.VAR.S(M56:GJ56)</f>
        <v>4.0450963896510794</v>
      </c>
      <c r="M56" s="3">
        <v>28.647031999999999</v>
      </c>
      <c r="N56" s="3">
        <v>27.961062999999999</v>
      </c>
      <c r="O56" s="3">
        <v>34.120224</v>
      </c>
      <c r="P56" s="3">
        <v>31.650805999999999</v>
      </c>
      <c r="Q56" s="3">
        <v>27.929597999999999</v>
      </c>
      <c r="R56" s="3">
        <v>28.535568000000001</v>
      </c>
      <c r="S56" s="3">
        <v>31.097054</v>
      </c>
      <c r="T56" s="3">
        <v>30.277756</v>
      </c>
      <c r="U56" s="3">
        <v>27.172129000000002</v>
      </c>
      <c r="V56" s="3">
        <v>30.31514</v>
      </c>
      <c r="W56" s="3">
        <v>25.832657000000001</v>
      </c>
      <c r="X56" s="3">
        <v>30.926449000000002</v>
      </c>
      <c r="Y56" s="3">
        <v>26.493454</v>
      </c>
      <c r="Z56" s="3">
        <v>27.885484999999999</v>
      </c>
      <c r="AA56" s="3">
        <v>30.007252000000001</v>
      </c>
      <c r="AB56" s="3">
        <v>28.054634</v>
      </c>
      <c r="AC56" s="3">
        <v>28.499554</v>
      </c>
      <c r="AD56" s="3">
        <v>29.851223000000001</v>
      </c>
      <c r="AE56" s="3">
        <v>30.496604999999999</v>
      </c>
      <c r="AF56" s="3">
        <v>28.670535999999998</v>
      </c>
      <c r="AG56" s="3">
        <v>27.075771</v>
      </c>
      <c r="AH56" s="3">
        <v>29.228472</v>
      </c>
      <c r="AI56" s="3">
        <v>28.716988000000001</v>
      </c>
      <c r="AJ56" s="3">
        <v>28.978323</v>
      </c>
      <c r="AK56" s="3">
        <v>30.865663999999999</v>
      </c>
      <c r="AL56" s="3">
        <v>29.111462</v>
      </c>
      <c r="AM56" s="3">
        <v>28.820435</v>
      </c>
      <c r="AN56" s="3">
        <v>33.343082000000003</v>
      </c>
      <c r="AO56" s="3">
        <v>31.619002999999999</v>
      </c>
      <c r="AP56" s="3">
        <v>28.416298000000001</v>
      </c>
      <c r="AQ56" s="3">
        <v>26.710021999999999</v>
      </c>
      <c r="AR56" s="3">
        <v>30.454986999999999</v>
      </c>
      <c r="AS56" s="3">
        <v>27.667287999999999</v>
      </c>
      <c r="AT56" s="3">
        <v>27.719259000000001</v>
      </c>
      <c r="AU56" s="3">
        <v>30.696888000000001</v>
      </c>
      <c r="AV56" s="3">
        <v>28.257946</v>
      </c>
      <c r="AW56" s="3">
        <v>30.940799999999999</v>
      </c>
      <c r="AX56" s="3">
        <v>29.509169</v>
      </c>
      <c r="AY56" s="3">
        <v>29.453088999999999</v>
      </c>
      <c r="AZ56" s="3">
        <v>31.465676999999999</v>
      </c>
      <c r="BA56" s="3">
        <v>29.828067999999998</v>
      </c>
      <c r="BB56" s="3">
        <v>28.681269</v>
      </c>
      <c r="BC56" s="3">
        <v>29.642208</v>
      </c>
      <c r="BD56" s="3">
        <v>28.538564999999998</v>
      </c>
      <c r="BE56" s="3">
        <v>26.637587</v>
      </c>
      <c r="BF56" s="3">
        <v>26.458023000000001</v>
      </c>
      <c r="BG56" s="3">
        <v>32.118831999999998</v>
      </c>
      <c r="BH56" s="3">
        <v>28.001519999999999</v>
      </c>
      <c r="BI56" s="3">
        <v>30.315888999999999</v>
      </c>
      <c r="BJ56" s="3">
        <v>30.054311999999999</v>
      </c>
      <c r="BK56" s="3">
        <v>29.085346000000001</v>
      </c>
      <c r="BL56" s="3">
        <v>29.261762999999998</v>
      </c>
      <c r="BM56" s="3">
        <v>31.749282999999998</v>
      </c>
      <c r="BN56" s="3">
        <v>31.199584999999999</v>
      </c>
      <c r="BO56" s="3">
        <v>29.744133000000001</v>
      </c>
      <c r="BP56" s="3">
        <v>28.111640999999999</v>
      </c>
      <c r="BQ56" s="3">
        <v>31.502383999999999</v>
      </c>
      <c r="BR56" s="3">
        <v>30.123214999999998</v>
      </c>
      <c r="BS56" s="3">
        <v>31.840702</v>
      </c>
      <c r="BT56" s="3">
        <v>30.006716000000001</v>
      </c>
      <c r="BU56" s="3">
        <v>27.308219999999999</v>
      </c>
      <c r="BV56" s="3">
        <v>32.897140999999998</v>
      </c>
      <c r="BW56" s="3">
        <v>34.530670000000001</v>
      </c>
      <c r="BX56" s="3">
        <v>28.223977999999999</v>
      </c>
      <c r="BY56" s="3">
        <v>32.355964999999998</v>
      </c>
      <c r="BZ56" s="3">
        <v>29.931290000000001</v>
      </c>
      <c r="CA56" s="3">
        <v>28.422146000000001</v>
      </c>
      <c r="CB56" s="3">
        <v>29.982202999999998</v>
      </c>
      <c r="CC56" s="3">
        <v>29.738712</v>
      </c>
      <c r="CD56" s="3">
        <v>27.799391</v>
      </c>
      <c r="CE56" s="3">
        <v>25.941351000000001</v>
      </c>
      <c r="CF56" s="3">
        <v>30.508703000000001</v>
      </c>
      <c r="CG56" s="3">
        <v>26.501261</v>
      </c>
      <c r="CH56" s="3">
        <v>29.849691</v>
      </c>
      <c r="CI56" s="3">
        <v>29.573312999999999</v>
      </c>
      <c r="CJ56" s="3">
        <v>29.413129999999999</v>
      </c>
      <c r="CK56" s="3">
        <v>30.441369999999999</v>
      </c>
      <c r="CL56" s="3">
        <v>31.982216000000001</v>
      </c>
      <c r="CM56" s="3">
        <v>30.569130000000001</v>
      </c>
      <c r="CN56" s="3">
        <v>29.563580999999999</v>
      </c>
      <c r="CO56" s="3">
        <v>27.860258000000002</v>
      </c>
      <c r="CP56" s="3">
        <v>32.707684</v>
      </c>
      <c r="CQ56" s="3">
        <v>27.721567</v>
      </c>
      <c r="CR56" s="3">
        <v>27.333891000000001</v>
      </c>
      <c r="CS56" s="3">
        <v>32.540942999999999</v>
      </c>
      <c r="CT56" s="3">
        <v>27.612247</v>
      </c>
      <c r="CU56" s="3">
        <v>28.267088000000001</v>
      </c>
      <c r="CV56" s="3">
        <v>29.761288</v>
      </c>
      <c r="CW56" s="3">
        <v>27.983778000000001</v>
      </c>
      <c r="CX56" s="3">
        <v>31.930975</v>
      </c>
      <c r="CY56" s="3">
        <v>31.107437000000001</v>
      </c>
      <c r="CZ56" s="3">
        <v>28.30508</v>
      </c>
      <c r="DA56" s="3">
        <v>31.469214999999998</v>
      </c>
      <c r="DB56" s="3">
        <v>29.365197999999999</v>
      </c>
      <c r="DC56" s="3">
        <v>29.884682000000002</v>
      </c>
      <c r="DD56" s="3">
        <v>27.264520999999998</v>
      </c>
      <c r="DE56" s="3">
        <v>30.673573000000001</v>
      </c>
      <c r="DF56" s="3">
        <v>28.392496000000001</v>
      </c>
      <c r="DG56" s="3">
        <v>37.594814</v>
      </c>
      <c r="DH56" s="3">
        <v>26.067468999999999</v>
      </c>
      <c r="DI56" s="3"/>
      <c r="DJ56" s="3"/>
      <c r="DK56" s="3"/>
      <c r="DL56" s="3"/>
      <c r="DM56" s="3"/>
      <c r="DN56" s="3"/>
      <c r="DO56" s="3"/>
      <c r="DP56" s="3"/>
      <c r="DQ56" s="3"/>
      <c r="DR56" s="3"/>
      <c r="DS56" s="3"/>
      <c r="DT56" s="3"/>
      <c r="DU56" s="3"/>
      <c r="DV56" s="3"/>
      <c r="DW56" s="3"/>
      <c r="DX56" s="3"/>
      <c r="DY56" s="3"/>
      <c r="DZ56" s="3"/>
      <c r="EA56" s="3"/>
      <c r="EB56" s="3"/>
      <c r="EC56" s="3"/>
      <c r="ED56" s="3"/>
      <c r="EE56" s="3"/>
      <c r="EF56" s="3"/>
      <c r="EG56" s="3"/>
      <c r="EH56" s="3"/>
      <c r="EI56" s="3"/>
      <c r="EJ56" s="3"/>
      <c r="EK56" s="3"/>
      <c r="EL56" s="3"/>
      <c r="EM56" s="3"/>
      <c r="EN56" s="3"/>
      <c r="EO56" s="3"/>
      <c r="EP56" s="3"/>
      <c r="EQ56" s="3"/>
      <c r="ER56" s="3"/>
      <c r="ES56" s="3"/>
      <c r="ET56" s="3"/>
      <c r="EU56" s="3"/>
      <c r="EV56" s="3"/>
      <c r="EW56" s="3"/>
      <c r="EX56" s="3"/>
      <c r="EY56" s="3"/>
      <c r="EZ56" s="3"/>
      <c r="FA56" s="3"/>
      <c r="FB56" s="3"/>
      <c r="FC56" s="3"/>
      <c r="FD56" s="3"/>
      <c r="FE56" s="3"/>
      <c r="FF56" s="3"/>
      <c r="FG56" s="3"/>
      <c r="FH56" s="3"/>
      <c r="FI56" s="3"/>
      <c r="FJ56" s="3"/>
      <c r="FK56" s="3"/>
      <c r="FL56" s="3"/>
      <c r="FM56" s="3"/>
      <c r="FN56" s="3"/>
      <c r="FO56" s="3"/>
      <c r="FP56" s="3"/>
      <c r="FQ56" s="3"/>
      <c r="FR56" s="3"/>
      <c r="FS56" s="3"/>
      <c r="FT56" s="3"/>
      <c r="FU56" s="3"/>
      <c r="FV56" s="3"/>
      <c r="FW56" s="3"/>
      <c r="FX56" s="3"/>
      <c r="FY56" s="3"/>
      <c r="FZ56" s="3"/>
      <c r="GA56" s="3"/>
      <c r="GB56" s="3"/>
      <c r="GC56" s="3"/>
      <c r="GD56" s="3"/>
      <c r="GE56" s="3"/>
      <c r="GF56" s="3"/>
      <c r="GG56" s="3"/>
      <c r="GH56" s="3"/>
      <c r="GI56" s="3"/>
      <c r="GJ56" s="3"/>
      <c r="GK56" s="3"/>
      <c r="GL56" s="3"/>
      <c r="GM56" s="3"/>
      <c r="GN56" s="3"/>
      <c r="GO56" s="3"/>
      <c r="GP56" s="3"/>
      <c r="GQ56" s="3"/>
      <c r="GR56" s="3"/>
      <c r="GS56" s="3"/>
      <c r="GT56" s="3"/>
      <c r="GU56" s="3"/>
      <c r="GV56" s="3"/>
      <c r="GW56" s="3"/>
      <c r="GX56" s="3"/>
      <c r="GY56" s="3"/>
    </row>
    <row r="57" spans="2:207" x14ac:dyDescent="0.2">
      <c r="G57" s="3"/>
      <c r="H57" s="3"/>
      <c r="I57" s="3"/>
      <c r="J57" s="3"/>
      <c r="K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  <c r="GA57" s="3"/>
      <c r="GB57" s="3"/>
      <c r="GC57" s="3"/>
      <c r="GD57" s="3"/>
      <c r="GE57" s="3"/>
      <c r="GF57" s="3"/>
      <c r="GG57" s="3"/>
      <c r="GH57" s="3"/>
      <c r="GI57" s="3"/>
      <c r="GJ57" s="3"/>
      <c r="GK57" s="3"/>
      <c r="GL57" s="3"/>
      <c r="GM57" s="3"/>
      <c r="GN57" s="3"/>
      <c r="GO57" s="3"/>
      <c r="GP57" s="3"/>
      <c r="GQ57" s="3"/>
      <c r="GR57" s="3"/>
      <c r="GS57" s="3"/>
      <c r="GT57" s="3"/>
      <c r="GU57" s="3"/>
      <c r="GV57" s="3"/>
      <c r="GW57" s="3"/>
      <c r="GX57" s="3"/>
      <c r="GY57" s="3"/>
    </row>
    <row r="58" spans="2:207" x14ac:dyDescent="0.2">
      <c r="D58" t="s">
        <v>6</v>
      </c>
      <c r="E58" t="s">
        <v>1</v>
      </c>
      <c r="F58">
        <f>COUNT(M58:GJ58)</f>
        <v>100</v>
      </c>
      <c r="G58" s="3">
        <f>AVERAGE(M58:GJ58)</f>
        <v>28.136033779999998</v>
      </c>
      <c r="H58" s="3">
        <f>MAX(M58:GJ58)</f>
        <v>34.268763999999997</v>
      </c>
      <c r="I58" s="3">
        <f>MIN(M58:GJ58)</f>
        <v>20.752773000000001</v>
      </c>
      <c r="J58" s="3">
        <f>_xlfn.STDEV.P(M58:GJ58)</f>
        <v>2.5859486215393273</v>
      </c>
      <c r="K58" s="3">
        <f>_xlfn.VAR.S(M58:GJ58)</f>
        <v>6.7546770436779262</v>
      </c>
      <c r="M58" s="3">
        <v>30.673065000000001</v>
      </c>
      <c r="N58" s="3">
        <v>23.468153000000001</v>
      </c>
      <c r="O58" s="3">
        <v>26.960428</v>
      </c>
      <c r="P58" s="3">
        <v>31.331326000000001</v>
      </c>
      <c r="Q58" s="3">
        <v>28.884912</v>
      </c>
      <c r="R58" s="3">
        <v>29.343304</v>
      </c>
      <c r="S58" s="3">
        <v>28.557414999999999</v>
      </c>
      <c r="T58" s="3">
        <v>27.690006</v>
      </c>
      <c r="U58" s="3">
        <v>30.767693999999999</v>
      </c>
      <c r="V58" s="3">
        <v>28.052966999999999</v>
      </c>
      <c r="W58" s="3">
        <v>25.017101</v>
      </c>
      <c r="X58" s="3">
        <v>28.714468</v>
      </c>
      <c r="Y58" s="3">
        <v>29.463663</v>
      </c>
      <c r="Z58" s="3">
        <v>25.593809</v>
      </c>
      <c r="AA58" s="3">
        <v>28.091991</v>
      </c>
      <c r="AB58" s="3">
        <v>29.834804999999999</v>
      </c>
      <c r="AC58" s="3">
        <v>29.3398</v>
      </c>
      <c r="AD58" s="3">
        <v>30.072748000000001</v>
      </c>
      <c r="AE58" s="3">
        <v>30.73311</v>
      </c>
      <c r="AF58" s="3">
        <v>30.948843</v>
      </c>
      <c r="AG58" s="3">
        <v>27.043406000000001</v>
      </c>
      <c r="AH58" s="3">
        <v>25.523375000000001</v>
      </c>
      <c r="AI58" s="3">
        <v>28.632359999999998</v>
      </c>
      <c r="AJ58" s="3">
        <v>23.771442</v>
      </c>
      <c r="AK58" s="3">
        <v>29.686776999999999</v>
      </c>
      <c r="AL58" s="3">
        <v>32.431182999999997</v>
      </c>
      <c r="AM58" s="3">
        <v>23.967732999999999</v>
      </c>
      <c r="AN58" s="3">
        <v>27.418151999999999</v>
      </c>
      <c r="AO58" s="3">
        <v>31.510788000000002</v>
      </c>
      <c r="AP58" s="3">
        <v>30.672813000000001</v>
      </c>
      <c r="AQ58" s="3">
        <v>27.941777999999999</v>
      </c>
      <c r="AR58" s="3">
        <v>32.943263999999999</v>
      </c>
      <c r="AS58" s="3">
        <v>27.919312000000001</v>
      </c>
      <c r="AT58" s="3">
        <v>27.420296</v>
      </c>
      <c r="AU58" s="3">
        <v>26.622586999999999</v>
      </c>
      <c r="AV58" s="3">
        <v>20.752773000000001</v>
      </c>
      <c r="AW58" s="3">
        <v>26.035443999999998</v>
      </c>
      <c r="AX58" s="3">
        <v>25.318293000000001</v>
      </c>
      <c r="AY58" s="3">
        <v>24.325980999999999</v>
      </c>
      <c r="AZ58" s="3">
        <v>26.518087000000001</v>
      </c>
      <c r="BA58" s="3">
        <v>26.543146</v>
      </c>
      <c r="BB58" s="3">
        <v>27.303118000000001</v>
      </c>
      <c r="BC58" s="3">
        <v>29.150873000000001</v>
      </c>
      <c r="BD58" s="3">
        <v>27.876745</v>
      </c>
      <c r="BE58" s="3">
        <v>28.177961</v>
      </c>
      <c r="BF58" s="3">
        <v>26.628312999999999</v>
      </c>
      <c r="BG58" s="3">
        <v>27.804041000000002</v>
      </c>
      <c r="BH58" s="3">
        <v>26.288647000000001</v>
      </c>
      <c r="BI58" s="3">
        <v>29.627047000000001</v>
      </c>
      <c r="BJ58" s="3">
        <v>30.483917000000002</v>
      </c>
      <c r="BK58" s="3">
        <v>32.363247000000001</v>
      </c>
      <c r="BL58" s="3">
        <v>24.150198</v>
      </c>
      <c r="BM58" s="3">
        <v>27.497834999999998</v>
      </c>
      <c r="BN58" s="3">
        <v>31.300198000000002</v>
      </c>
      <c r="BO58" s="3">
        <v>31.883096999999999</v>
      </c>
      <c r="BP58" s="3">
        <v>27.901083</v>
      </c>
      <c r="BQ58" s="3">
        <v>28.953589999999998</v>
      </c>
      <c r="BR58" s="3">
        <v>26.210902999999998</v>
      </c>
      <c r="BS58" s="3">
        <v>27.018000000000001</v>
      </c>
      <c r="BT58" s="3">
        <v>29.003933</v>
      </c>
      <c r="BU58" s="3">
        <v>24.685763999999999</v>
      </c>
      <c r="BV58" s="3">
        <v>29.056314</v>
      </c>
      <c r="BW58" s="3">
        <v>30.147773999999998</v>
      </c>
      <c r="BX58" s="3">
        <v>30.414272</v>
      </c>
      <c r="BY58" s="3">
        <v>27.847328000000001</v>
      </c>
      <c r="BZ58" s="3">
        <v>27.380333</v>
      </c>
      <c r="CA58" s="3">
        <v>26.551207000000002</v>
      </c>
      <c r="CB58" s="3">
        <v>28.681322000000002</v>
      </c>
      <c r="CC58" s="3">
        <v>28.635109</v>
      </c>
      <c r="CD58" s="3">
        <v>30.341255</v>
      </c>
      <c r="CE58" s="3">
        <v>27.037239</v>
      </c>
      <c r="CF58" s="3">
        <v>28.299348999999999</v>
      </c>
      <c r="CG58" s="3">
        <v>23.982002000000001</v>
      </c>
      <c r="CH58" s="3">
        <v>31.681660000000001</v>
      </c>
      <c r="CI58" s="3">
        <v>29.701891</v>
      </c>
      <c r="CJ58" s="3">
        <v>30.589237000000001</v>
      </c>
      <c r="CK58" s="3">
        <v>24.82086</v>
      </c>
      <c r="CL58" s="3">
        <v>26.728846000000001</v>
      </c>
      <c r="CM58" s="3">
        <v>31.601455999999999</v>
      </c>
      <c r="CN58" s="3">
        <v>31.986473</v>
      </c>
      <c r="CO58" s="3">
        <v>27.292883</v>
      </c>
      <c r="CP58" s="3">
        <v>30.704491000000001</v>
      </c>
      <c r="CQ58" s="3">
        <v>28.071048999999999</v>
      </c>
      <c r="CR58" s="3">
        <v>28.835581000000001</v>
      </c>
      <c r="CS58" s="3">
        <v>25.434061</v>
      </c>
      <c r="CT58" s="3">
        <v>21.561002999999999</v>
      </c>
      <c r="CU58" s="3">
        <v>28.741973999999999</v>
      </c>
      <c r="CV58" s="3">
        <v>30.571997</v>
      </c>
      <c r="CW58" s="3">
        <v>26.494683999999999</v>
      </c>
      <c r="CX58" s="3">
        <v>30.953381</v>
      </c>
      <c r="CY58" s="3">
        <v>30.471865000000001</v>
      </c>
      <c r="CZ58" s="3">
        <v>26.842455000000001</v>
      </c>
      <c r="DA58" s="3">
        <v>30.486452</v>
      </c>
      <c r="DB58" s="3">
        <v>30.195969000000002</v>
      </c>
      <c r="DC58" s="3">
        <v>25.916257999999999</v>
      </c>
      <c r="DD58" s="3">
        <v>25.644379000000001</v>
      </c>
      <c r="DE58" s="3">
        <v>21.243162000000002</v>
      </c>
      <c r="DF58" s="3">
        <v>34.268763999999997</v>
      </c>
      <c r="DG58" s="3">
        <v>26.550827000000002</v>
      </c>
      <c r="DH58" s="3">
        <v>26.991108000000001</v>
      </c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  <c r="GD58" s="3"/>
      <c r="GE58" s="3"/>
      <c r="GF58" s="3"/>
      <c r="GG58" s="3"/>
      <c r="GH58" s="3"/>
      <c r="GI58" s="3"/>
      <c r="GJ58" s="3"/>
      <c r="GK58" s="3"/>
      <c r="GL58" s="3"/>
      <c r="GM58" s="3"/>
      <c r="GN58" s="3"/>
      <c r="GO58" s="3"/>
      <c r="GP58" s="3"/>
      <c r="GQ58" s="3"/>
      <c r="GR58" s="3"/>
      <c r="GS58" s="3"/>
      <c r="GT58" s="3"/>
      <c r="GU58" s="3"/>
      <c r="GV58" s="3"/>
      <c r="GW58" s="3"/>
      <c r="GX58" s="3"/>
      <c r="GY58" s="3"/>
    </row>
    <row r="59" spans="2:207" x14ac:dyDescent="0.2">
      <c r="M59" s="3"/>
      <c r="N59" s="3"/>
    </row>
    <row r="61" spans="2:207" x14ac:dyDescent="0.2">
      <c r="B61" t="s">
        <v>59</v>
      </c>
      <c r="D61" s="1" t="s">
        <v>37</v>
      </c>
    </row>
    <row r="62" spans="2:207" x14ac:dyDescent="0.2">
      <c r="B62" s="2" t="s">
        <v>36</v>
      </c>
      <c r="D62" t="s">
        <v>3</v>
      </c>
      <c r="E62" t="s">
        <v>1</v>
      </c>
      <c r="F62">
        <f>COUNT(M62:GJ62)</f>
        <v>100</v>
      </c>
      <c r="G62" s="3">
        <f>AVERAGE(M62:GJ62)</f>
        <v>65.724928140000003</v>
      </c>
      <c r="H62" s="3">
        <f>MAX(M62:GJ62)</f>
        <v>73.993958000000006</v>
      </c>
      <c r="I62" s="3">
        <f>MIN(M62:GJ62)</f>
        <v>56.784461999999998</v>
      </c>
      <c r="J62" s="3">
        <f>_xlfn.STDEV.P(M62:GJ62)</f>
        <v>2.5907528585155624</v>
      </c>
      <c r="K62" s="3">
        <f>_xlfn.VAR.S(M62:GJ62)</f>
        <v>6.7797983574813712</v>
      </c>
      <c r="M62" s="3">
        <v>65.110229000000004</v>
      </c>
      <c r="N62" s="3">
        <v>56.784461999999998</v>
      </c>
      <c r="O62" s="3">
        <v>69.243317000000005</v>
      </c>
      <c r="P62" s="3">
        <v>73.993958000000006</v>
      </c>
      <c r="Q62" s="3">
        <v>67.856987000000004</v>
      </c>
      <c r="R62" s="3">
        <v>69.495552000000004</v>
      </c>
      <c r="S62" s="3">
        <v>67.240936000000005</v>
      </c>
      <c r="T62" s="3">
        <v>65.008826999999997</v>
      </c>
      <c r="U62" s="3">
        <v>63.446185999999997</v>
      </c>
      <c r="V62" s="3">
        <v>65.303154000000006</v>
      </c>
      <c r="W62" s="3">
        <v>63.878456</v>
      </c>
      <c r="X62" s="3">
        <v>67.862679</v>
      </c>
      <c r="Y62" s="3">
        <v>67.538780000000003</v>
      </c>
      <c r="Z62" s="3">
        <v>64.631538000000006</v>
      </c>
      <c r="AA62" s="3">
        <v>65.593086</v>
      </c>
      <c r="AB62" s="3">
        <v>66.291923999999995</v>
      </c>
      <c r="AC62" s="3">
        <v>65.084418999999997</v>
      </c>
      <c r="AD62" s="3">
        <v>66.776809999999998</v>
      </c>
      <c r="AE62" s="3">
        <v>68.435181</v>
      </c>
      <c r="AF62" s="3">
        <v>66.394028000000006</v>
      </c>
      <c r="AG62" s="3">
        <v>64.508217000000002</v>
      </c>
      <c r="AH62" s="3">
        <v>62.777721</v>
      </c>
      <c r="AI62" s="3">
        <v>68.013176000000001</v>
      </c>
      <c r="AJ62" s="3">
        <v>64.547011999999995</v>
      </c>
      <c r="AK62" s="3">
        <v>69.525847999999996</v>
      </c>
      <c r="AL62" s="3">
        <v>63.629275999999997</v>
      </c>
      <c r="AM62" s="3">
        <v>66.323104999999998</v>
      </c>
      <c r="AN62" s="3">
        <v>68.715926999999994</v>
      </c>
      <c r="AO62" s="3">
        <v>67.248054999999994</v>
      </c>
      <c r="AP62" s="3">
        <v>66.993301000000002</v>
      </c>
      <c r="AQ62" s="3">
        <v>64.410606000000001</v>
      </c>
      <c r="AR62" s="3">
        <v>65.236594999999994</v>
      </c>
      <c r="AS62" s="3">
        <v>67.048552999999998</v>
      </c>
      <c r="AT62" s="3">
        <v>63.928604</v>
      </c>
      <c r="AU62" s="3">
        <v>67.222130000000007</v>
      </c>
      <c r="AV62" s="3">
        <v>66.948195999999996</v>
      </c>
      <c r="AW62" s="3">
        <v>68.222977</v>
      </c>
      <c r="AX62" s="3">
        <v>66.795670000000001</v>
      </c>
      <c r="AY62" s="3">
        <v>65.058998000000003</v>
      </c>
      <c r="AZ62" s="3">
        <v>66.579307999999997</v>
      </c>
      <c r="BA62" s="3">
        <v>64.883018000000007</v>
      </c>
      <c r="BB62" s="3">
        <v>68.273337999999995</v>
      </c>
      <c r="BC62" s="3">
        <v>68.004729999999995</v>
      </c>
      <c r="BD62" s="3">
        <v>67.364333999999999</v>
      </c>
      <c r="BE62" s="3">
        <v>64.566520999999995</v>
      </c>
      <c r="BF62" s="3">
        <v>62.977871</v>
      </c>
      <c r="BG62" s="3">
        <v>65.549201999999994</v>
      </c>
      <c r="BH62" s="3">
        <v>64.981667000000002</v>
      </c>
      <c r="BI62" s="3">
        <v>66.546722000000003</v>
      </c>
      <c r="BJ62" s="3">
        <v>67.202690000000004</v>
      </c>
      <c r="BK62" s="3">
        <v>64.873076999999995</v>
      </c>
      <c r="BL62" s="3">
        <v>66.391266000000002</v>
      </c>
      <c r="BM62" s="3">
        <v>61.078606000000001</v>
      </c>
      <c r="BN62" s="3">
        <v>67.595055000000002</v>
      </c>
      <c r="BO62" s="3">
        <v>64.009788999999998</v>
      </c>
      <c r="BP62" s="3">
        <v>61.564953000000003</v>
      </c>
      <c r="BQ62" s="3">
        <v>65.748519999999999</v>
      </c>
      <c r="BR62" s="3">
        <v>63.852032000000001</v>
      </c>
      <c r="BS62" s="3">
        <v>64.670349000000002</v>
      </c>
      <c r="BT62" s="3">
        <v>64.906548000000001</v>
      </c>
      <c r="BU62" s="3">
        <v>59.574547000000003</v>
      </c>
      <c r="BV62" s="3">
        <v>69.016129000000006</v>
      </c>
      <c r="BW62" s="3">
        <v>64.608840999999998</v>
      </c>
      <c r="BX62" s="3">
        <v>61.888961999999999</v>
      </c>
      <c r="BY62" s="3">
        <v>68.131011999999998</v>
      </c>
      <c r="BZ62" s="3">
        <v>64.735412999999994</v>
      </c>
      <c r="CA62" s="3">
        <v>65.790619000000007</v>
      </c>
      <c r="CB62" s="3">
        <v>63.650481999999997</v>
      </c>
      <c r="CC62" s="3">
        <v>69.951324</v>
      </c>
      <c r="CD62" s="3">
        <v>66.77037</v>
      </c>
      <c r="CE62" s="3">
        <v>66.363297000000003</v>
      </c>
      <c r="CF62" s="3">
        <v>60.397407999999999</v>
      </c>
      <c r="CG62" s="3">
        <v>68.130065999999999</v>
      </c>
      <c r="CH62" s="3">
        <v>67.088013000000004</v>
      </c>
      <c r="CI62" s="3">
        <v>67.572295999999994</v>
      </c>
      <c r="CJ62" s="3">
        <v>66.383765999999994</v>
      </c>
      <c r="CK62" s="3">
        <v>63.090282000000002</v>
      </c>
      <c r="CL62" s="3">
        <v>67.460892000000001</v>
      </c>
      <c r="CM62" s="3">
        <v>68.591453999999999</v>
      </c>
      <c r="CN62" s="3">
        <v>66.095237999999995</v>
      </c>
      <c r="CO62" s="3">
        <v>57.965549000000003</v>
      </c>
      <c r="CP62" s="3">
        <v>67.496100999999996</v>
      </c>
      <c r="CQ62" s="3">
        <v>67.652221999999995</v>
      </c>
      <c r="CR62" s="3">
        <v>63.901978</v>
      </c>
      <c r="CS62" s="3">
        <v>63.512473999999997</v>
      </c>
      <c r="CT62" s="3">
        <v>64.958290000000005</v>
      </c>
      <c r="CU62" s="3">
        <v>65.330382999999998</v>
      </c>
      <c r="CV62" s="3">
        <v>64.376328000000001</v>
      </c>
      <c r="CW62" s="3">
        <v>61.556140999999997</v>
      </c>
      <c r="CX62" s="3">
        <v>67.448775999999995</v>
      </c>
      <c r="CY62" s="3">
        <v>62.990425000000002</v>
      </c>
      <c r="CZ62" s="3">
        <v>62.688602000000003</v>
      </c>
      <c r="DA62" s="3">
        <v>64.242310000000003</v>
      </c>
      <c r="DB62" s="3">
        <v>64.460548000000003</v>
      </c>
      <c r="DC62" s="3">
        <v>69.286704999999998</v>
      </c>
      <c r="DD62" s="3">
        <v>64.186676000000006</v>
      </c>
      <c r="DE62" s="3">
        <v>64.728667999999999</v>
      </c>
      <c r="DF62" s="3">
        <v>67.497330000000005</v>
      </c>
      <c r="DG62" s="3">
        <v>69.015868999999995</v>
      </c>
      <c r="DH62" s="3">
        <v>69.162955999999994</v>
      </c>
      <c r="DI62" s="3"/>
      <c r="DJ62" s="3"/>
      <c r="DK62" s="3"/>
      <c r="DL62" s="3"/>
      <c r="DM62" s="3"/>
      <c r="DN62" s="3"/>
      <c r="DO62" s="3"/>
      <c r="DP62" s="3"/>
      <c r="DQ62" s="3"/>
      <c r="DR62" s="3"/>
      <c r="DS62" s="3"/>
      <c r="DT62" s="3"/>
      <c r="DU62" s="3"/>
      <c r="DV62" s="3"/>
      <c r="DW62" s="3"/>
      <c r="DX62" s="3"/>
      <c r="DY62" s="3"/>
      <c r="DZ62" s="3"/>
      <c r="EA62" s="3"/>
      <c r="EB62" s="3"/>
      <c r="EC62" s="3"/>
      <c r="ED62" s="3"/>
      <c r="EE62" s="3"/>
      <c r="EF62" s="3"/>
      <c r="EG62" s="3"/>
      <c r="EH62" s="3"/>
      <c r="EI62" s="3"/>
      <c r="EJ62" s="3"/>
      <c r="EK62" s="3"/>
      <c r="EL62" s="3"/>
      <c r="EM62" s="3"/>
      <c r="EN62" s="3"/>
      <c r="EO62" s="3"/>
      <c r="EP62" s="3"/>
      <c r="EQ62" s="3"/>
      <c r="ER62" s="3"/>
      <c r="ES62" s="3"/>
      <c r="ET62" s="3"/>
      <c r="EU62" s="3"/>
      <c r="EV62" s="3"/>
      <c r="EW62" s="3"/>
      <c r="EX62" s="3"/>
      <c r="EY62" s="3"/>
      <c r="EZ62" s="3"/>
      <c r="FA62" s="3"/>
      <c r="FB62" s="3"/>
      <c r="FC62" s="3"/>
      <c r="FD62" s="3"/>
      <c r="FE62" s="3"/>
      <c r="FF62" s="3"/>
      <c r="FG62" s="3"/>
      <c r="FH62" s="3"/>
      <c r="FI62" s="3"/>
      <c r="FJ62" s="3"/>
      <c r="FK62" s="3"/>
      <c r="FL62" s="3"/>
      <c r="FM62" s="3"/>
      <c r="FN62" s="3"/>
      <c r="FO62" s="3"/>
      <c r="FP62" s="3"/>
      <c r="FQ62" s="3"/>
      <c r="FR62" s="3"/>
      <c r="FS62" s="3"/>
      <c r="FT62" s="3"/>
      <c r="FU62" s="3"/>
      <c r="FV62" s="3"/>
      <c r="FW62" s="3"/>
      <c r="FX62" s="3"/>
      <c r="FY62" s="3"/>
      <c r="FZ62" s="3"/>
      <c r="GA62" s="3"/>
      <c r="GB62" s="3"/>
      <c r="GC62" s="3"/>
      <c r="GD62" s="3"/>
      <c r="GE62" s="3"/>
      <c r="GF62" s="3"/>
      <c r="GG62" s="3"/>
      <c r="GH62" s="3"/>
      <c r="GI62" s="3"/>
      <c r="GJ62" s="3"/>
      <c r="GK62" s="3"/>
      <c r="GL62" s="3"/>
      <c r="GM62" s="3"/>
      <c r="GN62" s="3"/>
      <c r="GO62" s="3"/>
      <c r="GP62" s="3"/>
      <c r="GQ62" s="3"/>
      <c r="GR62" s="3"/>
      <c r="GS62" s="3"/>
      <c r="GT62" s="3"/>
      <c r="GU62" s="3"/>
      <c r="GV62" s="3"/>
      <c r="GW62" s="3"/>
      <c r="GX62" s="3"/>
      <c r="GY62" s="3"/>
    </row>
    <row r="63" spans="2:207" x14ac:dyDescent="0.2">
      <c r="B63" s="2" t="s">
        <v>17</v>
      </c>
      <c r="G63" s="3"/>
      <c r="H63" s="3"/>
      <c r="I63" s="3"/>
      <c r="J63" s="3"/>
      <c r="K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  <c r="DN63" s="3"/>
      <c r="DO63" s="3"/>
      <c r="DP63" s="3"/>
      <c r="DQ63" s="3"/>
      <c r="DR63" s="3"/>
      <c r="DS63" s="3"/>
      <c r="DT63" s="3"/>
      <c r="DU63" s="3"/>
      <c r="DV63" s="3"/>
      <c r="DW63" s="3"/>
      <c r="DX63" s="3"/>
      <c r="DY63" s="3"/>
      <c r="DZ63" s="3"/>
      <c r="EA63" s="3"/>
      <c r="EB63" s="3"/>
      <c r="EC63" s="3"/>
      <c r="ED63" s="3"/>
      <c r="EE63" s="3"/>
      <c r="EF63" s="3"/>
      <c r="EG63" s="3"/>
      <c r="EH63" s="3"/>
      <c r="EI63" s="3"/>
      <c r="EJ63" s="3"/>
      <c r="EK63" s="3"/>
      <c r="EL63" s="3"/>
      <c r="EM63" s="3"/>
      <c r="EN63" s="3"/>
      <c r="EO63" s="3"/>
      <c r="EP63" s="3"/>
      <c r="EQ63" s="3"/>
      <c r="ER63" s="3"/>
      <c r="ES63" s="3"/>
      <c r="ET63" s="3"/>
      <c r="EU63" s="3"/>
      <c r="EV63" s="3"/>
      <c r="EW63" s="3"/>
      <c r="EX63" s="3"/>
      <c r="EY63" s="3"/>
      <c r="EZ63" s="3"/>
      <c r="FA63" s="3"/>
      <c r="FB63" s="3"/>
      <c r="FC63" s="3"/>
      <c r="FD63" s="3"/>
      <c r="FE63" s="3"/>
      <c r="FF63" s="3"/>
      <c r="FG63" s="3"/>
      <c r="FH63" s="3"/>
      <c r="FI63" s="3"/>
      <c r="FJ63" s="3"/>
      <c r="FK63" s="3"/>
      <c r="FL63" s="3"/>
      <c r="FM63" s="3"/>
      <c r="FN63" s="3"/>
      <c r="FO63" s="3"/>
      <c r="FP63" s="3"/>
      <c r="FQ63" s="3"/>
      <c r="FR63" s="3"/>
      <c r="FS63" s="3"/>
      <c r="FT63" s="3"/>
      <c r="FU63" s="3"/>
      <c r="FV63" s="3"/>
      <c r="FW63" s="3"/>
      <c r="FX63" s="3"/>
      <c r="FY63" s="3"/>
      <c r="FZ63" s="3"/>
      <c r="GA63" s="3"/>
      <c r="GB63" s="3"/>
      <c r="GC63" s="3"/>
      <c r="GD63" s="3"/>
      <c r="GE63" s="3"/>
      <c r="GF63" s="3"/>
      <c r="GG63" s="3"/>
      <c r="GH63" s="3"/>
      <c r="GI63" s="3"/>
      <c r="GJ63" s="3"/>
      <c r="GK63" s="3"/>
      <c r="GL63" s="3"/>
      <c r="GM63" s="3"/>
      <c r="GN63" s="3"/>
      <c r="GO63" s="3"/>
      <c r="GP63" s="3"/>
      <c r="GQ63" s="3"/>
      <c r="GR63" s="3"/>
      <c r="GS63" s="3"/>
      <c r="GT63" s="3"/>
      <c r="GU63" s="3"/>
      <c r="GV63" s="3"/>
      <c r="GW63" s="3"/>
      <c r="GX63" s="3"/>
      <c r="GY63" s="3"/>
    </row>
    <row r="64" spans="2:207" x14ac:dyDescent="0.2">
      <c r="B64" s="2" t="s">
        <v>18</v>
      </c>
      <c r="D64" t="s">
        <v>4</v>
      </c>
      <c r="E64" t="s">
        <v>1</v>
      </c>
      <c r="F64">
        <f>COUNT(M64:GJ64)</f>
        <v>100</v>
      </c>
      <c r="G64" s="3">
        <f>AVERAGE(M64:GJ64)</f>
        <v>49.478705959999985</v>
      </c>
      <c r="H64" s="3">
        <f>MAX(M64:GJ64)</f>
        <v>64.191956000000005</v>
      </c>
      <c r="I64" s="3">
        <f>MIN(M64:GJ64)</f>
        <v>35.506359000000003</v>
      </c>
      <c r="J64" s="3">
        <f>_xlfn.STDEV.P(M64:GJ64)</f>
        <v>5.1355002641456631</v>
      </c>
      <c r="K64" s="3">
        <f>_xlfn.VAR.S(M64:GJ64)</f>
        <v>26.639760568727695</v>
      </c>
      <c r="M64" s="3">
        <v>51.19838</v>
      </c>
      <c r="N64" s="3">
        <v>56.563889000000003</v>
      </c>
      <c r="O64" s="3">
        <v>53.676192999999998</v>
      </c>
      <c r="P64" s="3">
        <v>59.985515999999997</v>
      </c>
      <c r="Q64" s="3">
        <v>50.188392999999998</v>
      </c>
      <c r="R64" s="3">
        <v>50.552653999999997</v>
      </c>
      <c r="S64" s="3">
        <v>54.066775999999997</v>
      </c>
      <c r="T64" s="3">
        <v>55.588577000000001</v>
      </c>
      <c r="U64" s="3">
        <v>53.243977000000001</v>
      </c>
      <c r="V64" s="3">
        <v>51.929436000000003</v>
      </c>
      <c r="W64" s="3">
        <v>47.907463</v>
      </c>
      <c r="X64" s="3">
        <v>52.190894999999998</v>
      </c>
      <c r="Y64" s="3">
        <v>48.485779000000001</v>
      </c>
      <c r="Z64" s="3">
        <v>51.883926000000002</v>
      </c>
      <c r="AA64" s="3">
        <v>54.836010000000002</v>
      </c>
      <c r="AB64" s="3">
        <v>56.690978999999999</v>
      </c>
      <c r="AC64" s="3">
        <v>59.096671999999998</v>
      </c>
      <c r="AD64" s="3">
        <v>48.900570000000002</v>
      </c>
      <c r="AE64" s="3">
        <v>46.390163000000001</v>
      </c>
      <c r="AF64" s="3">
        <v>45.447296000000001</v>
      </c>
      <c r="AG64" s="3">
        <v>48.597019000000003</v>
      </c>
      <c r="AH64" s="3">
        <v>51.200218</v>
      </c>
      <c r="AI64" s="3">
        <v>56.287354000000001</v>
      </c>
      <c r="AJ64" s="3">
        <v>49.965401</v>
      </c>
      <c r="AK64" s="3">
        <v>52.233704000000003</v>
      </c>
      <c r="AL64" s="3">
        <v>53.109737000000003</v>
      </c>
      <c r="AM64" s="3">
        <v>51.259335</v>
      </c>
      <c r="AN64" s="3">
        <v>46.728844000000002</v>
      </c>
      <c r="AO64" s="3">
        <v>54.397385</v>
      </c>
      <c r="AP64" s="3">
        <v>47.965237000000002</v>
      </c>
      <c r="AQ64" s="3">
        <v>49.822764999999997</v>
      </c>
      <c r="AR64" s="3">
        <v>50.429554000000003</v>
      </c>
      <c r="AS64" s="3">
        <v>48.933750000000003</v>
      </c>
      <c r="AT64" s="3">
        <v>56.153896000000003</v>
      </c>
      <c r="AU64" s="3">
        <v>54.981915000000001</v>
      </c>
      <c r="AV64" s="3">
        <v>50.604613999999998</v>
      </c>
      <c r="AW64" s="3">
        <v>52.265197999999998</v>
      </c>
      <c r="AX64" s="3">
        <v>48.921439999999997</v>
      </c>
      <c r="AY64" s="3">
        <v>54.773524999999999</v>
      </c>
      <c r="AZ64" s="3">
        <v>51.005329000000003</v>
      </c>
      <c r="BA64" s="3">
        <v>57.643929</v>
      </c>
      <c r="BB64" s="3">
        <v>57.606293000000001</v>
      </c>
      <c r="BC64" s="3">
        <v>53.215983999999999</v>
      </c>
      <c r="BD64" s="3">
        <v>52.614863999999997</v>
      </c>
      <c r="BE64" s="3">
        <v>51.213580999999998</v>
      </c>
      <c r="BF64" s="3">
        <v>50.810912999999999</v>
      </c>
      <c r="BG64" s="3">
        <v>54.553268000000003</v>
      </c>
      <c r="BH64" s="3">
        <v>50.830193000000001</v>
      </c>
      <c r="BI64" s="3">
        <v>49.879596999999997</v>
      </c>
      <c r="BJ64" s="3">
        <v>49.245117</v>
      </c>
      <c r="BK64" s="3">
        <v>46.502620999999998</v>
      </c>
      <c r="BL64" s="3">
        <v>53.271197999999998</v>
      </c>
      <c r="BM64" s="3">
        <v>47.892876000000001</v>
      </c>
      <c r="BN64" s="3">
        <v>47.764220999999999</v>
      </c>
      <c r="BO64" s="3">
        <v>49.689053000000001</v>
      </c>
      <c r="BP64" s="3">
        <v>38.383037999999999</v>
      </c>
      <c r="BQ64" s="3">
        <v>44.620998</v>
      </c>
      <c r="BR64" s="3">
        <v>46.628872000000001</v>
      </c>
      <c r="BS64" s="3">
        <v>49.250534000000002</v>
      </c>
      <c r="BT64" s="3">
        <v>50.918582999999998</v>
      </c>
      <c r="BU64" s="3">
        <v>47.726433</v>
      </c>
      <c r="BV64" s="3">
        <v>55.248344000000003</v>
      </c>
      <c r="BW64" s="3">
        <v>39.406543999999997</v>
      </c>
      <c r="BX64" s="3">
        <v>64.191956000000005</v>
      </c>
      <c r="BY64" s="3">
        <v>43.824238000000001</v>
      </c>
      <c r="BZ64" s="3">
        <v>45.312592000000002</v>
      </c>
      <c r="CA64" s="3">
        <v>36.787914000000001</v>
      </c>
      <c r="CB64" s="3">
        <v>44.114277000000001</v>
      </c>
      <c r="CC64" s="3">
        <v>52.808810999999999</v>
      </c>
      <c r="CD64" s="3">
        <v>47.610385999999998</v>
      </c>
      <c r="CE64" s="3">
        <v>43.916828000000002</v>
      </c>
      <c r="CF64" s="3">
        <v>45.664363999999999</v>
      </c>
      <c r="CG64" s="3">
        <v>44.145294</v>
      </c>
      <c r="CH64" s="3">
        <v>51.961807</v>
      </c>
      <c r="CI64" s="3">
        <v>40.155453000000001</v>
      </c>
      <c r="CJ64" s="3">
        <v>40.827266999999999</v>
      </c>
      <c r="CK64" s="3">
        <v>44.177132</v>
      </c>
      <c r="CL64" s="3">
        <v>50.296680000000002</v>
      </c>
      <c r="CM64" s="3">
        <v>46.990059000000002</v>
      </c>
      <c r="CN64" s="3">
        <v>35.506359000000003</v>
      </c>
      <c r="CO64" s="3">
        <v>50.893604000000003</v>
      </c>
      <c r="CP64" s="3">
        <v>45.724379999999996</v>
      </c>
      <c r="CQ64" s="3">
        <v>47.925319999999999</v>
      </c>
      <c r="CR64" s="3">
        <v>48.851436999999997</v>
      </c>
      <c r="CS64" s="3">
        <v>54.004086000000001</v>
      </c>
      <c r="CT64" s="3">
        <v>52.920409999999997</v>
      </c>
      <c r="CU64" s="3">
        <v>42.742274999999999</v>
      </c>
      <c r="CV64" s="3">
        <v>42.867634000000002</v>
      </c>
      <c r="CW64" s="3">
        <v>46.954158999999997</v>
      </c>
      <c r="CX64" s="3">
        <v>43.216045000000001</v>
      </c>
      <c r="CY64" s="3">
        <v>48.857899000000003</v>
      </c>
      <c r="CZ64" s="3">
        <v>49.458931</v>
      </c>
      <c r="DA64" s="3">
        <v>45.050261999999996</v>
      </c>
      <c r="DB64" s="3">
        <v>48.041473000000003</v>
      </c>
      <c r="DC64" s="3">
        <v>53.109420999999998</v>
      </c>
      <c r="DD64" s="3">
        <v>55.894736999999999</v>
      </c>
      <c r="DE64" s="3">
        <v>41.273131999999997</v>
      </c>
      <c r="DF64" s="3">
        <v>39.397205</v>
      </c>
      <c r="DG64" s="3">
        <v>44.859833000000002</v>
      </c>
      <c r="DH64" s="3">
        <v>44.160117999999997</v>
      </c>
      <c r="DI64" s="3"/>
      <c r="DJ64" s="3"/>
      <c r="DK64" s="3"/>
      <c r="DL64" s="3"/>
      <c r="DM64" s="3"/>
      <c r="DN64" s="3"/>
      <c r="DO64" s="3"/>
      <c r="DP64" s="3"/>
      <c r="DQ64" s="3"/>
      <c r="DR64" s="3"/>
      <c r="DS64" s="3"/>
      <c r="DT64" s="3"/>
      <c r="DU64" s="3"/>
      <c r="DV64" s="3"/>
      <c r="DW64" s="3"/>
      <c r="DX64" s="3"/>
      <c r="DY64" s="3"/>
      <c r="DZ64" s="3"/>
      <c r="EA64" s="3"/>
      <c r="EB64" s="3"/>
      <c r="EC64" s="3"/>
      <c r="ED64" s="3"/>
      <c r="EE64" s="3"/>
      <c r="EF64" s="3"/>
      <c r="EG64" s="3"/>
      <c r="EH64" s="3"/>
      <c r="EI64" s="3"/>
      <c r="EJ64" s="3"/>
      <c r="EK64" s="3"/>
      <c r="EL64" s="3"/>
      <c r="EM64" s="3"/>
      <c r="EN64" s="3"/>
      <c r="EO64" s="3"/>
      <c r="EP64" s="3"/>
      <c r="EQ64" s="3"/>
      <c r="ER64" s="3"/>
      <c r="ES64" s="3"/>
      <c r="ET64" s="3"/>
      <c r="EU64" s="3"/>
      <c r="EV64" s="3"/>
      <c r="EW64" s="3"/>
      <c r="EX64" s="3"/>
      <c r="EY64" s="3"/>
      <c r="EZ64" s="3"/>
      <c r="FA64" s="3"/>
      <c r="FB64" s="3"/>
      <c r="FC64" s="3"/>
      <c r="FD64" s="3"/>
      <c r="FE64" s="3"/>
      <c r="FF64" s="3"/>
      <c r="FG64" s="3"/>
      <c r="FH64" s="3"/>
      <c r="FI64" s="3"/>
      <c r="FJ64" s="3"/>
      <c r="FK64" s="3"/>
      <c r="FL64" s="3"/>
      <c r="FM64" s="3"/>
      <c r="FN64" s="3"/>
      <c r="FO64" s="3"/>
      <c r="FP64" s="3"/>
      <c r="FQ64" s="3"/>
      <c r="FR64" s="3"/>
      <c r="FS64" s="3"/>
      <c r="FT64" s="3"/>
      <c r="FU64" s="3"/>
      <c r="FV64" s="3"/>
      <c r="FW64" s="3"/>
      <c r="FX64" s="3"/>
      <c r="FY64" s="3"/>
      <c r="FZ64" s="3"/>
      <c r="GA64" s="3"/>
      <c r="GB64" s="3"/>
      <c r="GC64" s="3"/>
      <c r="GD64" s="3"/>
      <c r="GE64" s="3"/>
      <c r="GF64" s="3"/>
      <c r="GG64" s="3"/>
      <c r="GH64" s="3"/>
      <c r="GI64" s="3"/>
      <c r="GJ64" s="3"/>
      <c r="GK64" s="3"/>
      <c r="GL64" s="3"/>
      <c r="GM64" s="3"/>
      <c r="GN64" s="3"/>
      <c r="GO64" s="3"/>
      <c r="GP64" s="3"/>
      <c r="GQ64" s="3"/>
      <c r="GR64" s="3"/>
      <c r="GS64" s="3"/>
      <c r="GT64" s="3"/>
      <c r="GU64" s="3"/>
      <c r="GV64" s="3"/>
      <c r="GW64" s="3"/>
      <c r="GX64" s="3"/>
      <c r="GY64" s="3"/>
    </row>
    <row r="65" spans="2:207" x14ac:dyDescent="0.2">
      <c r="G65" s="3"/>
      <c r="H65" s="3"/>
      <c r="I65" s="3"/>
      <c r="J65" s="3"/>
      <c r="K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  <c r="DN65" s="3"/>
      <c r="DO65" s="3"/>
      <c r="DP65" s="3"/>
      <c r="DQ65" s="3"/>
      <c r="DR65" s="3"/>
      <c r="DS65" s="3"/>
      <c r="DT65" s="3"/>
      <c r="DU65" s="3"/>
      <c r="DV65" s="3"/>
      <c r="DW65" s="3"/>
      <c r="DX65" s="3"/>
      <c r="DY65" s="3"/>
      <c r="DZ65" s="3"/>
      <c r="EA65" s="3"/>
      <c r="EB65" s="3"/>
      <c r="EC65" s="3"/>
      <c r="ED65" s="3"/>
      <c r="EE65" s="3"/>
      <c r="EF65" s="3"/>
      <c r="EG65" s="3"/>
      <c r="EH65" s="3"/>
      <c r="EI65" s="3"/>
      <c r="EJ65" s="3"/>
      <c r="EK65" s="3"/>
      <c r="EL65" s="3"/>
      <c r="EM65" s="3"/>
      <c r="EN65" s="3"/>
      <c r="EO65" s="3"/>
      <c r="EP65" s="3"/>
      <c r="EQ65" s="3"/>
      <c r="ER65" s="3"/>
      <c r="ES65" s="3"/>
      <c r="ET65" s="3"/>
      <c r="EU65" s="3"/>
      <c r="EV65" s="3"/>
      <c r="EW65" s="3"/>
      <c r="EX65" s="3"/>
      <c r="EY65" s="3"/>
      <c r="EZ65" s="3"/>
      <c r="FA65" s="3"/>
      <c r="FB65" s="3"/>
      <c r="FC65" s="3"/>
      <c r="FD65" s="3"/>
      <c r="FE65" s="3"/>
      <c r="FF65" s="3"/>
      <c r="FG65" s="3"/>
      <c r="FH65" s="3"/>
      <c r="FI65" s="3"/>
      <c r="FJ65" s="3"/>
      <c r="FK65" s="3"/>
      <c r="FL65" s="3"/>
      <c r="FM65" s="3"/>
      <c r="FN65" s="3"/>
      <c r="FO65" s="3"/>
      <c r="FP65" s="3"/>
      <c r="FQ65" s="3"/>
      <c r="FR65" s="3"/>
      <c r="FS65" s="3"/>
      <c r="FT65" s="3"/>
      <c r="FU65" s="3"/>
      <c r="FV65" s="3"/>
      <c r="FW65" s="3"/>
      <c r="FX65" s="3"/>
      <c r="FY65" s="3"/>
      <c r="FZ65" s="3"/>
      <c r="GA65" s="3"/>
      <c r="GB65" s="3"/>
      <c r="GC65" s="3"/>
      <c r="GD65" s="3"/>
      <c r="GE65" s="3"/>
      <c r="GF65" s="3"/>
      <c r="GG65" s="3"/>
      <c r="GH65" s="3"/>
      <c r="GI65" s="3"/>
      <c r="GJ65" s="3"/>
      <c r="GK65" s="3"/>
      <c r="GL65" s="3"/>
      <c r="GM65" s="3"/>
      <c r="GN65" s="3"/>
      <c r="GO65" s="3"/>
      <c r="GP65" s="3"/>
      <c r="GQ65" s="3"/>
      <c r="GR65" s="3"/>
      <c r="GS65" s="3"/>
      <c r="GT65" s="3"/>
      <c r="GU65" s="3"/>
      <c r="GV65" s="3"/>
      <c r="GW65" s="3"/>
      <c r="GX65" s="3"/>
      <c r="GY65" s="3"/>
    </row>
    <row r="66" spans="2:207" x14ac:dyDescent="0.2">
      <c r="D66" t="s">
        <v>2</v>
      </c>
      <c r="E66" t="s">
        <v>1</v>
      </c>
      <c r="F66">
        <f>COUNT(M66:GJ66)</f>
        <v>100</v>
      </c>
      <c r="G66" s="3">
        <f>AVERAGE(M66:GJ66)</f>
        <v>49.772599260000021</v>
      </c>
      <c r="H66" s="3">
        <f>MAX(M66:GJ66)</f>
        <v>54.326282999999997</v>
      </c>
      <c r="I66" s="3">
        <f>MIN(M66:GJ66)</f>
        <v>42.669201000000001</v>
      </c>
      <c r="J66" s="3">
        <f>_xlfn.STDEV.P(M66:GJ66)</f>
        <v>2.0045014473856417</v>
      </c>
      <c r="K66" s="3">
        <f>_xlfn.VAR.S(M66:GJ66)</f>
        <v>4.0586121743142751</v>
      </c>
      <c r="M66" s="3">
        <v>51.681148999999998</v>
      </c>
      <c r="N66" s="3">
        <v>50.236556999999998</v>
      </c>
      <c r="O66" s="3">
        <v>46.663330000000002</v>
      </c>
      <c r="P66" s="3">
        <v>50.421695999999997</v>
      </c>
      <c r="Q66" s="3">
        <v>52.639591000000003</v>
      </c>
      <c r="R66" s="3">
        <v>49.258709000000003</v>
      </c>
      <c r="S66" s="3">
        <v>49.387810000000002</v>
      </c>
      <c r="T66" s="3">
        <v>52.432613000000003</v>
      </c>
      <c r="U66" s="3">
        <v>48.499073000000003</v>
      </c>
      <c r="V66" s="3">
        <v>51.469223</v>
      </c>
      <c r="W66" s="3">
        <v>49.80415</v>
      </c>
      <c r="X66" s="3">
        <v>51.937018999999999</v>
      </c>
      <c r="Y66" s="3">
        <v>52.130462999999999</v>
      </c>
      <c r="Z66" s="3">
        <v>52.446067999999997</v>
      </c>
      <c r="AA66" s="3">
        <v>49.037880000000001</v>
      </c>
      <c r="AB66" s="3">
        <v>50.807198</v>
      </c>
      <c r="AC66" s="3">
        <v>49.604182999999999</v>
      </c>
      <c r="AD66" s="3">
        <v>50.390388000000002</v>
      </c>
      <c r="AE66" s="3">
        <v>53.242046000000002</v>
      </c>
      <c r="AF66" s="3">
        <v>51.894680000000001</v>
      </c>
      <c r="AG66" s="3">
        <v>50.419086</v>
      </c>
      <c r="AH66" s="3">
        <v>51.373981000000001</v>
      </c>
      <c r="AI66" s="3">
        <v>49.288853000000003</v>
      </c>
      <c r="AJ66" s="3">
        <v>51.652382000000003</v>
      </c>
      <c r="AK66" s="3">
        <v>48.586883999999998</v>
      </c>
      <c r="AL66" s="3">
        <v>50.169120999999997</v>
      </c>
      <c r="AM66" s="3">
        <v>53.551715999999999</v>
      </c>
      <c r="AN66" s="3">
        <v>47.598660000000002</v>
      </c>
      <c r="AO66" s="3">
        <v>46.938744</v>
      </c>
      <c r="AP66" s="3">
        <v>49.559277000000002</v>
      </c>
      <c r="AQ66" s="3">
        <v>42.669201000000001</v>
      </c>
      <c r="AR66" s="3">
        <v>50.688792999999997</v>
      </c>
      <c r="AS66" s="3">
        <v>48.896220999999997</v>
      </c>
      <c r="AT66" s="3">
        <v>47.646107000000001</v>
      </c>
      <c r="AU66" s="3">
        <v>50.465823999999998</v>
      </c>
      <c r="AV66" s="3">
        <v>48.863177999999998</v>
      </c>
      <c r="AW66" s="3">
        <v>52.702311999999999</v>
      </c>
      <c r="AX66" s="3">
        <v>50.709538000000002</v>
      </c>
      <c r="AY66" s="3">
        <v>50.796089000000002</v>
      </c>
      <c r="AZ66" s="3">
        <v>50.627724000000001</v>
      </c>
      <c r="BA66" s="3">
        <v>47.591479999999997</v>
      </c>
      <c r="BB66" s="3">
        <v>48.960662999999997</v>
      </c>
      <c r="BC66" s="3">
        <v>52.325026999999999</v>
      </c>
      <c r="BD66" s="3">
        <v>49.085628999999997</v>
      </c>
      <c r="BE66" s="3">
        <v>46.608440000000002</v>
      </c>
      <c r="BF66" s="3">
        <v>50.882679000000003</v>
      </c>
      <c r="BG66" s="3">
        <v>51.845615000000002</v>
      </c>
      <c r="BH66" s="3">
        <v>47.818306</v>
      </c>
      <c r="BI66" s="3">
        <v>50.288238999999997</v>
      </c>
      <c r="BJ66" s="3">
        <v>47.989887000000003</v>
      </c>
      <c r="BK66" s="3">
        <v>47.985165000000002</v>
      </c>
      <c r="BL66" s="3">
        <v>48.244598000000003</v>
      </c>
      <c r="BM66" s="3">
        <v>46.529387999999997</v>
      </c>
      <c r="BN66" s="3">
        <v>48.344741999999997</v>
      </c>
      <c r="BO66" s="3">
        <v>47.920577999999999</v>
      </c>
      <c r="BP66" s="3">
        <v>48.689177999999998</v>
      </c>
      <c r="BQ66" s="3">
        <v>51.428032000000002</v>
      </c>
      <c r="BR66" s="3">
        <v>50.764693999999999</v>
      </c>
      <c r="BS66" s="3">
        <v>50.993167999999997</v>
      </c>
      <c r="BT66" s="3">
        <v>49.737026</v>
      </c>
      <c r="BU66" s="3">
        <v>48.545155000000001</v>
      </c>
      <c r="BV66" s="3">
        <v>50.930363</v>
      </c>
      <c r="BW66" s="3">
        <v>50.874423999999998</v>
      </c>
      <c r="BX66" s="3">
        <v>49.048428000000001</v>
      </c>
      <c r="BY66" s="3">
        <v>50.526279000000002</v>
      </c>
      <c r="BZ66" s="3">
        <v>49.239693000000003</v>
      </c>
      <c r="CA66" s="3">
        <v>50.268363999999998</v>
      </c>
      <c r="CB66" s="3">
        <v>48.448718999999997</v>
      </c>
      <c r="CC66" s="3">
        <v>47.350124000000001</v>
      </c>
      <c r="CD66" s="3">
        <v>48.367759999999997</v>
      </c>
      <c r="CE66" s="3">
        <v>45.292271</v>
      </c>
      <c r="CF66" s="3">
        <v>51.765087000000001</v>
      </c>
      <c r="CG66" s="3">
        <v>45.605091000000002</v>
      </c>
      <c r="CH66" s="3">
        <v>47.524914000000003</v>
      </c>
      <c r="CI66" s="3">
        <v>46.709263</v>
      </c>
      <c r="CJ66" s="3">
        <v>48.750717000000002</v>
      </c>
      <c r="CK66" s="3">
        <v>51.398860999999997</v>
      </c>
      <c r="CL66" s="3">
        <v>48.070796999999999</v>
      </c>
      <c r="CM66" s="3">
        <v>50.451717000000002</v>
      </c>
      <c r="CN66" s="3">
        <v>49.844017000000001</v>
      </c>
      <c r="CO66" s="3">
        <v>48.002918000000001</v>
      </c>
      <c r="CP66" s="3">
        <v>50.876067999999997</v>
      </c>
      <c r="CQ66" s="3">
        <v>51.686782999999998</v>
      </c>
      <c r="CR66" s="3">
        <v>49.064266000000003</v>
      </c>
      <c r="CS66" s="3">
        <v>54.326282999999997</v>
      </c>
      <c r="CT66" s="3">
        <v>49.484459000000001</v>
      </c>
      <c r="CU66" s="3">
        <v>53.697795999999997</v>
      </c>
      <c r="CV66" s="3">
        <v>51.429397999999999</v>
      </c>
      <c r="CW66" s="3">
        <v>51.997883000000002</v>
      </c>
      <c r="CX66" s="3">
        <v>49.664107999999999</v>
      </c>
      <c r="CY66" s="3">
        <v>49.917976000000003</v>
      </c>
      <c r="CZ66" s="3">
        <v>49.89846</v>
      </c>
      <c r="DA66" s="3">
        <v>49.723422999999997</v>
      </c>
      <c r="DB66" s="3">
        <v>51.509417999999997</v>
      </c>
      <c r="DC66" s="3">
        <v>51.600498000000002</v>
      </c>
      <c r="DD66" s="3">
        <v>48.327151999999998</v>
      </c>
      <c r="DE66" s="3">
        <v>53.010868000000002</v>
      </c>
      <c r="DF66" s="3">
        <v>48.065452999999998</v>
      </c>
      <c r="DG66" s="3">
        <v>47.446716000000002</v>
      </c>
      <c r="DH66" s="3">
        <v>47.297905</v>
      </c>
      <c r="DI66" s="3"/>
      <c r="DJ66" s="3"/>
      <c r="DK66" s="3"/>
      <c r="DL66" s="3"/>
      <c r="DM66" s="3"/>
      <c r="DN66" s="3"/>
      <c r="DO66" s="3"/>
      <c r="DP66" s="3"/>
      <c r="DQ66" s="3"/>
      <c r="DR66" s="3"/>
      <c r="DS66" s="3"/>
      <c r="DT66" s="3"/>
      <c r="DU66" s="3"/>
      <c r="DV66" s="3"/>
      <c r="DW66" s="3"/>
      <c r="DX66" s="3"/>
      <c r="DY66" s="3"/>
      <c r="DZ66" s="3"/>
      <c r="EA66" s="3"/>
      <c r="EB66" s="3"/>
      <c r="EC66" s="3"/>
      <c r="ED66" s="3"/>
      <c r="EE66" s="3"/>
      <c r="EF66" s="3"/>
      <c r="EG66" s="3"/>
      <c r="EH66" s="3"/>
      <c r="EI66" s="3"/>
      <c r="EJ66" s="3"/>
      <c r="EK66" s="3"/>
      <c r="EL66" s="3"/>
      <c r="EM66" s="3"/>
      <c r="EN66" s="3"/>
      <c r="EO66" s="3"/>
      <c r="EP66" s="3"/>
      <c r="EQ66" s="3"/>
      <c r="ER66" s="3"/>
      <c r="ES66" s="3"/>
      <c r="ET66" s="3"/>
      <c r="EU66" s="3"/>
      <c r="EV66" s="3"/>
      <c r="EW66" s="3"/>
      <c r="EX66" s="3"/>
      <c r="EY66" s="3"/>
      <c r="EZ66" s="3"/>
      <c r="FA66" s="3"/>
      <c r="FB66" s="3"/>
      <c r="FC66" s="3"/>
      <c r="FD66" s="3"/>
      <c r="FE66" s="3"/>
      <c r="FF66" s="3"/>
      <c r="FG66" s="3"/>
      <c r="FH66" s="3"/>
      <c r="FI66" s="3"/>
      <c r="FJ66" s="3"/>
      <c r="FK66" s="3"/>
      <c r="FL66" s="3"/>
      <c r="FM66" s="3"/>
      <c r="FN66" s="3"/>
      <c r="FO66" s="3"/>
      <c r="FP66" s="3"/>
      <c r="FQ66" s="3"/>
      <c r="FR66" s="3"/>
      <c r="FS66" s="3"/>
      <c r="FT66" s="3"/>
      <c r="FU66" s="3"/>
      <c r="FV66" s="3"/>
      <c r="FW66" s="3"/>
      <c r="FX66" s="3"/>
      <c r="FY66" s="3"/>
      <c r="FZ66" s="3"/>
      <c r="GA66" s="3"/>
      <c r="GB66" s="3"/>
      <c r="GC66" s="3"/>
      <c r="GD66" s="3"/>
      <c r="GE66" s="3"/>
      <c r="GF66" s="3"/>
      <c r="GG66" s="3"/>
      <c r="GH66" s="3"/>
      <c r="GI66" s="3"/>
      <c r="GJ66" s="3"/>
      <c r="GK66" s="3"/>
      <c r="GL66" s="3"/>
      <c r="GM66" s="3"/>
      <c r="GN66" s="3"/>
      <c r="GO66" s="3"/>
      <c r="GP66" s="3"/>
      <c r="GQ66" s="3"/>
      <c r="GR66" s="3"/>
      <c r="GS66" s="3"/>
      <c r="GT66" s="3"/>
      <c r="GU66" s="3"/>
      <c r="GV66" s="3"/>
      <c r="GW66" s="3"/>
      <c r="GX66" s="3"/>
      <c r="GY66" s="3"/>
    </row>
    <row r="67" spans="2:207" x14ac:dyDescent="0.2">
      <c r="G67" s="3"/>
      <c r="H67" s="3"/>
      <c r="I67" s="3"/>
      <c r="J67" s="3"/>
      <c r="K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</row>
    <row r="68" spans="2:207" x14ac:dyDescent="0.2">
      <c r="D68" t="s">
        <v>5</v>
      </c>
      <c r="E68" t="s">
        <v>1</v>
      </c>
      <c r="F68">
        <f>COUNT(M68:GJ68)</f>
        <v>100</v>
      </c>
      <c r="G68" s="3">
        <f>AVERAGE(M68:GJ68)</f>
        <v>54.211008810000003</v>
      </c>
      <c r="H68" s="3">
        <f>MAX(M68:GJ68)</f>
        <v>68.043426999999994</v>
      </c>
      <c r="I68" s="3">
        <f>MIN(M68:GJ68)</f>
        <v>37.896259000000001</v>
      </c>
      <c r="J68" s="3">
        <f>_xlfn.STDEV.P(M68:GJ68)</f>
        <v>7.7088724583243922</v>
      </c>
      <c r="K68" s="3">
        <f>_xlfn.VAR.S(M68:GJ68)</f>
        <v>60.026984422941538</v>
      </c>
      <c r="M68" s="3">
        <v>59.639263</v>
      </c>
      <c r="N68" s="3">
        <v>45.189357999999999</v>
      </c>
      <c r="O68" s="3">
        <v>61.305163999999998</v>
      </c>
      <c r="P68" s="3">
        <v>61.932868999999997</v>
      </c>
      <c r="Q68" s="3">
        <v>63.327972000000003</v>
      </c>
      <c r="R68" s="3">
        <v>48.733139000000001</v>
      </c>
      <c r="S68" s="3">
        <v>54.504185</v>
      </c>
      <c r="T68" s="3">
        <v>48.961716000000003</v>
      </c>
      <c r="U68" s="3">
        <v>59.517166000000003</v>
      </c>
      <c r="V68" s="3">
        <v>50.522053</v>
      </c>
      <c r="W68" s="3">
        <v>43.774653999999998</v>
      </c>
      <c r="X68" s="3">
        <v>49.664504999999998</v>
      </c>
      <c r="Y68" s="3">
        <v>65.136047000000005</v>
      </c>
      <c r="Z68" s="3">
        <v>44.676192999999998</v>
      </c>
      <c r="AA68" s="3">
        <v>50.696339000000002</v>
      </c>
      <c r="AB68" s="3">
        <v>42.564174999999999</v>
      </c>
      <c r="AC68" s="3">
        <v>51.526451000000002</v>
      </c>
      <c r="AD68" s="3">
        <v>53.481361</v>
      </c>
      <c r="AE68" s="3">
        <v>54.106223999999997</v>
      </c>
      <c r="AF68" s="3">
        <v>50.569859000000001</v>
      </c>
      <c r="AG68" s="3">
        <v>55.644832999999998</v>
      </c>
      <c r="AH68" s="3">
        <v>65.113913999999994</v>
      </c>
      <c r="AI68" s="3">
        <v>61.551147</v>
      </c>
      <c r="AJ68" s="3">
        <v>62.062900999999997</v>
      </c>
      <c r="AK68" s="3">
        <v>65.458145000000002</v>
      </c>
      <c r="AL68" s="3">
        <v>57.562564999999999</v>
      </c>
      <c r="AM68" s="3">
        <v>44.445456999999998</v>
      </c>
      <c r="AN68" s="3">
        <v>50.965839000000003</v>
      </c>
      <c r="AO68" s="3">
        <v>61.516742999999998</v>
      </c>
      <c r="AP68" s="3">
        <v>62.312496000000003</v>
      </c>
      <c r="AQ68" s="3">
        <v>64.632064999999997</v>
      </c>
      <c r="AR68" s="3">
        <v>48.837307000000003</v>
      </c>
      <c r="AS68" s="3">
        <v>47.064734999999999</v>
      </c>
      <c r="AT68" s="3">
        <v>59.799025999999998</v>
      </c>
      <c r="AU68" s="3">
        <v>44.478839999999998</v>
      </c>
      <c r="AV68" s="3">
        <v>62.155132000000002</v>
      </c>
      <c r="AW68" s="3">
        <v>47.010643000000002</v>
      </c>
      <c r="AX68" s="3">
        <v>54.951121999999998</v>
      </c>
      <c r="AY68" s="3">
        <v>42.777321000000001</v>
      </c>
      <c r="AZ68" s="3">
        <v>49.884926</v>
      </c>
      <c r="BA68" s="3">
        <v>58.397292999999998</v>
      </c>
      <c r="BB68" s="3">
        <v>62.266036999999997</v>
      </c>
      <c r="BC68" s="3">
        <v>50.073214999999998</v>
      </c>
      <c r="BD68" s="3">
        <v>58.328837999999998</v>
      </c>
      <c r="BE68" s="3">
        <v>46.457546000000001</v>
      </c>
      <c r="BF68" s="3">
        <v>37.896259000000001</v>
      </c>
      <c r="BG68" s="3">
        <v>68.043426999999994</v>
      </c>
      <c r="BH68" s="3">
        <v>61.851475000000001</v>
      </c>
      <c r="BI68" s="3">
        <v>66.052909999999997</v>
      </c>
      <c r="BJ68" s="3">
        <v>64.195480000000003</v>
      </c>
      <c r="BK68" s="3">
        <v>60.086852999999998</v>
      </c>
      <c r="BL68" s="3">
        <v>44.137805999999998</v>
      </c>
      <c r="BM68" s="3">
        <v>47.122143000000001</v>
      </c>
      <c r="BN68" s="3">
        <v>62.453304000000003</v>
      </c>
      <c r="BO68" s="3">
        <v>54.940272999999998</v>
      </c>
      <c r="BP68" s="3">
        <v>62.868073000000003</v>
      </c>
      <c r="BQ68" s="3">
        <v>46.933498</v>
      </c>
      <c r="BR68" s="3">
        <v>52.043388</v>
      </c>
      <c r="BS68" s="3">
        <v>47.201262999999997</v>
      </c>
      <c r="BT68" s="3">
        <v>48.429569000000001</v>
      </c>
      <c r="BU68" s="3">
        <v>48.440334</v>
      </c>
      <c r="BV68" s="3">
        <v>44.464095999999998</v>
      </c>
      <c r="BW68" s="3">
        <v>61.902737000000002</v>
      </c>
      <c r="BX68" s="3">
        <v>44.615378999999997</v>
      </c>
      <c r="BY68" s="3">
        <v>47.880192000000001</v>
      </c>
      <c r="BZ68" s="3">
        <v>51.318581000000002</v>
      </c>
      <c r="CA68" s="3">
        <v>62.546489999999999</v>
      </c>
      <c r="CB68" s="3">
        <v>53.518107999999998</v>
      </c>
      <c r="CC68" s="3">
        <v>60.759163000000001</v>
      </c>
      <c r="CD68" s="3">
        <v>48.833548999999998</v>
      </c>
      <c r="CE68" s="3">
        <v>40.375644999999999</v>
      </c>
      <c r="CF68" s="3">
        <v>64.356078999999994</v>
      </c>
      <c r="CG68" s="3">
        <v>56.432560000000002</v>
      </c>
      <c r="CH68" s="3">
        <v>63.186473999999997</v>
      </c>
      <c r="CI68" s="3">
        <v>63.130797999999999</v>
      </c>
      <c r="CJ68" s="3">
        <v>56.322018</v>
      </c>
      <c r="CK68" s="3">
        <v>43.759197</v>
      </c>
      <c r="CL68" s="3">
        <v>61.029716000000001</v>
      </c>
      <c r="CM68" s="3">
        <v>62.884624000000002</v>
      </c>
      <c r="CN68" s="3">
        <v>62.071368999999997</v>
      </c>
      <c r="CO68" s="3">
        <v>61.51247</v>
      </c>
      <c r="CP68" s="3">
        <v>50.686684</v>
      </c>
      <c r="CQ68" s="3">
        <v>47.657246000000001</v>
      </c>
      <c r="CR68" s="3">
        <v>54.829884</v>
      </c>
      <c r="CS68" s="3">
        <v>45.510925</v>
      </c>
      <c r="CT68" s="3">
        <v>54.531075000000001</v>
      </c>
      <c r="CU68" s="3">
        <v>40.600101000000002</v>
      </c>
      <c r="CV68" s="3">
        <v>63.439799999999998</v>
      </c>
      <c r="CW68" s="3">
        <v>46.758732000000002</v>
      </c>
      <c r="CX68" s="3">
        <v>43.399487000000001</v>
      </c>
      <c r="CY68" s="3">
        <v>61.232726999999997</v>
      </c>
      <c r="CZ68" s="3">
        <v>60.716983999999997</v>
      </c>
      <c r="DA68" s="3">
        <v>53.154850000000003</v>
      </c>
      <c r="DB68" s="3">
        <v>60.710051999999997</v>
      </c>
      <c r="DC68" s="3">
        <v>43.815002</v>
      </c>
      <c r="DD68" s="3">
        <v>42.770935000000001</v>
      </c>
      <c r="DE68" s="3">
        <v>65.230086999999997</v>
      </c>
      <c r="DF68" s="3">
        <v>59.411780999999998</v>
      </c>
      <c r="DG68" s="3">
        <v>53.806488000000002</v>
      </c>
      <c r="DH68" s="3">
        <v>45.665962</v>
      </c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</row>
    <row r="69" spans="2:207" x14ac:dyDescent="0.2">
      <c r="G69" s="3"/>
      <c r="H69" s="3"/>
      <c r="I69" s="3"/>
      <c r="J69" s="3"/>
      <c r="K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</row>
    <row r="70" spans="2:207" x14ac:dyDescent="0.2">
      <c r="D70" t="s">
        <v>6</v>
      </c>
      <c r="E70" t="s">
        <v>1</v>
      </c>
      <c r="F70">
        <f>COUNT(M70:GJ70)</f>
        <v>100</v>
      </c>
      <c r="G70" s="3">
        <f>AVERAGE(M70:GJ70)</f>
        <v>53.106394329999993</v>
      </c>
      <c r="H70" s="3">
        <f>MAX(M70:GJ70)</f>
        <v>72.982123999999999</v>
      </c>
      <c r="I70" s="3">
        <f>MIN(M70:GJ70)</f>
        <v>23.924773999999999</v>
      </c>
      <c r="J70" s="3">
        <f>_xlfn.STDEV.P(M70:GJ70)</f>
        <v>8.7175864542094317</v>
      </c>
      <c r="K70" s="3">
        <f>_xlfn.VAR.S(M70:GJ70)</f>
        <v>76.763953117793662</v>
      </c>
      <c r="M70" s="3">
        <v>65.848267000000007</v>
      </c>
      <c r="N70" s="3">
        <v>47.112797</v>
      </c>
      <c r="O70" s="3">
        <v>50.588859999999997</v>
      </c>
      <c r="P70" s="3">
        <v>53.132229000000002</v>
      </c>
      <c r="Q70" s="3">
        <v>59.978591999999999</v>
      </c>
      <c r="R70" s="3">
        <v>57.798865999999997</v>
      </c>
      <c r="S70" s="3">
        <v>63.038257999999999</v>
      </c>
      <c r="T70" s="3">
        <v>66.758392000000001</v>
      </c>
      <c r="U70" s="3">
        <v>58.273403000000002</v>
      </c>
      <c r="V70" s="3">
        <v>60.750503999999999</v>
      </c>
      <c r="W70" s="3">
        <v>35.052444000000001</v>
      </c>
      <c r="X70" s="3">
        <v>64.062049999999999</v>
      </c>
      <c r="Y70" s="3">
        <v>54.440165999999998</v>
      </c>
      <c r="Z70" s="3">
        <v>47.747123999999999</v>
      </c>
      <c r="AA70" s="3">
        <v>52.275143</v>
      </c>
      <c r="AB70" s="3">
        <v>56.084946000000002</v>
      </c>
      <c r="AC70" s="3">
        <v>57.648415</v>
      </c>
      <c r="AD70" s="3">
        <v>58.348148000000002</v>
      </c>
      <c r="AE70" s="3">
        <v>27.95262</v>
      </c>
      <c r="AF70" s="3">
        <v>60.404845999999999</v>
      </c>
      <c r="AG70" s="3">
        <v>50.242142000000001</v>
      </c>
      <c r="AH70" s="3">
        <v>54.637276</v>
      </c>
      <c r="AI70" s="3">
        <v>51.380577000000002</v>
      </c>
      <c r="AJ70" s="3">
        <v>47.029217000000003</v>
      </c>
      <c r="AK70" s="3">
        <v>52.483024999999998</v>
      </c>
      <c r="AL70" s="3">
        <v>66.849586000000002</v>
      </c>
      <c r="AM70" s="3">
        <v>50.210490999999998</v>
      </c>
      <c r="AN70" s="3">
        <v>45.703270000000003</v>
      </c>
      <c r="AO70" s="3">
        <v>41.270648999999999</v>
      </c>
      <c r="AP70" s="3">
        <v>63.958801000000001</v>
      </c>
      <c r="AQ70" s="3">
        <v>60.535183000000004</v>
      </c>
      <c r="AR70" s="3">
        <v>72.982123999999999</v>
      </c>
      <c r="AS70" s="3">
        <v>58.500903999999998</v>
      </c>
      <c r="AT70" s="3">
        <v>60.933540000000001</v>
      </c>
      <c r="AU70" s="3">
        <v>60.140884</v>
      </c>
      <c r="AV70" s="3">
        <v>46.673836000000001</v>
      </c>
      <c r="AW70" s="3">
        <v>55.967587000000002</v>
      </c>
      <c r="AX70" s="3">
        <v>46.139190999999997</v>
      </c>
      <c r="AY70" s="3">
        <v>47.839286999999999</v>
      </c>
      <c r="AZ70" s="3">
        <v>51.905411000000001</v>
      </c>
      <c r="BA70" s="3">
        <v>56.404736</v>
      </c>
      <c r="BB70" s="3">
        <v>53.537567000000003</v>
      </c>
      <c r="BC70" s="3">
        <v>60.660136999999999</v>
      </c>
      <c r="BD70" s="3">
        <v>48.719898000000001</v>
      </c>
      <c r="BE70" s="3">
        <v>60.661659</v>
      </c>
      <c r="BF70" s="3">
        <v>38.763953999999998</v>
      </c>
      <c r="BG70" s="3">
        <v>60.910331999999997</v>
      </c>
      <c r="BH70" s="3">
        <v>54.420383000000001</v>
      </c>
      <c r="BI70" s="3">
        <v>51.016326999999997</v>
      </c>
      <c r="BJ70" s="3">
        <v>48.658549999999998</v>
      </c>
      <c r="BK70" s="3">
        <v>64.216758999999996</v>
      </c>
      <c r="BL70" s="3">
        <v>50.889980000000001</v>
      </c>
      <c r="BM70" s="3">
        <v>57.111674999999998</v>
      </c>
      <c r="BN70" s="3">
        <v>30.958988000000002</v>
      </c>
      <c r="BO70" s="3">
        <v>64.033203</v>
      </c>
      <c r="BP70" s="3">
        <v>54.691685</v>
      </c>
      <c r="BQ70" s="3">
        <v>60.095191999999997</v>
      </c>
      <c r="BR70" s="3">
        <v>53.476196000000002</v>
      </c>
      <c r="BS70" s="3">
        <v>57.900199999999998</v>
      </c>
      <c r="BT70" s="3">
        <v>62.413891</v>
      </c>
      <c r="BU70" s="3">
        <v>46.640510999999996</v>
      </c>
      <c r="BV70" s="3">
        <v>58.742218000000001</v>
      </c>
      <c r="BW70" s="3">
        <v>51.973339000000003</v>
      </c>
      <c r="BX70" s="3">
        <v>40.050021999999998</v>
      </c>
      <c r="BY70" s="3">
        <v>51.459248000000002</v>
      </c>
      <c r="BZ70" s="3">
        <v>53.997692000000001</v>
      </c>
      <c r="CA70" s="3">
        <v>58.229388999999998</v>
      </c>
      <c r="CB70" s="3">
        <v>58.603541999999997</v>
      </c>
      <c r="CC70" s="3">
        <v>39.804264000000003</v>
      </c>
      <c r="CD70" s="3">
        <v>60.431198000000002</v>
      </c>
      <c r="CE70" s="3">
        <v>43.128211999999998</v>
      </c>
      <c r="CF70" s="3">
        <v>53.178772000000002</v>
      </c>
      <c r="CG70" s="3">
        <v>50.664295000000003</v>
      </c>
      <c r="CH70" s="3">
        <v>23.924773999999999</v>
      </c>
      <c r="CI70" s="3">
        <v>52.369194</v>
      </c>
      <c r="CJ70" s="3">
        <v>62.646053000000002</v>
      </c>
      <c r="CK70" s="3">
        <v>54.338970000000003</v>
      </c>
      <c r="CL70" s="3">
        <v>48.250877000000003</v>
      </c>
      <c r="CM70" s="3">
        <v>55.597968999999999</v>
      </c>
      <c r="CN70" s="3">
        <v>62.539959000000003</v>
      </c>
      <c r="CO70" s="3">
        <v>52.296711000000002</v>
      </c>
      <c r="CP70" s="3">
        <v>63.773834000000001</v>
      </c>
      <c r="CQ70" s="3">
        <v>56.706581</v>
      </c>
      <c r="CR70" s="3">
        <v>59.892063</v>
      </c>
      <c r="CS70" s="3">
        <v>57.008656000000002</v>
      </c>
      <c r="CT70" s="3">
        <v>44.143859999999997</v>
      </c>
      <c r="CU70" s="3">
        <v>59.826447000000002</v>
      </c>
      <c r="CV70" s="3">
        <v>54.023521000000002</v>
      </c>
      <c r="CW70" s="3">
        <v>38.889099000000002</v>
      </c>
      <c r="CX70" s="3">
        <v>49.247463000000003</v>
      </c>
      <c r="CY70" s="3">
        <v>50.100406999999997</v>
      </c>
      <c r="CZ70" s="3">
        <v>59.421188000000001</v>
      </c>
      <c r="DA70" s="3">
        <v>57.039433000000002</v>
      </c>
      <c r="DB70" s="3">
        <v>36.444122</v>
      </c>
      <c r="DC70" s="3">
        <v>54.840156999999998</v>
      </c>
      <c r="DD70" s="3">
        <v>37.378222999999998</v>
      </c>
      <c r="DE70" s="3">
        <v>45.780655000000003</v>
      </c>
      <c r="DF70" s="3">
        <v>47.120716000000002</v>
      </c>
      <c r="DG70" s="3">
        <v>40.886772000000001</v>
      </c>
      <c r="DH70" s="3">
        <v>47.028663999999999</v>
      </c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</row>
    <row r="71" spans="2:207" x14ac:dyDescent="0.2">
      <c r="M71" s="3"/>
      <c r="N71" s="3"/>
    </row>
    <row r="72" spans="2:207" x14ac:dyDescent="0.2">
      <c r="M72" s="3"/>
      <c r="N72" s="3"/>
    </row>
    <row r="73" spans="2:207" x14ac:dyDescent="0.2">
      <c r="B73" t="s">
        <v>59</v>
      </c>
      <c r="D73" s="1" t="s">
        <v>41</v>
      </c>
    </row>
    <row r="74" spans="2:207" x14ac:dyDescent="0.2">
      <c r="B74" s="2" t="s">
        <v>38</v>
      </c>
      <c r="D74" t="s">
        <v>3</v>
      </c>
      <c r="E74" t="s">
        <v>1</v>
      </c>
      <c r="F74">
        <f>COUNT(M74:GJ74)</f>
        <v>100</v>
      </c>
      <c r="G74" s="3">
        <f>AVERAGE(M74:GJ74)</f>
        <v>80.10819742000001</v>
      </c>
      <c r="H74" s="3">
        <f>MAX(M74:GJ74)</f>
        <v>100.53583500000001</v>
      </c>
      <c r="I74" s="3">
        <f>MIN(M74:GJ74)</f>
        <v>67.388542000000001</v>
      </c>
      <c r="J74" s="3">
        <f>_xlfn.STDEV.P(M74:GJ74)</f>
        <v>7.1559443764166737</v>
      </c>
      <c r="K74" s="3">
        <f>_xlfn.VAR.S(M74:GJ74)</f>
        <v>51.724787796332748</v>
      </c>
      <c r="M74" s="3">
        <v>77.020294000000007</v>
      </c>
      <c r="N74" s="3">
        <v>71.698898</v>
      </c>
      <c r="O74" s="3">
        <v>84.077674999999999</v>
      </c>
      <c r="P74" s="3">
        <v>86.054221999999996</v>
      </c>
      <c r="Q74" s="3">
        <v>77.628281000000001</v>
      </c>
      <c r="R74" s="3">
        <v>79.896445999999997</v>
      </c>
      <c r="S74" s="3">
        <v>91.541968999999995</v>
      </c>
      <c r="T74" s="3">
        <v>83.549178999999995</v>
      </c>
      <c r="U74" s="3">
        <v>72.987228000000002</v>
      </c>
      <c r="V74" s="3">
        <v>84.179221999999996</v>
      </c>
      <c r="W74" s="3">
        <v>71.458472999999998</v>
      </c>
      <c r="X74" s="3">
        <v>95.114586000000003</v>
      </c>
      <c r="Y74" s="3">
        <v>89.510834000000003</v>
      </c>
      <c r="Z74" s="3">
        <v>86.147048999999996</v>
      </c>
      <c r="AA74" s="3">
        <v>84.469825999999998</v>
      </c>
      <c r="AB74" s="3">
        <v>80.377128999999996</v>
      </c>
      <c r="AC74" s="3">
        <v>84.995864999999995</v>
      </c>
      <c r="AD74" s="3">
        <v>81.255875000000003</v>
      </c>
      <c r="AE74" s="3">
        <v>87.186417000000006</v>
      </c>
      <c r="AF74" s="3">
        <v>80.277855000000002</v>
      </c>
      <c r="AG74" s="3">
        <v>77.144890000000004</v>
      </c>
      <c r="AH74" s="3">
        <v>82.327927000000003</v>
      </c>
      <c r="AI74" s="3">
        <v>83.27758</v>
      </c>
      <c r="AJ74" s="3">
        <v>76.315796000000006</v>
      </c>
      <c r="AK74" s="3">
        <v>100.53583500000001</v>
      </c>
      <c r="AL74" s="3">
        <v>75.525481999999997</v>
      </c>
      <c r="AM74" s="3">
        <v>70.343231000000003</v>
      </c>
      <c r="AN74" s="3">
        <v>76.630043000000001</v>
      </c>
      <c r="AO74" s="3">
        <v>81.525558000000004</v>
      </c>
      <c r="AP74" s="3">
        <v>86.073463000000004</v>
      </c>
      <c r="AQ74" s="3">
        <v>78.672768000000005</v>
      </c>
      <c r="AR74" s="3">
        <v>91.756439</v>
      </c>
      <c r="AS74" s="3">
        <v>83.684714999999997</v>
      </c>
      <c r="AT74" s="3">
        <v>81.722663999999995</v>
      </c>
      <c r="AU74" s="3">
        <v>88.449341000000004</v>
      </c>
      <c r="AV74" s="3">
        <v>84.182097999999996</v>
      </c>
      <c r="AW74" s="3">
        <v>88.327918999999994</v>
      </c>
      <c r="AX74" s="3">
        <v>91.163887000000003</v>
      </c>
      <c r="AY74" s="3">
        <v>74.769226000000003</v>
      </c>
      <c r="AZ74" s="3">
        <v>76.731765999999993</v>
      </c>
      <c r="BA74" s="3">
        <v>76.724373</v>
      </c>
      <c r="BB74" s="3">
        <v>90.024970999999994</v>
      </c>
      <c r="BC74" s="3">
        <v>88.268044000000003</v>
      </c>
      <c r="BD74" s="3">
        <v>91.754929000000004</v>
      </c>
      <c r="BE74" s="3">
        <v>86.399590000000003</v>
      </c>
      <c r="BF74" s="3">
        <v>73.577843000000001</v>
      </c>
      <c r="BG74" s="3">
        <v>88.632866000000007</v>
      </c>
      <c r="BH74" s="3">
        <v>84.297554000000005</v>
      </c>
      <c r="BI74" s="3">
        <v>71.093315000000004</v>
      </c>
      <c r="BJ74" s="3">
        <v>93.284285999999994</v>
      </c>
      <c r="BK74" s="3">
        <v>77.026054000000002</v>
      </c>
      <c r="BL74" s="3">
        <v>73.676292000000004</v>
      </c>
      <c r="BM74" s="3">
        <v>75.361091999999999</v>
      </c>
      <c r="BN74" s="3">
        <v>88.153259000000006</v>
      </c>
      <c r="BO74" s="3">
        <v>71.142525000000006</v>
      </c>
      <c r="BP74" s="3">
        <v>69.406852999999998</v>
      </c>
      <c r="BQ74" s="3">
        <v>79.218986999999998</v>
      </c>
      <c r="BR74" s="3">
        <v>74.266907000000003</v>
      </c>
      <c r="BS74" s="3">
        <v>82.548903999999993</v>
      </c>
      <c r="BT74" s="3">
        <v>88.898894999999996</v>
      </c>
      <c r="BU74" s="3">
        <v>67.388542000000001</v>
      </c>
      <c r="BV74" s="3">
        <v>82.030167000000006</v>
      </c>
      <c r="BW74" s="3">
        <v>78.694076999999993</v>
      </c>
      <c r="BX74" s="3">
        <v>68.586333999999994</v>
      </c>
      <c r="BY74" s="3">
        <v>87.12191</v>
      </c>
      <c r="BZ74" s="3">
        <v>71.952208999999996</v>
      </c>
      <c r="CA74" s="3">
        <v>82.304855000000003</v>
      </c>
      <c r="CB74" s="3">
        <v>74.829230999999993</v>
      </c>
      <c r="CC74" s="3">
        <v>77.595817999999994</v>
      </c>
      <c r="CD74" s="3">
        <v>68.619491999999994</v>
      </c>
      <c r="CE74" s="3">
        <v>73.632842999999994</v>
      </c>
      <c r="CF74" s="3">
        <v>80.042816000000002</v>
      </c>
      <c r="CG74" s="3">
        <v>84.608092999999997</v>
      </c>
      <c r="CH74" s="3">
        <v>90.349013999999997</v>
      </c>
      <c r="CI74" s="3">
        <v>89.274742000000003</v>
      </c>
      <c r="CJ74" s="3">
        <v>77.186745000000002</v>
      </c>
      <c r="CK74" s="3">
        <v>71.600716000000006</v>
      </c>
      <c r="CL74" s="3">
        <v>78.264420000000001</v>
      </c>
      <c r="CM74" s="3">
        <v>78.238708000000003</v>
      </c>
      <c r="CN74" s="3">
        <v>73.468643</v>
      </c>
      <c r="CO74" s="3">
        <v>68.594932999999997</v>
      </c>
      <c r="CP74" s="3">
        <v>82.820396000000002</v>
      </c>
      <c r="CQ74" s="3">
        <v>79.210800000000006</v>
      </c>
      <c r="CR74" s="3">
        <v>69.342963999999995</v>
      </c>
      <c r="CS74" s="3">
        <v>83.586060000000003</v>
      </c>
      <c r="CT74" s="3">
        <v>79.400222999999997</v>
      </c>
      <c r="CU74" s="3">
        <v>76.989875999999995</v>
      </c>
      <c r="CV74" s="3">
        <v>67.576652999999993</v>
      </c>
      <c r="CW74" s="3">
        <v>71.315437000000003</v>
      </c>
      <c r="CX74" s="3">
        <v>79.652771000000001</v>
      </c>
      <c r="CY74" s="3">
        <v>76.924141000000006</v>
      </c>
      <c r="CZ74" s="3">
        <v>77.253440999999995</v>
      </c>
      <c r="DA74" s="3">
        <v>69.798484999999999</v>
      </c>
      <c r="DB74" s="3">
        <v>70.465378000000001</v>
      </c>
      <c r="DC74" s="3">
        <v>77.719527999999997</v>
      </c>
      <c r="DD74" s="3">
        <v>75.739615999999998</v>
      </c>
      <c r="DE74" s="3">
        <v>72.596085000000002</v>
      </c>
      <c r="DF74" s="3">
        <v>76.035408000000004</v>
      </c>
      <c r="DG74" s="3">
        <v>85.510200999999995</v>
      </c>
      <c r="DH74" s="3">
        <v>92.152480999999995</v>
      </c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</row>
    <row r="75" spans="2:207" x14ac:dyDescent="0.2">
      <c r="B75" s="2" t="s">
        <v>42</v>
      </c>
      <c r="G75" s="3"/>
      <c r="H75" s="3"/>
      <c r="I75" s="3"/>
      <c r="J75" s="3"/>
      <c r="K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</row>
    <row r="76" spans="2:207" x14ac:dyDescent="0.2">
      <c r="B76" s="2" t="s">
        <v>43</v>
      </c>
      <c r="D76" t="s">
        <v>4</v>
      </c>
      <c r="E76" t="s">
        <v>1</v>
      </c>
      <c r="F76">
        <f>COUNT(M76:GJ76)</f>
        <v>100</v>
      </c>
      <c r="G76" s="3">
        <f>AVERAGE(M76:GJ76)</f>
        <v>70.709283739999989</v>
      </c>
      <c r="H76" s="3">
        <f>MAX(M76:GJ76)</f>
        <v>99.297248999999994</v>
      </c>
      <c r="I76" s="3">
        <f>MIN(M76:GJ76)</f>
        <v>49.174156000000004</v>
      </c>
      <c r="J76" s="3">
        <f>_xlfn.STDEV.P(M76:GJ76)</f>
        <v>10.318438677993935</v>
      </c>
      <c r="K76" s="3">
        <f>_xlfn.VAR.S(M76:GJ76)</f>
        <v>107.54563308234511</v>
      </c>
      <c r="M76" s="3">
        <v>55.289985999999999</v>
      </c>
      <c r="N76" s="3">
        <v>69.256393000000003</v>
      </c>
      <c r="O76" s="3">
        <v>55.270659999999999</v>
      </c>
      <c r="P76" s="3">
        <v>99.297248999999994</v>
      </c>
      <c r="Q76" s="3">
        <v>68.066978000000006</v>
      </c>
      <c r="R76" s="3">
        <v>76.896277999999995</v>
      </c>
      <c r="S76" s="3">
        <v>68.198975000000004</v>
      </c>
      <c r="T76" s="3">
        <v>79.787818999999999</v>
      </c>
      <c r="U76" s="3">
        <v>74.371314999999996</v>
      </c>
      <c r="V76" s="3">
        <v>85.830001999999993</v>
      </c>
      <c r="W76" s="3">
        <v>66.993842999999998</v>
      </c>
      <c r="X76" s="3">
        <v>75.285552999999993</v>
      </c>
      <c r="Y76" s="3">
        <v>68.475014000000002</v>
      </c>
      <c r="Z76" s="3">
        <v>78.040038999999993</v>
      </c>
      <c r="AA76" s="3">
        <v>88.979004000000003</v>
      </c>
      <c r="AB76" s="3">
        <v>70.964789999999994</v>
      </c>
      <c r="AC76" s="3">
        <v>85.848815999999999</v>
      </c>
      <c r="AD76" s="3">
        <v>70.802993999999998</v>
      </c>
      <c r="AE76" s="3">
        <v>61.574145999999999</v>
      </c>
      <c r="AF76" s="3">
        <v>58.594558999999997</v>
      </c>
      <c r="AG76" s="3">
        <v>75.201751999999999</v>
      </c>
      <c r="AH76" s="3">
        <v>70.745377000000005</v>
      </c>
      <c r="AI76" s="3">
        <v>98.081908999999996</v>
      </c>
      <c r="AJ76" s="3">
        <v>58.129505000000002</v>
      </c>
      <c r="AK76" s="3">
        <v>82.830162000000001</v>
      </c>
      <c r="AL76" s="3">
        <v>76.415694999999999</v>
      </c>
      <c r="AM76" s="3">
        <v>85.559005999999997</v>
      </c>
      <c r="AN76" s="3">
        <v>57.420817999999997</v>
      </c>
      <c r="AO76" s="3">
        <v>70.830771999999996</v>
      </c>
      <c r="AP76" s="3">
        <v>72.164985999999999</v>
      </c>
      <c r="AQ76" s="3">
        <v>75.154365999999996</v>
      </c>
      <c r="AR76" s="3">
        <v>67.882041999999998</v>
      </c>
      <c r="AS76" s="3">
        <v>66.039978000000005</v>
      </c>
      <c r="AT76" s="3">
        <v>88.036415000000005</v>
      </c>
      <c r="AU76" s="3">
        <v>85.490547000000007</v>
      </c>
      <c r="AV76" s="3">
        <v>84.702811999999994</v>
      </c>
      <c r="AW76" s="3">
        <v>80.788994000000002</v>
      </c>
      <c r="AX76" s="3">
        <v>66.248062000000004</v>
      </c>
      <c r="AY76" s="3">
        <v>75.487540999999993</v>
      </c>
      <c r="AZ76" s="3">
        <v>76.69632</v>
      </c>
      <c r="BA76" s="3">
        <v>89.307449000000005</v>
      </c>
      <c r="BB76" s="3">
        <v>72.082977</v>
      </c>
      <c r="BC76" s="3">
        <v>70.608299000000002</v>
      </c>
      <c r="BD76" s="3">
        <v>84.246505999999997</v>
      </c>
      <c r="BE76" s="3">
        <v>71.159737000000007</v>
      </c>
      <c r="BF76" s="3">
        <v>69.660674999999998</v>
      </c>
      <c r="BG76" s="3">
        <v>80.011429000000007</v>
      </c>
      <c r="BH76" s="3">
        <v>86.740951999999993</v>
      </c>
      <c r="BI76" s="3">
        <v>69.827347000000003</v>
      </c>
      <c r="BJ76" s="3">
        <v>74.202674999999999</v>
      </c>
      <c r="BK76" s="3">
        <v>63.212605000000003</v>
      </c>
      <c r="BL76" s="3">
        <v>70.637908999999993</v>
      </c>
      <c r="BM76" s="3">
        <v>58.140984000000003</v>
      </c>
      <c r="BN76" s="3">
        <v>53.967747000000003</v>
      </c>
      <c r="BO76" s="3">
        <v>85.225669999999994</v>
      </c>
      <c r="BP76" s="3">
        <v>60.777442999999998</v>
      </c>
      <c r="BQ76" s="3">
        <v>66.628653999999997</v>
      </c>
      <c r="BR76" s="3">
        <v>61.541477</v>
      </c>
      <c r="BS76" s="3">
        <v>71.160140999999996</v>
      </c>
      <c r="BT76" s="3">
        <v>74.569175999999999</v>
      </c>
      <c r="BU76" s="3">
        <v>64.791115000000005</v>
      </c>
      <c r="BV76" s="3">
        <v>71.171882999999994</v>
      </c>
      <c r="BW76" s="3">
        <v>49.174156000000004</v>
      </c>
      <c r="BX76" s="3">
        <v>89.131737000000001</v>
      </c>
      <c r="BY76" s="3">
        <v>71.028931</v>
      </c>
      <c r="BZ76" s="3">
        <v>54.631630000000001</v>
      </c>
      <c r="CA76" s="3">
        <v>51.258460999999997</v>
      </c>
      <c r="CB76" s="3">
        <v>62.021481000000001</v>
      </c>
      <c r="CC76" s="3">
        <v>62.727530999999999</v>
      </c>
      <c r="CD76" s="3">
        <v>70.078354000000004</v>
      </c>
      <c r="CE76" s="3">
        <v>60.653033999999998</v>
      </c>
      <c r="CF76" s="3">
        <v>64.682304000000002</v>
      </c>
      <c r="CG76" s="3">
        <v>87.242881999999994</v>
      </c>
      <c r="CH76" s="3">
        <v>70.908752000000007</v>
      </c>
      <c r="CI76" s="3">
        <v>64.838538999999997</v>
      </c>
      <c r="CJ76" s="3">
        <v>67.362731999999994</v>
      </c>
      <c r="CK76" s="3">
        <v>68.110443000000004</v>
      </c>
      <c r="CL76" s="3">
        <v>69.450333000000001</v>
      </c>
      <c r="CM76" s="3">
        <v>57.546470999999997</v>
      </c>
      <c r="CN76" s="3">
        <v>56.734856000000001</v>
      </c>
      <c r="CO76" s="3">
        <v>78.024078000000003</v>
      </c>
      <c r="CP76" s="3">
        <v>61.494517999999999</v>
      </c>
      <c r="CQ76" s="3">
        <v>72.840125999999998</v>
      </c>
      <c r="CR76" s="3">
        <v>72.634369000000007</v>
      </c>
      <c r="CS76" s="3">
        <v>63.865467000000002</v>
      </c>
      <c r="CT76" s="3">
        <v>64.689507000000006</v>
      </c>
      <c r="CU76" s="3">
        <v>70.496619999999993</v>
      </c>
      <c r="CV76" s="3">
        <v>77.067177000000001</v>
      </c>
      <c r="CW76" s="3">
        <v>69.263863000000001</v>
      </c>
      <c r="CX76" s="3">
        <v>80.843376000000006</v>
      </c>
      <c r="CY76" s="3">
        <v>63.698920999999999</v>
      </c>
      <c r="CZ76" s="3">
        <v>69.178901999999994</v>
      </c>
      <c r="DA76" s="3">
        <v>57.317669000000002</v>
      </c>
      <c r="DB76" s="3">
        <v>65.380538999999999</v>
      </c>
      <c r="DC76" s="3">
        <v>66.316490000000002</v>
      </c>
      <c r="DD76" s="3">
        <v>72.931572000000003</v>
      </c>
      <c r="DE76" s="3">
        <v>60.709724000000001</v>
      </c>
      <c r="DF76" s="3">
        <v>77.499756000000005</v>
      </c>
      <c r="DG76" s="3">
        <v>55.828994999999999</v>
      </c>
      <c r="DH76" s="3">
        <v>51.859755999999997</v>
      </c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</row>
    <row r="77" spans="2:207" x14ac:dyDescent="0.2">
      <c r="G77" s="3"/>
      <c r="H77" s="3"/>
      <c r="I77" s="3"/>
      <c r="J77" s="3"/>
      <c r="K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</row>
    <row r="78" spans="2:207" x14ac:dyDescent="0.2">
      <c r="D78" t="s">
        <v>2</v>
      </c>
      <c r="E78" t="s">
        <v>1</v>
      </c>
      <c r="F78">
        <f>COUNT(M78:GJ78)</f>
        <v>100</v>
      </c>
      <c r="G78" s="3">
        <f>AVERAGE(M78:GJ78)</f>
        <v>72.787083229999979</v>
      </c>
      <c r="H78" s="3">
        <f>MAX(M78:GJ78)</f>
        <v>90.221992</v>
      </c>
      <c r="I78" s="3">
        <f>MIN(M78:GJ78)</f>
        <v>61.054625999999999</v>
      </c>
      <c r="J78" s="3">
        <f>_xlfn.STDEV.P(M78:GJ78)</f>
        <v>6.284338663699395</v>
      </c>
      <c r="K78" s="3">
        <f>_xlfn.VAR.S(M78:GJ78)</f>
        <v>39.891830747542521</v>
      </c>
      <c r="M78" s="3">
        <v>84.088676000000007</v>
      </c>
      <c r="N78" s="3">
        <v>68.661582999999993</v>
      </c>
      <c r="O78" s="3">
        <v>77.551117000000005</v>
      </c>
      <c r="P78" s="3">
        <v>84.387428</v>
      </c>
      <c r="Q78" s="3">
        <v>87.222137000000004</v>
      </c>
      <c r="R78" s="3">
        <v>79.931045999999995</v>
      </c>
      <c r="S78" s="3">
        <v>73.619308000000004</v>
      </c>
      <c r="T78" s="3">
        <v>86.751244</v>
      </c>
      <c r="U78" s="3">
        <v>75.861587999999998</v>
      </c>
      <c r="V78" s="3">
        <v>86.326210000000003</v>
      </c>
      <c r="W78" s="3">
        <v>74.461753999999999</v>
      </c>
      <c r="X78" s="3">
        <v>90.221992</v>
      </c>
      <c r="Y78" s="3">
        <v>73.846214000000003</v>
      </c>
      <c r="Z78" s="3">
        <v>80.843879999999999</v>
      </c>
      <c r="AA78" s="3">
        <v>77.766555999999994</v>
      </c>
      <c r="AB78" s="3">
        <v>84.053550999999999</v>
      </c>
      <c r="AC78" s="3">
        <v>72.954162999999994</v>
      </c>
      <c r="AD78" s="3">
        <v>74.077477000000002</v>
      </c>
      <c r="AE78" s="3">
        <v>85.501876999999993</v>
      </c>
      <c r="AF78" s="3">
        <v>84.911972000000006</v>
      </c>
      <c r="AG78" s="3">
        <v>72.897423000000003</v>
      </c>
      <c r="AH78" s="3">
        <v>84.376334999999997</v>
      </c>
      <c r="AI78" s="3">
        <v>72.853020000000001</v>
      </c>
      <c r="AJ78" s="3">
        <v>84.586098000000007</v>
      </c>
      <c r="AK78" s="3">
        <v>77.401252999999997</v>
      </c>
      <c r="AL78" s="3">
        <v>81.094695999999999</v>
      </c>
      <c r="AM78" s="3">
        <v>78.410324000000003</v>
      </c>
      <c r="AN78" s="3">
        <v>74.449050999999997</v>
      </c>
      <c r="AO78" s="3">
        <v>69.654708999999997</v>
      </c>
      <c r="AP78" s="3">
        <v>73.478827999999993</v>
      </c>
      <c r="AQ78" s="3">
        <v>66.728652999999994</v>
      </c>
      <c r="AR78" s="3">
        <v>74.764740000000003</v>
      </c>
      <c r="AS78" s="3">
        <v>78.874709999999993</v>
      </c>
      <c r="AT78" s="3">
        <v>71.67971</v>
      </c>
      <c r="AU78" s="3">
        <v>71.776978</v>
      </c>
      <c r="AV78" s="3">
        <v>72.297134</v>
      </c>
      <c r="AW78" s="3">
        <v>72.478706000000003</v>
      </c>
      <c r="AX78" s="3">
        <v>66.800094999999999</v>
      </c>
      <c r="AY78" s="3">
        <v>67.442779999999999</v>
      </c>
      <c r="AZ78" s="3">
        <v>71.533844000000002</v>
      </c>
      <c r="BA78" s="3">
        <v>71.210341999999997</v>
      </c>
      <c r="BB78" s="3">
        <v>80.89537</v>
      </c>
      <c r="BC78" s="3">
        <v>77.490737999999993</v>
      </c>
      <c r="BD78" s="3">
        <v>70.336960000000005</v>
      </c>
      <c r="BE78" s="3">
        <v>73.790015999999994</v>
      </c>
      <c r="BF78" s="3">
        <v>76.532684000000003</v>
      </c>
      <c r="BG78" s="3">
        <v>71.283874999999995</v>
      </c>
      <c r="BH78" s="3">
        <v>69.291427999999996</v>
      </c>
      <c r="BI78" s="3">
        <v>73.760361000000003</v>
      </c>
      <c r="BJ78" s="3">
        <v>74.497687999999997</v>
      </c>
      <c r="BK78" s="3">
        <v>74.576172</v>
      </c>
      <c r="BL78" s="3">
        <v>63.508361999999998</v>
      </c>
      <c r="BM78" s="3">
        <v>70.528121999999996</v>
      </c>
      <c r="BN78" s="3">
        <v>68.978859</v>
      </c>
      <c r="BO78" s="3">
        <v>68.794296000000003</v>
      </c>
      <c r="BP78" s="3">
        <v>69.798164</v>
      </c>
      <c r="BQ78" s="3">
        <v>66.983825999999993</v>
      </c>
      <c r="BR78" s="3">
        <v>70.326187000000004</v>
      </c>
      <c r="BS78" s="3">
        <v>69.332381999999996</v>
      </c>
      <c r="BT78" s="3">
        <v>61.054625999999999</v>
      </c>
      <c r="BU78" s="3">
        <v>68.638969000000003</v>
      </c>
      <c r="BV78" s="3">
        <v>67.401320999999996</v>
      </c>
      <c r="BW78" s="3">
        <v>66.798584000000005</v>
      </c>
      <c r="BX78" s="3">
        <v>64.483931999999996</v>
      </c>
      <c r="BY78" s="3">
        <v>72.446708999999998</v>
      </c>
      <c r="BZ78" s="3">
        <v>77.039398000000006</v>
      </c>
      <c r="CA78" s="3">
        <v>68.470519999999993</v>
      </c>
      <c r="CB78" s="3">
        <v>61.137141999999997</v>
      </c>
      <c r="CC78" s="3">
        <v>66.017844999999994</v>
      </c>
      <c r="CD78" s="3">
        <v>69.568862999999993</v>
      </c>
      <c r="CE78" s="3">
        <v>69.141463999999999</v>
      </c>
      <c r="CF78" s="3">
        <v>66.490882999999997</v>
      </c>
      <c r="CG78" s="3">
        <v>64.255966000000001</v>
      </c>
      <c r="CH78" s="3">
        <v>65.867737000000005</v>
      </c>
      <c r="CI78" s="3">
        <v>75.317870999999997</v>
      </c>
      <c r="CJ78" s="3">
        <v>72.193366999999995</v>
      </c>
      <c r="CK78" s="3">
        <v>68.166122000000001</v>
      </c>
      <c r="CL78" s="3">
        <v>67.940772999999993</v>
      </c>
      <c r="CM78" s="3">
        <v>67.736671000000001</v>
      </c>
      <c r="CN78" s="3">
        <v>67.489463999999998</v>
      </c>
      <c r="CO78" s="3">
        <v>75.712753000000006</v>
      </c>
      <c r="CP78" s="3">
        <v>65.442368000000002</v>
      </c>
      <c r="CQ78" s="3">
        <v>64.627853000000002</v>
      </c>
      <c r="CR78" s="3">
        <v>66.301749999999998</v>
      </c>
      <c r="CS78" s="3">
        <v>64.385390999999998</v>
      </c>
      <c r="CT78" s="3">
        <v>77.050399999999996</v>
      </c>
      <c r="CU78" s="3">
        <v>68.835442</v>
      </c>
      <c r="CV78" s="3">
        <v>69.908600000000007</v>
      </c>
      <c r="CW78" s="3">
        <v>71.735068999999996</v>
      </c>
      <c r="CX78" s="3">
        <v>73.163155000000003</v>
      </c>
      <c r="CY78" s="3">
        <v>80.184448000000003</v>
      </c>
      <c r="CZ78" s="3">
        <v>67.744613999999999</v>
      </c>
      <c r="DA78" s="3">
        <v>66.089622000000006</v>
      </c>
      <c r="DB78" s="3">
        <v>70.797805999999994</v>
      </c>
      <c r="DC78" s="3">
        <v>70.443343999999996</v>
      </c>
      <c r="DD78" s="3">
        <v>74.003647000000001</v>
      </c>
      <c r="DE78" s="3">
        <v>66.026413000000005</v>
      </c>
      <c r="DF78" s="3">
        <v>68.638892999999996</v>
      </c>
      <c r="DG78" s="3">
        <v>72.428070000000005</v>
      </c>
      <c r="DH78" s="3">
        <v>68.995766000000003</v>
      </c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</row>
    <row r="79" spans="2:207" x14ac:dyDescent="0.2">
      <c r="G79" s="3"/>
      <c r="H79" s="3"/>
      <c r="I79" s="3"/>
      <c r="J79" s="3"/>
      <c r="K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</row>
    <row r="80" spans="2:207" x14ac:dyDescent="0.2">
      <c r="D80" t="s">
        <v>5</v>
      </c>
      <c r="E80" t="s">
        <v>1</v>
      </c>
      <c r="F80">
        <f>COUNT(M80:GJ80)</f>
        <v>100</v>
      </c>
      <c r="G80" s="3">
        <f>AVERAGE(M80:GJ80)</f>
        <v>68.225735780000008</v>
      </c>
      <c r="H80" s="3">
        <f>MAX(M80:GJ80)</f>
        <v>84.610382000000001</v>
      </c>
      <c r="I80" s="3">
        <f>MIN(M80:GJ80)</f>
        <v>50.573253999999999</v>
      </c>
      <c r="J80" s="3">
        <f>_xlfn.STDEV.P(M80:GJ80)</f>
        <v>6.262040610317281</v>
      </c>
      <c r="K80" s="3">
        <f>_xlfn.VAR.S(M80:GJ80)</f>
        <v>39.609245055821027</v>
      </c>
      <c r="M80" s="3">
        <v>74.421867000000006</v>
      </c>
      <c r="N80" s="3">
        <v>63.902057999999997</v>
      </c>
      <c r="O80" s="3">
        <v>80.705062999999996</v>
      </c>
      <c r="P80" s="3">
        <v>67.020386000000002</v>
      </c>
      <c r="Q80" s="3">
        <v>71.915160999999998</v>
      </c>
      <c r="R80" s="3">
        <v>66.539803000000006</v>
      </c>
      <c r="S80" s="3">
        <v>72.327720999999997</v>
      </c>
      <c r="T80" s="3">
        <v>72.094291999999996</v>
      </c>
      <c r="U80" s="3">
        <v>75.995598000000001</v>
      </c>
      <c r="V80" s="3">
        <v>72.645263999999997</v>
      </c>
      <c r="W80" s="3">
        <v>60.089782999999997</v>
      </c>
      <c r="X80" s="3">
        <v>74.353333000000006</v>
      </c>
      <c r="Y80" s="3">
        <v>76.894608000000005</v>
      </c>
      <c r="Z80" s="3">
        <v>70.093558999999999</v>
      </c>
      <c r="AA80" s="3">
        <v>68.716873000000007</v>
      </c>
      <c r="AB80" s="3">
        <v>70.331528000000006</v>
      </c>
      <c r="AC80" s="3">
        <v>71.320175000000006</v>
      </c>
      <c r="AD80" s="3">
        <v>84.610382000000001</v>
      </c>
      <c r="AE80" s="3">
        <v>79.286841999999993</v>
      </c>
      <c r="AF80" s="3">
        <v>60.305374</v>
      </c>
      <c r="AG80" s="3">
        <v>65.966103000000004</v>
      </c>
      <c r="AH80" s="3">
        <v>68.304276000000002</v>
      </c>
      <c r="AI80" s="3">
        <v>78.359893999999997</v>
      </c>
      <c r="AJ80" s="3">
        <v>72.400931999999997</v>
      </c>
      <c r="AK80" s="3">
        <v>80.052207999999993</v>
      </c>
      <c r="AL80" s="3">
        <v>69.402077000000006</v>
      </c>
      <c r="AM80" s="3">
        <v>70.938125999999997</v>
      </c>
      <c r="AN80" s="3">
        <v>73.975753999999995</v>
      </c>
      <c r="AO80" s="3">
        <v>67.032653999999994</v>
      </c>
      <c r="AP80" s="3">
        <v>75.392348999999996</v>
      </c>
      <c r="AQ80" s="3">
        <v>70.919669999999996</v>
      </c>
      <c r="AR80" s="3">
        <v>69.903075999999999</v>
      </c>
      <c r="AS80" s="3">
        <v>56.092624999999998</v>
      </c>
      <c r="AT80" s="3">
        <v>72.812965000000005</v>
      </c>
      <c r="AU80" s="3">
        <v>64.917854000000005</v>
      </c>
      <c r="AV80" s="3">
        <v>68.613181999999995</v>
      </c>
      <c r="AW80" s="3">
        <v>68.001311999999999</v>
      </c>
      <c r="AX80" s="3">
        <v>59.196990999999997</v>
      </c>
      <c r="AY80" s="3">
        <v>71.494904000000005</v>
      </c>
      <c r="AZ80" s="3">
        <v>68.284233</v>
      </c>
      <c r="BA80" s="3">
        <v>74.764015000000001</v>
      </c>
      <c r="BB80" s="3">
        <v>62.147297000000002</v>
      </c>
      <c r="BC80" s="3">
        <v>68.226410000000001</v>
      </c>
      <c r="BD80" s="3">
        <v>67.578971999999993</v>
      </c>
      <c r="BE80" s="3">
        <v>57.017944</v>
      </c>
      <c r="BF80" s="3">
        <v>50.573253999999999</v>
      </c>
      <c r="BG80" s="3">
        <v>71.192161999999996</v>
      </c>
      <c r="BH80" s="3">
        <v>74.339934999999997</v>
      </c>
      <c r="BI80" s="3">
        <v>70.465323999999995</v>
      </c>
      <c r="BJ80" s="3">
        <v>79.049651999999995</v>
      </c>
      <c r="BK80" s="3">
        <v>71.359756000000004</v>
      </c>
      <c r="BL80" s="3">
        <v>73.615905999999995</v>
      </c>
      <c r="BM80" s="3">
        <v>64.329575000000006</v>
      </c>
      <c r="BN80" s="3">
        <v>58.910899999999998</v>
      </c>
      <c r="BO80" s="3">
        <v>69.899017000000001</v>
      </c>
      <c r="BP80" s="3">
        <v>70.741241000000002</v>
      </c>
      <c r="BQ80" s="3">
        <v>64.459311999999997</v>
      </c>
      <c r="BR80" s="3">
        <v>73.480521999999993</v>
      </c>
      <c r="BS80" s="3">
        <v>71.020934999999994</v>
      </c>
      <c r="BT80" s="3">
        <v>61.401271999999999</v>
      </c>
      <c r="BU80" s="3">
        <v>60.221587999999997</v>
      </c>
      <c r="BV80" s="3">
        <v>68.539908999999994</v>
      </c>
      <c r="BW80" s="3">
        <v>74.417891999999995</v>
      </c>
      <c r="BX80" s="3">
        <v>74.952240000000003</v>
      </c>
      <c r="BY80" s="3">
        <v>66.923339999999996</v>
      </c>
      <c r="BZ80" s="3">
        <v>68.430060999999995</v>
      </c>
      <c r="CA80" s="3">
        <v>63.922728999999997</v>
      </c>
      <c r="CB80" s="3">
        <v>67.168602000000007</v>
      </c>
      <c r="CC80" s="3">
        <v>72.781402999999997</v>
      </c>
      <c r="CD80" s="3">
        <v>62.805816999999998</v>
      </c>
      <c r="CE80" s="3">
        <v>54.665675999999998</v>
      </c>
      <c r="CF80" s="3">
        <v>62.824866999999998</v>
      </c>
      <c r="CG80" s="3">
        <v>66.588470000000001</v>
      </c>
      <c r="CH80" s="3">
        <v>67.730712999999994</v>
      </c>
      <c r="CI80" s="3">
        <v>78.132667999999995</v>
      </c>
      <c r="CJ80" s="3">
        <v>61.084114</v>
      </c>
      <c r="CK80" s="3">
        <v>72.775467000000006</v>
      </c>
      <c r="CL80" s="3">
        <v>71.624556999999996</v>
      </c>
      <c r="CM80" s="3">
        <v>58.695025999999999</v>
      </c>
      <c r="CN80" s="3">
        <v>67.612731999999994</v>
      </c>
      <c r="CO80" s="3">
        <v>68.912384000000003</v>
      </c>
      <c r="CP80" s="3">
        <v>67.374229</v>
      </c>
      <c r="CQ80" s="3">
        <v>61.785130000000002</v>
      </c>
      <c r="CR80" s="3">
        <v>62.802624000000002</v>
      </c>
      <c r="CS80" s="3">
        <v>65.427077999999995</v>
      </c>
      <c r="CT80" s="3">
        <v>60.993011000000003</v>
      </c>
      <c r="CU80" s="3">
        <v>62.634318999999998</v>
      </c>
      <c r="CV80" s="3">
        <v>66.336074999999994</v>
      </c>
      <c r="CW80" s="3">
        <v>65.193969999999993</v>
      </c>
      <c r="CX80" s="3">
        <v>59.589184000000003</v>
      </c>
      <c r="CY80" s="3">
        <v>72.528152000000006</v>
      </c>
      <c r="CZ80" s="3">
        <v>62.707889999999999</v>
      </c>
      <c r="DA80" s="3">
        <v>68.840369999999993</v>
      </c>
      <c r="DB80" s="3">
        <v>79.114182</v>
      </c>
      <c r="DC80" s="3">
        <v>63.73827</v>
      </c>
      <c r="DD80" s="3">
        <v>58.510154999999997</v>
      </c>
      <c r="DE80" s="3">
        <v>65.344016999999994</v>
      </c>
      <c r="DF80" s="3">
        <v>65.635925</v>
      </c>
      <c r="DG80" s="3">
        <v>63.622101000000001</v>
      </c>
      <c r="DH80" s="3">
        <v>59.382384999999999</v>
      </c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</row>
    <row r="81" spans="2:207" x14ac:dyDescent="0.2">
      <c r="G81" s="3"/>
      <c r="H81" s="3"/>
      <c r="I81" s="3"/>
      <c r="J81" s="3"/>
      <c r="K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</row>
    <row r="82" spans="2:207" x14ac:dyDescent="0.2">
      <c r="D82" t="s">
        <v>6</v>
      </c>
      <c r="E82" t="s">
        <v>1</v>
      </c>
      <c r="F82">
        <f>COUNT(M82:GJ82)</f>
        <v>100</v>
      </c>
      <c r="G82" s="3">
        <f>AVERAGE(M82:GJ82)</f>
        <v>66.787382260000015</v>
      </c>
      <c r="H82" s="3">
        <f>MAX(M82:GJ82)</f>
        <v>93.165786999999995</v>
      </c>
      <c r="I82" s="3">
        <f>MIN(M82:GJ82)</f>
        <v>41.282612</v>
      </c>
      <c r="J82" s="3">
        <f>_xlfn.STDEV.P(M82:GJ82)</f>
        <v>10.028144635959647</v>
      </c>
      <c r="K82" s="3">
        <f>_xlfn.VAR.S(M82:GJ82)</f>
        <v>101.57947963608706</v>
      </c>
      <c r="M82" s="3">
        <v>73.981773000000004</v>
      </c>
      <c r="N82" s="3">
        <v>48.593356999999997</v>
      </c>
      <c r="O82" s="3">
        <v>69.801833999999999</v>
      </c>
      <c r="P82" s="3">
        <v>58.948956000000003</v>
      </c>
      <c r="Q82" s="3">
        <v>69.528389000000004</v>
      </c>
      <c r="R82" s="3">
        <v>73.597992000000005</v>
      </c>
      <c r="S82" s="3">
        <v>64.514397000000002</v>
      </c>
      <c r="T82" s="3">
        <v>69.158844000000002</v>
      </c>
      <c r="U82" s="3">
        <v>59.091766</v>
      </c>
      <c r="V82" s="3">
        <v>69.172325000000001</v>
      </c>
      <c r="W82" s="3">
        <v>52.597385000000003</v>
      </c>
      <c r="X82" s="3">
        <v>67.246384000000006</v>
      </c>
      <c r="Y82" s="3">
        <v>49.034579999999998</v>
      </c>
      <c r="Z82" s="3">
        <v>76.27655</v>
      </c>
      <c r="AA82" s="3">
        <v>66.005936000000005</v>
      </c>
      <c r="AB82" s="3">
        <v>76.528121999999996</v>
      </c>
      <c r="AC82" s="3">
        <v>75.3339</v>
      </c>
      <c r="AD82" s="3">
        <v>59.882522999999999</v>
      </c>
      <c r="AE82" s="3">
        <v>67.925551999999996</v>
      </c>
      <c r="AF82" s="3">
        <v>76.824005</v>
      </c>
      <c r="AG82" s="3">
        <v>49.908755999999997</v>
      </c>
      <c r="AH82" s="3">
        <v>68.165474000000003</v>
      </c>
      <c r="AI82" s="3">
        <v>60.128666000000003</v>
      </c>
      <c r="AJ82" s="3">
        <v>62.895054000000002</v>
      </c>
      <c r="AK82" s="3">
        <v>65.153732000000005</v>
      </c>
      <c r="AL82" s="3">
        <v>57.428702999999999</v>
      </c>
      <c r="AM82" s="3">
        <v>58.136581</v>
      </c>
      <c r="AN82" s="3">
        <v>57.505721999999999</v>
      </c>
      <c r="AO82" s="3">
        <v>60.252625000000002</v>
      </c>
      <c r="AP82" s="3">
        <v>85.771439000000001</v>
      </c>
      <c r="AQ82" s="3">
        <v>78.763535000000005</v>
      </c>
      <c r="AR82" s="3">
        <v>71.634094000000005</v>
      </c>
      <c r="AS82" s="3">
        <v>70.745743000000004</v>
      </c>
      <c r="AT82" s="3">
        <v>59.005955</v>
      </c>
      <c r="AU82" s="3">
        <v>63.440449000000001</v>
      </c>
      <c r="AV82" s="3">
        <v>58.667793000000003</v>
      </c>
      <c r="AW82" s="3">
        <v>82.374495999999994</v>
      </c>
      <c r="AX82" s="3">
        <v>45.476596999999998</v>
      </c>
      <c r="AY82" s="3">
        <v>68.511589000000001</v>
      </c>
      <c r="AZ82" s="3">
        <v>67.801506000000003</v>
      </c>
      <c r="BA82" s="3">
        <v>69.115493999999998</v>
      </c>
      <c r="BB82" s="3">
        <v>82.220237999999995</v>
      </c>
      <c r="BC82" s="3">
        <v>62.704487</v>
      </c>
      <c r="BD82" s="3">
        <v>66.131477000000004</v>
      </c>
      <c r="BE82" s="3">
        <v>69.442725999999993</v>
      </c>
      <c r="BF82" s="3">
        <v>41.282612</v>
      </c>
      <c r="BG82" s="3">
        <v>82.742416000000006</v>
      </c>
      <c r="BH82" s="3">
        <v>78.382621999999998</v>
      </c>
      <c r="BI82" s="3">
        <v>72.280968000000001</v>
      </c>
      <c r="BJ82" s="3">
        <v>64.695442</v>
      </c>
      <c r="BK82" s="3">
        <v>93.165786999999995</v>
      </c>
      <c r="BL82" s="3">
        <v>51.915337000000001</v>
      </c>
      <c r="BM82" s="3">
        <v>70.777206000000007</v>
      </c>
      <c r="BN82" s="3">
        <v>60.645325</v>
      </c>
      <c r="BO82" s="3">
        <v>70.586928999999998</v>
      </c>
      <c r="BP82" s="3">
        <v>86.672652999999997</v>
      </c>
      <c r="BQ82" s="3">
        <v>51.206077999999998</v>
      </c>
      <c r="BR82" s="3">
        <v>69.004538999999994</v>
      </c>
      <c r="BS82" s="3">
        <v>71.074180999999996</v>
      </c>
      <c r="BT82" s="3">
        <v>75.958045999999996</v>
      </c>
      <c r="BU82" s="3">
        <v>60.974818999999997</v>
      </c>
      <c r="BV82" s="3">
        <v>84.304749000000001</v>
      </c>
      <c r="BW82" s="3">
        <v>51.556412000000002</v>
      </c>
      <c r="BX82" s="3">
        <v>71.560349000000002</v>
      </c>
      <c r="BY82" s="3">
        <v>68.224258000000006</v>
      </c>
      <c r="BZ82" s="3">
        <v>66.033173000000005</v>
      </c>
      <c r="CA82" s="3">
        <v>77.249083999999996</v>
      </c>
      <c r="CB82" s="3">
        <v>65.867919999999998</v>
      </c>
      <c r="CC82" s="3">
        <v>63.430126000000001</v>
      </c>
      <c r="CD82" s="3">
        <v>71.823311000000004</v>
      </c>
      <c r="CE82" s="3">
        <v>59.509151000000003</v>
      </c>
      <c r="CF82" s="3">
        <v>79.476951999999997</v>
      </c>
      <c r="CG82" s="3">
        <v>68.399628000000007</v>
      </c>
      <c r="CH82" s="3">
        <v>52.073115999999999</v>
      </c>
      <c r="CI82" s="3">
        <v>63.653968999999996</v>
      </c>
      <c r="CJ82" s="3">
        <v>79.836844999999997</v>
      </c>
      <c r="CK82" s="3">
        <v>56.879100999999999</v>
      </c>
      <c r="CL82" s="3">
        <v>71.949912999999995</v>
      </c>
      <c r="CM82" s="3">
        <v>77.003928999999999</v>
      </c>
      <c r="CN82" s="3">
        <v>80.602035999999998</v>
      </c>
      <c r="CO82" s="3">
        <v>74.307220000000001</v>
      </c>
      <c r="CP82" s="3">
        <v>65.222838999999993</v>
      </c>
      <c r="CQ82" s="3">
        <v>75.408676</v>
      </c>
      <c r="CR82" s="3">
        <v>68.390381000000005</v>
      </c>
      <c r="CS82" s="3">
        <v>58.824997000000003</v>
      </c>
      <c r="CT82" s="3">
        <v>55.697280999999997</v>
      </c>
      <c r="CU82" s="3">
        <v>75.287505999999993</v>
      </c>
      <c r="CV82" s="3">
        <v>52.368561</v>
      </c>
      <c r="CW82" s="3">
        <v>61.316333999999998</v>
      </c>
      <c r="CX82" s="3">
        <v>66.434143000000006</v>
      </c>
      <c r="CY82" s="3">
        <v>52.628590000000003</v>
      </c>
      <c r="CZ82" s="3">
        <v>83.10257</v>
      </c>
      <c r="DA82" s="3">
        <v>69.481399999999994</v>
      </c>
      <c r="DB82" s="3">
        <v>63.626438</v>
      </c>
      <c r="DC82" s="3">
        <v>77.716980000000007</v>
      </c>
      <c r="DD82" s="3">
        <v>47.849457000000001</v>
      </c>
      <c r="DE82" s="3">
        <v>59.152476999999998</v>
      </c>
      <c r="DF82" s="3">
        <v>66.734879000000006</v>
      </c>
      <c r="DG82" s="3">
        <v>66.961601000000002</v>
      </c>
      <c r="DH82" s="3">
        <v>61.999412999999997</v>
      </c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</row>
    <row r="83" spans="2:207" x14ac:dyDescent="0.2">
      <c r="M83" s="3"/>
      <c r="N83" s="3"/>
    </row>
    <row r="84" spans="2:207" x14ac:dyDescent="0.2">
      <c r="M84" s="3"/>
      <c r="N84" s="3"/>
    </row>
    <row r="85" spans="2:207" x14ac:dyDescent="0.2">
      <c r="B85" t="s">
        <v>59</v>
      </c>
      <c r="D85" s="1" t="s">
        <v>40</v>
      </c>
    </row>
    <row r="86" spans="2:207" x14ac:dyDescent="0.2">
      <c r="B86" s="2" t="s">
        <v>39</v>
      </c>
      <c r="D86" t="s">
        <v>3</v>
      </c>
      <c r="E86" t="s">
        <v>1</v>
      </c>
      <c r="F86">
        <f>COUNT(M86:GJ86)</f>
        <v>100</v>
      </c>
      <c r="G86" s="3">
        <f>AVERAGE(M86:GJ86)</f>
        <v>12.716751199999999</v>
      </c>
      <c r="H86" s="3">
        <f>MAX(M86:GJ86)</f>
        <v>16.963511</v>
      </c>
      <c r="I86" s="3">
        <f>MIN(M86:GJ86)</f>
        <v>10.130236</v>
      </c>
      <c r="J86" s="3">
        <f>_xlfn.STDEV.P(M86:GJ86)</f>
        <v>1.3399340642033646</v>
      </c>
      <c r="K86" s="3">
        <f>_xlfn.VAR.S(M86:GJ86)</f>
        <v>1.8135588852651887</v>
      </c>
      <c r="M86" s="3">
        <v>11.588556000000001</v>
      </c>
      <c r="N86" s="3">
        <v>11.879865000000001</v>
      </c>
      <c r="O86" s="3">
        <v>14.411045</v>
      </c>
      <c r="P86" s="3">
        <v>16.312956</v>
      </c>
      <c r="Q86" s="3">
        <v>13.643025</v>
      </c>
      <c r="R86" s="3">
        <v>13.863109</v>
      </c>
      <c r="S86" s="3">
        <v>13.397062</v>
      </c>
      <c r="T86" s="3">
        <v>11.469289</v>
      </c>
      <c r="U86" s="3">
        <v>12.077199999999999</v>
      </c>
      <c r="V86" s="3">
        <v>13.627186</v>
      </c>
      <c r="W86" s="3">
        <v>12.403081</v>
      </c>
      <c r="X86" s="3">
        <v>12.913857</v>
      </c>
      <c r="Y86" s="3">
        <v>12.927075</v>
      </c>
      <c r="Z86" s="3">
        <v>11.701885000000001</v>
      </c>
      <c r="AA86" s="3">
        <v>12.851269</v>
      </c>
      <c r="AB86" s="3">
        <v>11.167484999999999</v>
      </c>
      <c r="AC86" s="3">
        <v>13.382806</v>
      </c>
      <c r="AD86" s="3">
        <v>13.094497</v>
      </c>
      <c r="AE86" s="3">
        <v>14.65597</v>
      </c>
      <c r="AF86" s="3">
        <v>12.565492000000001</v>
      </c>
      <c r="AG86" s="3">
        <v>13.533541</v>
      </c>
      <c r="AH86" s="3">
        <v>13.925644</v>
      </c>
      <c r="AI86" s="3">
        <v>13.216341999999999</v>
      </c>
      <c r="AJ86" s="3">
        <v>11.411987999999999</v>
      </c>
      <c r="AK86" s="3">
        <v>12.564036</v>
      </c>
      <c r="AL86" s="3">
        <v>12.451435999999999</v>
      </c>
      <c r="AM86" s="3">
        <v>14.320691</v>
      </c>
      <c r="AN86" s="3">
        <v>14.244964</v>
      </c>
      <c r="AO86" s="3">
        <v>16.963511</v>
      </c>
      <c r="AP86" s="3">
        <v>12.069779</v>
      </c>
      <c r="AQ86" s="3">
        <v>12.322108999999999</v>
      </c>
      <c r="AR86" s="3">
        <v>11.700710000000001</v>
      </c>
      <c r="AS86" s="3">
        <v>13.852527</v>
      </c>
      <c r="AT86" s="3">
        <v>11.23992</v>
      </c>
      <c r="AU86" s="3">
        <v>15.056481</v>
      </c>
      <c r="AV86" s="3">
        <v>14.031366999999999</v>
      </c>
      <c r="AW86" s="3">
        <v>12.121130000000001</v>
      </c>
      <c r="AX86" s="3">
        <v>13.610785999999999</v>
      </c>
      <c r="AY86" s="3">
        <v>11.217230000000001</v>
      </c>
      <c r="AZ86" s="3">
        <v>12.537277</v>
      </c>
      <c r="BA86" s="3">
        <v>11.484514000000001</v>
      </c>
      <c r="BB86" s="3">
        <v>13.943319000000001</v>
      </c>
      <c r="BC86" s="3">
        <v>14.478408999999999</v>
      </c>
      <c r="BD86" s="3">
        <v>12.239106</v>
      </c>
      <c r="BE86" s="3">
        <v>12.898478000000001</v>
      </c>
      <c r="BF86" s="3">
        <v>14.182625</v>
      </c>
      <c r="BG86" s="3">
        <v>11.308948000000001</v>
      </c>
      <c r="BH86" s="3">
        <v>11.555415</v>
      </c>
      <c r="BI86" s="3">
        <v>13.230124</v>
      </c>
      <c r="BJ86" s="3">
        <v>12.164028</v>
      </c>
      <c r="BK86" s="3">
        <v>11.139903</v>
      </c>
      <c r="BL86" s="3">
        <v>13.852691999999999</v>
      </c>
      <c r="BM86" s="3">
        <v>11.969839</v>
      </c>
      <c r="BN86" s="3">
        <v>11.715778</v>
      </c>
      <c r="BO86" s="3">
        <v>11.934056999999999</v>
      </c>
      <c r="BP86" s="3">
        <v>10.230316999999999</v>
      </c>
      <c r="BQ86" s="3">
        <v>13.428756</v>
      </c>
      <c r="BR86" s="3">
        <v>12.056976000000001</v>
      </c>
      <c r="BS86" s="3">
        <v>11.970739999999999</v>
      </c>
      <c r="BT86" s="3">
        <v>11.253871999999999</v>
      </c>
      <c r="BU86" s="3">
        <v>10.636585</v>
      </c>
      <c r="BV86" s="3">
        <v>15.601556</v>
      </c>
      <c r="BW86" s="3">
        <v>13.520375</v>
      </c>
      <c r="BX86" s="3">
        <v>10.698828000000001</v>
      </c>
      <c r="BY86" s="3">
        <v>13.633046</v>
      </c>
      <c r="BZ86" s="3">
        <v>11.638968</v>
      </c>
      <c r="CA86" s="3">
        <v>12.461684999999999</v>
      </c>
      <c r="CB86" s="3">
        <v>10.805856</v>
      </c>
      <c r="CC86" s="3">
        <v>14.777566999999999</v>
      </c>
      <c r="CD86" s="3">
        <v>13.268741</v>
      </c>
      <c r="CE86" s="3">
        <v>11.814093</v>
      </c>
      <c r="CF86" s="3">
        <v>11.210557</v>
      </c>
      <c r="CG86" s="3">
        <v>13.752345</v>
      </c>
      <c r="CH86" s="3">
        <v>14.495950000000001</v>
      </c>
      <c r="CI86" s="3">
        <v>11.96284</v>
      </c>
      <c r="CJ86" s="3">
        <v>14.069573</v>
      </c>
      <c r="CK86" s="3">
        <v>10.787006999999999</v>
      </c>
      <c r="CL86" s="3">
        <v>14.010652</v>
      </c>
      <c r="CM86" s="3">
        <v>13.10876</v>
      </c>
      <c r="CN86" s="3">
        <v>12.281169</v>
      </c>
      <c r="CO86" s="3">
        <v>10.688834</v>
      </c>
      <c r="CP86" s="3">
        <v>11.278556</v>
      </c>
      <c r="CQ86" s="3">
        <v>13.854620000000001</v>
      </c>
      <c r="CR86" s="3">
        <v>11.66297</v>
      </c>
      <c r="CS86" s="3">
        <v>13.431509999999999</v>
      </c>
      <c r="CT86" s="3">
        <v>12.630507</v>
      </c>
      <c r="CU86" s="3">
        <v>11.853965000000001</v>
      </c>
      <c r="CV86" s="3">
        <v>11.58709</v>
      </c>
      <c r="CW86" s="3">
        <v>12.595039999999999</v>
      </c>
      <c r="CX86" s="3">
        <v>13.781113</v>
      </c>
      <c r="CY86" s="3">
        <v>10.130236</v>
      </c>
      <c r="CZ86" s="3">
        <v>11.241747999999999</v>
      </c>
      <c r="DA86" s="3">
        <v>11.767946999999999</v>
      </c>
      <c r="DB86" s="3">
        <v>12.457064000000001</v>
      </c>
      <c r="DC86" s="3">
        <v>15.396421999999999</v>
      </c>
      <c r="DD86" s="3">
        <v>11.732875999999999</v>
      </c>
      <c r="DE86" s="3">
        <v>14.238308</v>
      </c>
      <c r="DF86" s="3">
        <v>13.431134999999999</v>
      </c>
      <c r="DG86" s="3">
        <v>12.250647000000001</v>
      </c>
      <c r="DH86" s="3">
        <v>11.766304</v>
      </c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</row>
    <row r="87" spans="2:207" x14ac:dyDescent="0.2">
      <c r="B87" s="2" t="s">
        <v>22</v>
      </c>
      <c r="G87" s="3"/>
      <c r="H87" s="3"/>
      <c r="I87" s="3"/>
      <c r="J87" s="3"/>
      <c r="K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</row>
    <row r="88" spans="2:207" x14ac:dyDescent="0.2">
      <c r="B88" s="2" t="s">
        <v>44</v>
      </c>
      <c r="D88" t="s">
        <v>4</v>
      </c>
      <c r="E88" t="s">
        <v>1</v>
      </c>
      <c r="F88">
        <f>COUNT(M88:GJ88)</f>
        <v>100</v>
      </c>
      <c r="G88" s="3">
        <f>AVERAGE(M88:GJ88)</f>
        <v>14.290666309999999</v>
      </c>
      <c r="H88" s="3">
        <f>MAX(M88:GJ88)</f>
        <v>17.727353999999998</v>
      </c>
      <c r="I88" s="3">
        <f>MIN(M88:GJ88)</f>
        <v>11.362195</v>
      </c>
      <c r="J88" s="3">
        <f>_xlfn.STDEV.P(M88:GJ88)</f>
        <v>1.2628111012524057</v>
      </c>
      <c r="K88" s="3">
        <f>_xlfn.VAR.S(M88:GJ88)</f>
        <v>1.6107998762083975</v>
      </c>
      <c r="M88" s="3">
        <v>15.685452</v>
      </c>
      <c r="N88" s="3">
        <v>14.883659</v>
      </c>
      <c r="O88" s="3">
        <v>13.684621999999999</v>
      </c>
      <c r="P88" s="3">
        <v>14.290150000000001</v>
      </c>
      <c r="Q88" s="3">
        <v>14.722429</v>
      </c>
      <c r="R88" s="3">
        <v>14.574643999999999</v>
      </c>
      <c r="S88" s="3">
        <v>13.465225999999999</v>
      </c>
      <c r="T88" s="3">
        <v>15.711781999999999</v>
      </c>
      <c r="U88" s="3">
        <v>15.001522</v>
      </c>
      <c r="V88" s="3">
        <v>15.320501999999999</v>
      </c>
      <c r="W88" s="3">
        <v>14.583698</v>
      </c>
      <c r="X88" s="3">
        <v>16.210245</v>
      </c>
      <c r="Y88" s="3">
        <v>14.823912999999999</v>
      </c>
      <c r="Z88" s="3">
        <v>13.259128</v>
      </c>
      <c r="AA88" s="3">
        <v>17.341052999999999</v>
      </c>
      <c r="AB88" s="3">
        <v>16.371690999999998</v>
      </c>
      <c r="AC88" s="3">
        <v>14.497507000000001</v>
      </c>
      <c r="AD88" s="3">
        <v>14.774010000000001</v>
      </c>
      <c r="AE88" s="3">
        <v>13.170738</v>
      </c>
      <c r="AF88" s="3">
        <v>14.61326</v>
      </c>
      <c r="AG88" s="3">
        <v>13.955451999999999</v>
      </c>
      <c r="AH88" s="3">
        <v>15.535807999999999</v>
      </c>
      <c r="AI88" s="3">
        <v>15.804708</v>
      </c>
      <c r="AJ88" s="3">
        <v>14.110785999999999</v>
      </c>
      <c r="AK88" s="3">
        <v>16.472716999999999</v>
      </c>
      <c r="AL88" s="3">
        <v>15.377672</v>
      </c>
      <c r="AM88" s="3">
        <v>13.710542</v>
      </c>
      <c r="AN88" s="3">
        <v>13.024861</v>
      </c>
      <c r="AO88" s="3">
        <v>13.649343</v>
      </c>
      <c r="AP88" s="3">
        <v>14.458920000000001</v>
      </c>
      <c r="AQ88" s="3">
        <v>13.808399</v>
      </c>
      <c r="AR88" s="3">
        <v>13.365019</v>
      </c>
      <c r="AS88" s="3">
        <v>15.967192000000001</v>
      </c>
      <c r="AT88" s="3">
        <v>17.727353999999998</v>
      </c>
      <c r="AU88" s="3">
        <v>16.175094999999999</v>
      </c>
      <c r="AV88" s="3">
        <v>13.480605000000001</v>
      </c>
      <c r="AW88" s="3">
        <v>14.539177</v>
      </c>
      <c r="AX88" s="3">
        <v>13.472882</v>
      </c>
      <c r="AY88" s="3">
        <v>13.818944999999999</v>
      </c>
      <c r="AZ88" s="3">
        <v>12.906003999999999</v>
      </c>
      <c r="BA88" s="3">
        <v>15.586909</v>
      </c>
      <c r="BB88" s="3">
        <v>15.146392000000001</v>
      </c>
      <c r="BC88" s="3">
        <v>14.437861</v>
      </c>
      <c r="BD88" s="3">
        <v>14.904842</v>
      </c>
      <c r="BE88" s="3">
        <v>16.857856999999999</v>
      </c>
      <c r="BF88" s="3">
        <v>15.443182999999999</v>
      </c>
      <c r="BG88" s="3">
        <v>14.388968999999999</v>
      </c>
      <c r="BH88" s="3">
        <v>14.169845</v>
      </c>
      <c r="BI88" s="3">
        <v>13.029211</v>
      </c>
      <c r="BJ88" s="3">
        <v>15.251749</v>
      </c>
      <c r="BK88" s="3">
        <v>13.507936000000001</v>
      </c>
      <c r="BL88" s="3">
        <v>12.247408999999999</v>
      </c>
      <c r="BM88" s="3">
        <v>13.281198</v>
      </c>
      <c r="BN88" s="3">
        <v>14.418873</v>
      </c>
      <c r="BO88" s="3">
        <v>12.50717</v>
      </c>
      <c r="BP88" s="3">
        <v>13.677642000000001</v>
      </c>
      <c r="BQ88" s="3">
        <v>13.967632999999999</v>
      </c>
      <c r="BR88" s="3">
        <v>13.755368000000001</v>
      </c>
      <c r="BS88" s="3">
        <v>13.290566</v>
      </c>
      <c r="BT88" s="3">
        <v>13.594172</v>
      </c>
      <c r="BU88" s="3">
        <v>12.453538999999999</v>
      </c>
      <c r="BV88" s="3">
        <v>11.522009000000001</v>
      </c>
      <c r="BW88" s="3">
        <v>13.998957000000001</v>
      </c>
      <c r="BX88" s="3">
        <v>14.368366999999999</v>
      </c>
      <c r="BY88" s="3">
        <v>15.761175</v>
      </c>
      <c r="BZ88" s="3">
        <v>14.571236000000001</v>
      </c>
      <c r="CA88" s="3">
        <v>13.206697</v>
      </c>
      <c r="CB88" s="3">
        <v>14.356842</v>
      </c>
      <c r="CC88" s="3">
        <v>14.985618000000001</v>
      </c>
      <c r="CD88" s="3">
        <v>13.35751</v>
      </c>
      <c r="CE88" s="3">
        <v>14.646646</v>
      </c>
      <c r="CF88" s="3">
        <v>13.371834</v>
      </c>
      <c r="CG88" s="3">
        <v>13.752867999999999</v>
      </c>
      <c r="CH88" s="3">
        <v>13.61735</v>
      </c>
      <c r="CI88" s="3">
        <v>12.650887000000001</v>
      </c>
      <c r="CJ88" s="3">
        <v>17.160765000000001</v>
      </c>
      <c r="CK88" s="3">
        <v>14.619258</v>
      </c>
      <c r="CL88" s="3">
        <v>16.130542999999999</v>
      </c>
      <c r="CM88" s="3">
        <v>13.86886</v>
      </c>
      <c r="CN88" s="3">
        <v>12.392215</v>
      </c>
      <c r="CO88" s="3">
        <v>13.579639</v>
      </c>
      <c r="CP88" s="3">
        <v>13.556011</v>
      </c>
      <c r="CQ88" s="3">
        <v>14.790921000000001</v>
      </c>
      <c r="CR88" s="3">
        <v>14.460580999999999</v>
      </c>
      <c r="CS88" s="3">
        <v>12.986806</v>
      </c>
      <c r="CT88" s="3">
        <v>13.937033</v>
      </c>
      <c r="CU88" s="3">
        <v>13.079872999999999</v>
      </c>
      <c r="CV88" s="3">
        <v>12.859477999999999</v>
      </c>
      <c r="CW88" s="3">
        <v>14.223679000000001</v>
      </c>
      <c r="CX88" s="3">
        <v>15.402979999999999</v>
      </c>
      <c r="CY88" s="3">
        <v>12.19097</v>
      </c>
      <c r="CZ88" s="3">
        <v>14.398837</v>
      </c>
      <c r="DA88" s="3">
        <v>15.61632</v>
      </c>
      <c r="DB88" s="3">
        <v>13.723964</v>
      </c>
      <c r="DC88" s="3">
        <v>14.194376999999999</v>
      </c>
      <c r="DD88" s="3">
        <v>16.924970999999999</v>
      </c>
      <c r="DE88" s="3">
        <v>12.935966000000001</v>
      </c>
      <c r="DF88" s="3">
        <v>12.137209</v>
      </c>
      <c r="DG88" s="3">
        <v>11.362195</v>
      </c>
      <c r="DH88" s="3">
        <v>14.100148000000001</v>
      </c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</row>
    <row r="89" spans="2:207" x14ac:dyDescent="0.2">
      <c r="G89" s="3"/>
      <c r="H89" s="3"/>
      <c r="I89" s="3"/>
      <c r="J89" s="3"/>
      <c r="K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</row>
    <row r="90" spans="2:207" x14ac:dyDescent="0.2">
      <c r="D90" t="s">
        <v>2</v>
      </c>
      <c r="E90" t="s">
        <v>1</v>
      </c>
      <c r="F90">
        <f>COUNT(M90:GJ90)</f>
        <v>100</v>
      </c>
      <c r="G90" s="3">
        <f>AVERAGE(M90:GJ90)</f>
        <v>14.112685010000002</v>
      </c>
      <c r="H90" s="3">
        <f>MAX(M90:GJ90)</f>
        <v>18.209143000000001</v>
      </c>
      <c r="I90" s="3">
        <f>MIN(M90:GJ90)</f>
        <v>11.811965000000001</v>
      </c>
      <c r="J90" s="3">
        <f>_xlfn.STDEV.P(M90:GJ90)</f>
        <v>1.0869521140349148</v>
      </c>
      <c r="K90" s="3">
        <f>_xlfn.VAR.S(M90:GJ90)</f>
        <v>1.1933988870757275</v>
      </c>
      <c r="M90" s="3">
        <v>15.853752999999999</v>
      </c>
      <c r="N90" s="3">
        <v>12.399440999999999</v>
      </c>
      <c r="O90" s="3">
        <v>13.547605000000001</v>
      </c>
      <c r="P90" s="3">
        <v>13.107808</v>
      </c>
      <c r="Q90" s="3">
        <v>15.114623</v>
      </c>
      <c r="R90" s="3">
        <v>13.020294</v>
      </c>
      <c r="S90" s="3">
        <v>14.761127999999999</v>
      </c>
      <c r="T90" s="3">
        <v>15.758239</v>
      </c>
      <c r="U90" s="3">
        <v>13.157693999999999</v>
      </c>
      <c r="V90" s="3">
        <v>13.386763999999999</v>
      </c>
      <c r="W90" s="3">
        <v>13.299861</v>
      </c>
      <c r="X90" s="3">
        <v>13.301869999999999</v>
      </c>
      <c r="Y90" s="3">
        <v>15.240309</v>
      </c>
      <c r="Z90" s="3">
        <v>16.201487</v>
      </c>
      <c r="AA90" s="3">
        <v>12.680711000000001</v>
      </c>
      <c r="AB90" s="3">
        <v>14.805652</v>
      </c>
      <c r="AC90" s="3">
        <v>13.969440000000001</v>
      </c>
      <c r="AD90" s="3">
        <v>13.604181000000001</v>
      </c>
      <c r="AE90" s="3">
        <v>14.938958</v>
      </c>
      <c r="AF90" s="3">
        <v>15.625035</v>
      </c>
      <c r="AG90" s="3">
        <v>14.055896000000001</v>
      </c>
      <c r="AH90" s="3">
        <v>12.467394000000001</v>
      </c>
      <c r="AI90" s="3">
        <v>15.137890000000001</v>
      </c>
      <c r="AJ90" s="3">
        <v>12.610509</v>
      </c>
      <c r="AK90" s="3">
        <v>13.308002</v>
      </c>
      <c r="AL90" s="3">
        <v>15.489369</v>
      </c>
      <c r="AM90" s="3">
        <v>15.258065</v>
      </c>
      <c r="AN90" s="3">
        <v>14.846403</v>
      </c>
      <c r="AO90" s="3">
        <v>14.528805</v>
      </c>
      <c r="AP90" s="3">
        <v>14.242672000000001</v>
      </c>
      <c r="AQ90" s="3">
        <v>13.203497</v>
      </c>
      <c r="AR90" s="3">
        <v>14.621123000000001</v>
      </c>
      <c r="AS90" s="3">
        <v>14.485616</v>
      </c>
      <c r="AT90" s="3">
        <v>12.954596</v>
      </c>
      <c r="AU90" s="3">
        <v>14.458292</v>
      </c>
      <c r="AV90" s="3">
        <v>14.774317</v>
      </c>
      <c r="AW90" s="3">
        <v>14.072488999999999</v>
      </c>
      <c r="AX90" s="3">
        <v>14.598451000000001</v>
      </c>
      <c r="AY90" s="3">
        <v>12.106995</v>
      </c>
      <c r="AZ90" s="3">
        <v>14.687644000000001</v>
      </c>
      <c r="BA90" s="3">
        <v>14.889842</v>
      </c>
      <c r="BB90" s="3">
        <v>14.594277</v>
      </c>
      <c r="BC90" s="3">
        <v>18.209143000000001</v>
      </c>
      <c r="BD90" s="3">
        <v>14.254858</v>
      </c>
      <c r="BE90" s="3">
        <v>12.484420999999999</v>
      </c>
      <c r="BF90" s="3">
        <v>14.141128999999999</v>
      </c>
      <c r="BG90" s="3">
        <v>12.745262</v>
      </c>
      <c r="BH90" s="3">
        <v>13.461596999999999</v>
      </c>
      <c r="BI90" s="3">
        <v>16.893837000000001</v>
      </c>
      <c r="BJ90" s="3">
        <v>12.734608</v>
      </c>
      <c r="BK90" s="3">
        <v>14.130580999999999</v>
      </c>
      <c r="BL90" s="3">
        <v>12.651346</v>
      </c>
      <c r="BM90" s="3">
        <v>14.392659</v>
      </c>
      <c r="BN90" s="3">
        <v>13.500767</v>
      </c>
      <c r="BO90" s="3">
        <v>14.210217999999999</v>
      </c>
      <c r="BP90" s="3">
        <v>12.110467999999999</v>
      </c>
      <c r="BQ90" s="3">
        <v>13.646239</v>
      </c>
      <c r="BR90" s="3">
        <v>14.805457000000001</v>
      </c>
      <c r="BS90" s="3">
        <v>13.256717999999999</v>
      </c>
      <c r="BT90" s="3">
        <v>13.127487</v>
      </c>
      <c r="BU90" s="3">
        <v>14.151913</v>
      </c>
      <c r="BV90" s="3">
        <v>12.306407</v>
      </c>
      <c r="BW90" s="3">
        <v>13.740891</v>
      </c>
      <c r="BX90" s="3">
        <v>13.199532</v>
      </c>
      <c r="BY90" s="3">
        <v>15.269914999999999</v>
      </c>
      <c r="BZ90" s="3">
        <v>13.927528000000001</v>
      </c>
      <c r="CA90" s="3">
        <v>15.311754000000001</v>
      </c>
      <c r="CB90" s="3">
        <v>13.310461</v>
      </c>
      <c r="CC90" s="3">
        <v>14.127274999999999</v>
      </c>
      <c r="CD90" s="3">
        <v>14.820397</v>
      </c>
      <c r="CE90" s="3">
        <v>13.62411</v>
      </c>
      <c r="CF90" s="3">
        <v>15.278235</v>
      </c>
      <c r="CG90" s="3">
        <v>13.099708</v>
      </c>
      <c r="CH90" s="3">
        <v>12.373922</v>
      </c>
      <c r="CI90" s="3">
        <v>13.360995000000001</v>
      </c>
      <c r="CJ90" s="3">
        <v>14.737297999999999</v>
      </c>
      <c r="CK90" s="3">
        <v>13.615304999999999</v>
      </c>
      <c r="CL90" s="3">
        <v>14.658920999999999</v>
      </c>
      <c r="CM90" s="3">
        <v>13.548446</v>
      </c>
      <c r="CN90" s="3">
        <v>13.531587999999999</v>
      </c>
      <c r="CO90" s="3">
        <v>14.425217</v>
      </c>
      <c r="CP90" s="3">
        <v>15.052676</v>
      </c>
      <c r="CQ90" s="3">
        <v>15.116978</v>
      </c>
      <c r="CR90" s="3">
        <v>13.938815</v>
      </c>
      <c r="CS90" s="3">
        <v>15.422465000000001</v>
      </c>
      <c r="CT90" s="3">
        <v>14.875591</v>
      </c>
      <c r="CU90" s="3">
        <v>13.936256999999999</v>
      </c>
      <c r="CV90" s="3">
        <v>13.472808000000001</v>
      </c>
      <c r="CW90" s="3">
        <v>15.667203000000001</v>
      </c>
      <c r="CX90" s="3">
        <v>14.305946</v>
      </c>
      <c r="CY90" s="3">
        <v>14.951276</v>
      </c>
      <c r="CZ90" s="3">
        <v>14.370435000000001</v>
      </c>
      <c r="DA90" s="3">
        <v>13.433770000000001</v>
      </c>
      <c r="DB90" s="3">
        <v>14.293991999999999</v>
      </c>
      <c r="DC90" s="3">
        <v>15.192914</v>
      </c>
      <c r="DD90" s="3">
        <v>14.725598</v>
      </c>
      <c r="DE90" s="3">
        <v>13.573447</v>
      </c>
      <c r="DF90" s="3">
        <v>14.215933</v>
      </c>
      <c r="DG90" s="3">
        <v>11.811965000000001</v>
      </c>
      <c r="DH90" s="3">
        <v>14.566822</v>
      </c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</row>
    <row r="91" spans="2:207" x14ac:dyDescent="0.2">
      <c r="G91" s="3"/>
      <c r="H91" s="3"/>
      <c r="I91" s="3"/>
      <c r="J91" s="3"/>
      <c r="K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</row>
    <row r="92" spans="2:207" x14ac:dyDescent="0.2">
      <c r="D92" t="s">
        <v>5</v>
      </c>
      <c r="E92" t="s">
        <v>1</v>
      </c>
      <c r="F92">
        <f>COUNT(M92:GJ92)</f>
        <v>100</v>
      </c>
      <c r="G92" s="3">
        <f>AVERAGE(M92:GJ92)</f>
        <v>13.740401269999998</v>
      </c>
      <c r="H92" s="3">
        <f>MAX(M92:GJ92)</f>
        <v>17.270092000000002</v>
      </c>
      <c r="I92" s="3">
        <f>MIN(M92:GJ92)</f>
        <v>11.183228</v>
      </c>
      <c r="J92" s="3">
        <f>_xlfn.STDEV.P(M92:GJ92)</f>
        <v>1.5962424475073931</v>
      </c>
      <c r="K92" s="3">
        <f>_xlfn.VAR.S(M92:GJ92)</f>
        <v>2.5737272234589983</v>
      </c>
      <c r="M92" s="3">
        <v>12.187881000000001</v>
      </c>
      <c r="N92" s="3">
        <v>16.204622000000001</v>
      </c>
      <c r="O92" s="3">
        <v>13.365038</v>
      </c>
      <c r="P92" s="3">
        <v>12.552671999999999</v>
      </c>
      <c r="Q92" s="3">
        <v>11.544753999999999</v>
      </c>
      <c r="R92" s="3">
        <v>12.991740999999999</v>
      </c>
      <c r="S92" s="3">
        <v>13.080482</v>
      </c>
      <c r="T92" s="3">
        <v>15.302799</v>
      </c>
      <c r="U92" s="3">
        <v>13.00867</v>
      </c>
      <c r="V92" s="3">
        <v>13.818247</v>
      </c>
      <c r="W92" s="3">
        <v>16.235932999999999</v>
      </c>
      <c r="X92" s="3">
        <v>11.452064999999999</v>
      </c>
      <c r="Y92" s="3">
        <v>11.76957</v>
      </c>
      <c r="Z92" s="3">
        <v>15.073776000000001</v>
      </c>
      <c r="AA92" s="3">
        <v>13.7905</v>
      </c>
      <c r="AB92" s="3">
        <v>12.568762</v>
      </c>
      <c r="AC92" s="3">
        <v>12.729067000000001</v>
      </c>
      <c r="AD92" s="3">
        <v>15.14935</v>
      </c>
      <c r="AE92" s="3">
        <v>12.490176</v>
      </c>
      <c r="AF92" s="3">
        <v>16.183053999999998</v>
      </c>
      <c r="AG92" s="3">
        <v>15.626372999999999</v>
      </c>
      <c r="AH92" s="3">
        <v>11.183228</v>
      </c>
      <c r="AI92" s="3">
        <v>12.50337</v>
      </c>
      <c r="AJ92" s="3">
        <v>12.14564</v>
      </c>
      <c r="AK92" s="3">
        <v>14.345331</v>
      </c>
      <c r="AL92" s="3">
        <v>12.493589999999999</v>
      </c>
      <c r="AM92" s="3">
        <v>14.765679</v>
      </c>
      <c r="AN92" s="3">
        <v>16.01079</v>
      </c>
      <c r="AO92" s="3">
        <v>12.044198</v>
      </c>
      <c r="AP92" s="3">
        <v>11.681952000000001</v>
      </c>
      <c r="AQ92" s="3">
        <v>12.333853</v>
      </c>
      <c r="AR92" s="3">
        <v>11.872602000000001</v>
      </c>
      <c r="AS92" s="3">
        <v>15.867787999999999</v>
      </c>
      <c r="AT92" s="3">
        <v>13.809923</v>
      </c>
      <c r="AU92" s="3">
        <v>14.040217999999999</v>
      </c>
      <c r="AV92" s="3">
        <v>15.177873</v>
      </c>
      <c r="AW92" s="3">
        <v>12.051195999999999</v>
      </c>
      <c r="AX92" s="3">
        <v>12.429173</v>
      </c>
      <c r="AY92" s="3">
        <v>15.608542</v>
      </c>
      <c r="AZ92" s="3">
        <v>14.195067</v>
      </c>
      <c r="BA92" s="3">
        <v>15.865947</v>
      </c>
      <c r="BB92" s="3">
        <v>12.493935</v>
      </c>
      <c r="BC92" s="3">
        <v>15.063511999999999</v>
      </c>
      <c r="BD92" s="3">
        <v>11.500548</v>
      </c>
      <c r="BE92" s="3">
        <v>15.258300999999999</v>
      </c>
      <c r="BF92" s="3">
        <v>15.949325</v>
      </c>
      <c r="BG92" s="3">
        <v>12.44183</v>
      </c>
      <c r="BH92" s="3">
        <v>11.691682</v>
      </c>
      <c r="BI92" s="3">
        <v>12.736862</v>
      </c>
      <c r="BJ92" s="3">
        <v>14.160069999999999</v>
      </c>
      <c r="BK92" s="3">
        <v>12.400194000000001</v>
      </c>
      <c r="BL92" s="3">
        <v>15.949589</v>
      </c>
      <c r="BM92" s="3">
        <v>15.19271</v>
      </c>
      <c r="BN92" s="3">
        <v>12.500942</v>
      </c>
      <c r="BO92" s="3">
        <v>13.095193</v>
      </c>
      <c r="BP92" s="3">
        <v>12.111962</v>
      </c>
      <c r="BQ92" s="3">
        <v>14.597163</v>
      </c>
      <c r="BR92" s="3">
        <v>14.344442000000001</v>
      </c>
      <c r="BS92" s="3">
        <v>13.729425000000001</v>
      </c>
      <c r="BT92" s="3">
        <v>13.564131</v>
      </c>
      <c r="BU92" s="3">
        <v>14.454618999999999</v>
      </c>
      <c r="BV92" s="3">
        <v>12.587989</v>
      </c>
      <c r="BW92" s="3">
        <v>16.937222999999999</v>
      </c>
      <c r="BX92" s="3">
        <v>13.677932999999999</v>
      </c>
      <c r="BY92" s="3">
        <v>13.005655000000001</v>
      </c>
      <c r="BZ92" s="3">
        <v>16.489716999999999</v>
      </c>
      <c r="CA92" s="3">
        <v>11.844614</v>
      </c>
      <c r="CB92" s="3">
        <v>14.454924</v>
      </c>
      <c r="CC92" s="3">
        <v>11.406385</v>
      </c>
      <c r="CD92" s="3">
        <v>15.880523999999999</v>
      </c>
      <c r="CE92" s="3">
        <v>15.655125</v>
      </c>
      <c r="CF92" s="3">
        <v>13.737012</v>
      </c>
      <c r="CG92" s="3">
        <v>14.720516</v>
      </c>
      <c r="CH92" s="3">
        <v>13.170662</v>
      </c>
      <c r="CI92" s="3">
        <v>13.396589000000001</v>
      </c>
      <c r="CJ92" s="3">
        <v>13.05917</v>
      </c>
      <c r="CK92" s="3">
        <v>16.691956999999999</v>
      </c>
      <c r="CL92" s="3">
        <v>13.636227999999999</v>
      </c>
      <c r="CM92" s="3">
        <v>12.614366</v>
      </c>
      <c r="CN92" s="3">
        <v>13.36923</v>
      </c>
      <c r="CO92" s="3">
        <v>12.147933999999999</v>
      </c>
      <c r="CP92" s="3">
        <v>14.307762</v>
      </c>
      <c r="CQ92" s="3">
        <v>14.272459</v>
      </c>
      <c r="CR92" s="3">
        <v>12.835069000000001</v>
      </c>
      <c r="CS92" s="3">
        <v>14.060893</v>
      </c>
      <c r="CT92" s="3">
        <v>16.209275999999999</v>
      </c>
      <c r="CU92" s="3">
        <v>11.62025</v>
      </c>
      <c r="CV92" s="3">
        <v>12.607913999999999</v>
      </c>
      <c r="CW92" s="3">
        <v>15.308558</v>
      </c>
      <c r="CX92" s="3">
        <v>12.800818</v>
      </c>
      <c r="CY92" s="3">
        <v>17.270092000000002</v>
      </c>
      <c r="CZ92" s="3">
        <v>12.185608</v>
      </c>
      <c r="DA92" s="3">
        <v>16.597532000000001</v>
      </c>
      <c r="DB92" s="3">
        <v>11.572303</v>
      </c>
      <c r="DC92" s="3">
        <v>16.350200999999998</v>
      </c>
      <c r="DD92" s="3">
        <v>16.122085999999999</v>
      </c>
      <c r="DE92" s="3">
        <v>12.793765</v>
      </c>
      <c r="DF92" s="3">
        <v>13.28539</v>
      </c>
      <c r="DG92" s="3">
        <v>12.868626000000001</v>
      </c>
      <c r="DH92" s="3">
        <v>11.699845</v>
      </c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</row>
    <row r="93" spans="2:207" x14ac:dyDescent="0.2">
      <c r="G93" s="3"/>
      <c r="H93" s="3"/>
      <c r="I93" s="3"/>
      <c r="J93" s="3"/>
      <c r="K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</row>
    <row r="94" spans="2:207" x14ac:dyDescent="0.2">
      <c r="D94" t="s">
        <v>6</v>
      </c>
      <c r="E94" t="s">
        <v>1</v>
      </c>
      <c r="F94">
        <f>COUNT(M94:GJ94)</f>
        <v>100</v>
      </c>
      <c r="G94" s="3">
        <f>AVERAGE(M94:GJ94)</f>
        <v>11.845323390000001</v>
      </c>
      <c r="H94" s="3">
        <f>MAX(M94:GJ94)</f>
        <v>17.036783</v>
      </c>
      <c r="I94" s="3">
        <f>MIN(M94:GJ94)</f>
        <v>7.3790089999999999</v>
      </c>
      <c r="J94" s="3">
        <f>_xlfn.STDEV.P(M94:GJ94)</f>
        <v>1.6723056082344807</v>
      </c>
      <c r="K94" s="3">
        <f>_xlfn.VAR.S(M94:GJ94)</f>
        <v>2.824854593265131</v>
      </c>
      <c r="M94" s="3">
        <v>13.66118</v>
      </c>
      <c r="N94" s="3">
        <v>11.341692</v>
      </c>
      <c r="O94" s="3">
        <v>12.293685</v>
      </c>
      <c r="P94" s="3">
        <v>9.3721949999999996</v>
      </c>
      <c r="Q94" s="3">
        <v>14.419357</v>
      </c>
      <c r="R94" s="3">
        <v>10.814420999999999</v>
      </c>
      <c r="S94" s="3">
        <v>13.279532</v>
      </c>
      <c r="T94" s="3">
        <v>13.550530999999999</v>
      </c>
      <c r="U94" s="3">
        <v>12.854383</v>
      </c>
      <c r="V94" s="3">
        <v>13.799996</v>
      </c>
      <c r="W94" s="3">
        <v>7.3790089999999999</v>
      </c>
      <c r="X94" s="3">
        <v>17.036783</v>
      </c>
      <c r="Y94" s="3">
        <v>10.800539000000001</v>
      </c>
      <c r="Z94" s="3">
        <v>10.406415000000001</v>
      </c>
      <c r="AA94" s="3">
        <v>10.226689</v>
      </c>
      <c r="AB94" s="3">
        <v>14.183555999999999</v>
      </c>
      <c r="AC94" s="3">
        <v>12.065948000000001</v>
      </c>
      <c r="AD94" s="3">
        <v>13.285482</v>
      </c>
      <c r="AE94" s="3">
        <v>9.6129829999999998</v>
      </c>
      <c r="AF94" s="3">
        <v>12.458515</v>
      </c>
      <c r="AG94" s="3">
        <v>9.453417</v>
      </c>
      <c r="AH94" s="3">
        <v>12.556127999999999</v>
      </c>
      <c r="AI94" s="3">
        <v>11.660494999999999</v>
      </c>
      <c r="AJ94" s="3">
        <v>10.057733000000001</v>
      </c>
      <c r="AK94" s="3">
        <v>11.747318999999999</v>
      </c>
      <c r="AL94" s="3">
        <v>13.25938</v>
      </c>
      <c r="AM94" s="3">
        <v>11.177924000000001</v>
      </c>
      <c r="AN94" s="3">
        <v>11.366531</v>
      </c>
      <c r="AO94" s="3">
        <v>10.373576999999999</v>
      </c>
      <c r="AP94" s="3">
        <v>12.752678</v>
      </c>
      <c r="AQ94" s="3">
        <v>12.999670999999999</v>
      </c>
      <c r="AR94" s="3">
        <v>14.63827</v>
      </c>
      <c r="AS94" s="3">
        <v>13.344778</v>
      </c>
      <c r="AT94" s="3">
        <v>12.034286</v>
      </c>
      <c r="AU94" s="3">
        <v>13.509672999999999</v>
      </c>
      <c r="AV94" s="3">
        <v>10.328473000000001</v>
      </c>
      <c r="AW94" s="3">
        <v>13.093508999999999</v>
      </c>
      <c r="AX94" s="3">
        <v>9.0732499999999998</v>
      </c>
      <c r="AY94" s="3">
        <v>10.343406</v>
      </c>
      <c r="AZ94" s="3">
        <v>10.713509999999999</v>
      </c>
      <c r="BA94" s="3">
        <v>11.547323</v>
      </c>
      <c r="BB94" s="3">
        <v>12.701542999999999</v>
      </c>
      <c r="BC94" s="3">
        <v>12.46895</v>
      </c>
      <c r="BD94" s="3">
        <v>9.4699399999999994</v>
      </c>
      <c r="BE94" s="3">
        <v>11.777998999999999</v>
      </c>
      <c r="BF94" s="3">
        <v>9.9294469999999997</v>
      </c>
      <c r="BG94" s="3">
        <v>12.087529</v>
      </c>
      <c r="BH94" s="3">
        <v>10.868271</v>
      </c>
      <c r="BI94" s="3">
        <v>11.464732</v>
      </c>
      <c r="BJ94" s="3">
        <v>11.755329</v>
      </c>
      <c r="BK94" s="3">
        <v>13.90588</v>
      </c>
      <c r="BL94" s="3">
        <v>11.819288999999999</v>
      </c>
      <c r="BM94" s="3">
        <v>11.965161</v>
      </c>
      <c r="BN94" s="3">
        <v>9.3468509999999991</v>
      </c>
      <c r="BO94" s="3">
        <v>12.322990000000001</v>
      </c>
      <c r="BP94" s="3">
        <v>12.184665000000001</v>
      </c>
      <c r="BQ94" s="3">
        <v>12.163152999999999</v>
      </c>
      <c r="BR94" s="3">
        <v>13.447414999999999</v>
      </c>
      <c r="BS94" s="3">
        <v>12.28063</v>
      </c>
      <c r="BT94" s="3">
        <v>13.799033</v>
      </c>
      <c r="BU94" s="3">
        <v>10.302852</v>
      </c>
      <c r="BV94" s="3">
        <v>15.211631000000001</v>
      </c>
      <c r="BW94" s="3">
        <v>10.918699</v>
      </c>
      <c r="BX94" s="3">
        <v>9.4058589999999995</v>
      </c>
      <c r="BY94" s="3">
        <v>10.687778</v>
      </c>
      <c r="BZ94" s="3">
        <v>13.671621999999999</v>
      </c>
      <c r="CA94" s="3">
        <v>11.867476</v>
      </c>
      <c r="CB94" s="3">
        <v>13.064916</v>
      </c>
      <c r="CC94" s="3">
        <v>10.605878000000001</v>
      </c>
      <c r="CD94" s="3">
        <v>12.329433</v>
      </c>
      <c r="CE94" s="3">
        <v>8.8172990000000002</v>
      </c>
      <c r="CF94" s="3">
        <v>12.554392999999999</v>
      </c>
      <c r="CG94" s="3">
        <v>11.605122</v>
      </c>
      <c r="CH94" s="3">
        <v>10.266415</v>
      </c>
      <c r="CI94" s="3">
        <v>12.222110000000001</v>
      </c>
      <c r="CJ94" s="3">
        <v>15.773168999999999</v>
      </c>
      <c r="CK94" s="3">
        <v>13.51722</v>
      </c>
      <c r="CL94" s="3">
        <v>11.088614</v>
      </c>
      <c r="CM94" s="3">
        <v>11.754777000000001</v>
      </c>
      <c r="CN94" s="3">
        <v>13.057952999999999</v>
      </c>
      <c r="CO94" s="3">
        <v>11.524158</v>
      </c>
      <c r="CP94" s="3">
        <v>14.255725</v>
      </c>
      <c r="CQ94" s="3">
        <v>13.125043</v>
      </c>
      <c r="CR94" s="3">
        <v>11.692467000000001</v>
      </c>
      <c r="CS94" s="3">
        <v>12.642735</v>
      </c>
      <c r="CT94" s="3">
        <v>9.2149029999999996</v>
      </c>
      <c r="CU94" s="3">
        <v>12.261639000000001</v>
      </c>
      <c r="CV94" s="3">
        <v>10.268217</v>
      </c>
      <c r="CW94" s="3">
        <v>9.6776809999999998</v>
      </c>
      <c r="CX94" s="3">
        <v>10.09526</v>
      </c>
      <c r="CY94" s="3">
        <v>11.706683999999999</v>
      </c>
      <c r="CZ94" s="3">
        <v>11.732732</v>
      </c>
      <c r="DA94" s="3">
        <v>14.316088000000001</v>
      </c>
      <c r="DB94" s="3">
        <v>9.4902580000000007</v>
      </c>
      <c r="DC94" s="3">
        <v>12.170878999999999</v>
      </c>
      <c r="DD94" s="3">
        <v>8.6280020000000004</v>
      </c>
      <c r="DE94" s="3">
        <v>12.951943</v>
      </c>
      <c r="DF94" s="3">
        <v>10.507173999999999</v>
      </c>
      <c r="DG94" s="3">
        <v>11.952838</v>
      </c>
      <c r="DH94" s="3">
        <v>12.961668</v>
      </c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Meiser</dc:creator>
  <cp:lastModifiedBy>Michael Meiser</cp:lastModifiedBy>
  <dcterms:created xsi:type="dcterms:W3CDTF">2022-05-13T08:47:45Z</dcterms:created>
  <dcterms:modified xsi:type="dcterms:W3CDTF">2026-03-05T19:26:07Z</dcterms:modified>
</cp:coreProperties>
</file>