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me02/Documents/SynTiSeD_data/r+r/"/>
    </mc:Choice>
  </mc:AlternateContent>
  <xr:revisionPtr revIDLastSave="0" documentId="13_ncr:1_{31C9DA0F-B7A1-A74B-8559-AD4B96AA1C60}" xr6:coauthVersionLast="47" xr6:coauthVersionMax="47" xr10:uidLastSave="{00000000-0000-0000-0000-000000000000}"/>
  <bookViews>
    <workbookView xWindow="47660" yWindow="8340" windowWidth="29040" windowHeight="17640" xr2:uid="{FC2E3554-D7D3-4A9E-B1F9-EEFBB52B23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95" i="1" l="1"/>
  <c r="J95" i="1"/>
  <c r="I95" i="1"/>
  <c r="H95" i="1"/>
  <c r="G95" i="1"/>
  <c r="F95" i="1"/>
  <c r="K93" i="1"/>
  <c r="J93" i="1"/>
  <c r="I93" i="1"/>
  <c r="H93" i="1"/>
  <c r="G93" i="1"/>
  <c r="F93" i="1"/>
  <c r="K91" i="1"/>
  <c r="J91" i="1"/>
  <c r="I91" i="1"/>
  <c r="H91" i="1"/>
  <c r="G91" i="1"/>
  <c r="F91" i="1"/>
  <c r="K89" i="1"/>
  <c r="J89" i="1"/>
  <c r="I89" i="1"/>
  <c r="H89" i="1"/>
  <c r="G89" i="1"/>
  <c r="F89" i="1"/>
  <c r="K87" i="1"/>
  <c r="J87" i="1"/>
  <c r="I87" i="1"/>
  <c r="H87" i="1"/>
  <c r="G87" i="1"/>
  <c r="F87" i="1"/>
  <c r="K83" i="1"/>
  <c r="J83" i="1"/>
  <c r="I83" i="1"/>
  <c r="H83" i="1"/>
  <c r="G83" i="1"/>
  <c r="F83" i="1"/>
  <c r="K81" i="1"/>
  <c r="J81" i="1"/>
  <c r="I81" i="1"/>
  <c r="H81" i="1"/>
  <c r="G81" i="1"/>
  <c r="F81" i="1"/>
  <c r="K79" i="1"/>
  <c r="J79" i="1"/>
  <c r="I79" i="1"/>
  <c r="H79" i="1"/>
  <c r="G79" i="1"/>
  <c r="F79" i="1"/>
  <c r="K77" i="1"/>
  <c r="J77" i="1"/>
  <c r="I77" i="1"/>
  <c r="H77" i="1"/>
  <c r="G77" i="1"/>
  <c r="F77" i="1"/>
  <c r="K75" i="1"/>
  <c r="J75" i="1"/>
  <c r="I75" i="1"/>
  <c r="H75" i="1"/>
  <c r="G75" i="1"/>
  <c r="F75" i="1"/>
  <c r="K71" i="1"/>
  <c r="J71" i="1"/>
  <c r="I71" i="1"/>
  <c r="H71" i="1"/>
  <c r="G71" i="1"/>
  <c r="F71" i="1"/>
  <c r="K69" i="1"/>
  <c r="J69" i="1"/>
  <c r="I69" i="1"/>
  <c r="H69" i="1"/>
  <c r="G69" i="1"/>
  <c r="F69" i="1"/>
  <c r="K67" i="1"/>
  <c r="J67" i="1"/>
  <c r="I67" i="1"/>
  <c r="H67" i="1"/>
  <c r="G67" i="1"/>
  <c r="F67" i="1"/>
  <c r="K65" i="1"/>
  <c r="J65" i="1"/>
  <c r="I65" i="1"/>
  <c r="H65" i="1"/>
  <c r="G65" i="1"/>
  <c r="F65" i="1"/>
  <c r="K63" i="1"/>
  <c r="J63" i="1"/>
  <c r="I63" i="1"/>
  <c r="H63" i="1"/>
  <c r="G63" i="1"/>
  <c r="F63" i="1"/>
  <c r="K59" i="1"/>
  <c r="J59" i="1"/>
  <c r="I59" i="1"/>
  <c r="H59" i="1"/>
  <c r="G59" i="1"/>
  <c r="F59" i="1"/>
  <c r="K57" i="1"/>
  <c r="J57" i="1"/>
  <c r="I57" i="1"/>
  <c r="H57" i="1"/>
  <c r="G57" i="1"/>
  <c r="F57" i="1"/>
  <c r="K55" i="1"/>
  <c r="J55" i="1"/>
  <c r="I55" i="1"/>
  <c r="H55" i="1"/>
  <c r="G55" i="1"/>
  <c r="F55" i="1"/>
  <c r="K53" i="1"/>
  <c r="J53" i="1"/>
  <c r="I53" i="1"/>
  <c r="H53" i="1"/>
  <c r="G53" i="1"/>
  <c r="F53" i="1"/>
  <c r="K51" i="1"/>
  <c r="J51" i="1"/>
  <c r="I51" i="1"/>
  <c r="H51" i="1"/>
  <c r="G51" i="1"/>
  <c r="F51" i="1"/>
  <c r="F15" i="1"/>
  <c r="G15" i="1"/>
  <c r="H15" i="1"/>
  <c r="I15" i="1"/>
  <c r="J15" i="1"/>
  <c r="K15" i="1"/>
  <c r="F17" i="1"/>
  <c r="G17" i="1"/>
  <c r="H17" i="1"/>
  <c r="I17" i="1"/>
  <c r="J17" i="1"/>
  <c r="K17" i="1"/>
  <c r="F19" i="1"/>
  <c r="G19" i="1"/>
  <c r="H19" i="1"/>
  <c r="I19" i="1"/>
  <c r="J19" i="1"/>
  <c r="K19" i="1"/>
  <c r="K47" i="1"/>
  <c r="J47" i="1"/>
  <c r="I47" i="1"/>
  <c r="H47" i="1"/>
  <c r="G47" i="1"/>
  <c r="F47" i="1"/>
  <c r="K45" i="1"/>
  <c r="J45" i="1"/>
  <c r="I45" i="1"/>
  <c r="H45" i="1"/>
  <c r="G45" i="1"/>
  <c r="F45" i="1"/>
  <c r="K43" i="1"/>
  <c r="J43" i="1"/>
  <c r="I43" i="1"/>
  <c r="H43" i="1"/>
  <c r="G43" i="1"/>
  <c r="F43" i="1"/>
  <c r="K41" i="1"/>
  <c r="J41" i="1"/>
  <c r="I41" i="1"/>
  <c r="H41" i="1"/>
  <c r="G41" i="1"/>
  <c r="F41" i="1"/>
  <c r="K39" i="1"/>
  <c r="J39" i="1"/>
  <c r="I39" i="1"/>
  <c r="H39" i="1"/>
  <c r="G39" i="1"/>
  <c r="F39" i="1"/>
  <c r="K35" i="1"/>
  <c r="J35" i="1"/>
  <c r="I35" i="1"/>
  <c r="H35" i="1"/>
  <c r="G35" i="1"/>
  <c r="F35" i="1"/>
  <c r="K33" i="1"/>
  <c r="J33" i="1"/>
  <c r="I33" i="1"/>
  <c r="H33" i="1"/>
  <c r="G33" i="1"/>
  <c r="F33" i="1"/>
  <c r="K31" i="1"/>
  <c r="J31" i="1"/>
  <c r="I31" i="1"/>
  <c r="H31" i="1"/>
  <c r="G31" i="1"/>
  <c r="F31" i="1"/>
  <c r="K29" i="1"/>
  <c r="J29" i="1"/>
  <c r="I29" i="1"/>
  <c r="H29" i="1"/>
  <c r="G29" i="1"/>
  <c r="F29" i="1"/>
  <c r="K27" i="1"/>
  <c r="J27" i="1"/>
  <c r="I27" i="1"/>
  <c r="H27" i="1"/>
  <c r="G27" i="1"/>
  <c r="F27" i="1"/>
  <c r="K23" i="1"/>
  <c r="J23" i="1"/>
  <c r="I23" i="1"/>
  <c r="H23" i="1"/>
  <c r="G23" i="1"/>
  <c r="F23" i="1"/>
  <c r="K21" i="1"/>
  <c r="J21" i="1"/>
  <c r="I21" i="1"/>
  <c r="H21" i="1"/>
  <c r="G21" i="1"/>
  <c r="F21" i="1"/>
  <c r="G11" i="1" l="1"/>
  <c r="G9" i="1"/>
  <c r="G7" i="1"/>
  <c r="G8" i="1"/>
  <c r="G10" i="1"/>
</calcChain>
</file>

<file path=xl/sharedStrings.xml><?xml version="1.0" encoding="utf-8"?>
<sst xmlns="http://schemas.openxmlformats.org/spreadsheetml/2006/main" count="138" uniqueCount="66">
  <si>
    <t>Konfig:</t>
  </si>
  <si>
    <t>MAE</t>
  </si>
  <si>
    <t>DAE</t>
  </si>
  <si>
    <t>RNN</t>
  </si>
  <si>
    <t>WindowGRU</t>
  </si>
  <si>
    <t>Seq2Seq</t>
  </si>
  <si>
    <t>Seq2Point</t>
  </si>
  <si>
    <t>für alle Algorithmen stardart NILM settings</t>
  </si>
  <si>
    <t>NILM Algorithms:</t>
  </si>
  <si>
    <t>Metric</t>
  </si>
  <si>
    <t>Number of exp</t>
  </si>
  <si>
    <t>Mean</t>
  </si>
  <si>
    <t>Max</t>
  </si>
  <si>
    <t>Min</t>
  </si>
  <si>
    <t>Standart deviation</t>
  </si>
  <si>
    <t>Variance</t>
  </si>
  <si>
    <t>Experiments</t>
  </si>
  <si>
    <t>start_time': '2020-01-04'</t>
  </si>
  <si>
    <t>end_time': '2020-01-17'</t>
  </si>
  <si>
    <t>start_time': '2020-04-01'</t>
  </si>
  <si>
    <t>train_real: (hh_14)</t>
  </si>
  <si>
    <t>train_real: (hh_04)</t>
  </si>
  <si>
    <t>train_real: (hh_15)</t>
  </si>
  <si>
    <t>start_time': '2020-02-01'</t>
  </si>
  <si>
    <t>device: washing machine</t>
  </si>
  <si>
    <t>buildings': 3</t>
  </si>
  <si>
    <t>start_time': '2019-12-04'</t>
  </si>
  <si>
    <t>start_time': '2019-12-17'</t>
  </si>
  <si>
    <t>reale Testdaten(hh_03):</t>
  </si>
  <si>
    <t>reale Testdaten(hh_05):</t>
  </si>
  <si>
    <t>buildings': 5</t>
  </si>
  <si>
    <t>start_time': '2019-10-01'</t>
  </si>
  <si>
    <t>end_time': '2019-10-14'</t>
  </si>
  <si>
    <t>buildings': 6</t>
  </si>
  <si>
    <t>start_time': '2019-11-10'</t>
  </si>
  <si>
    <t>end_time': '2019-11-23'</t>
  </si>
  <si>
    <t>reale Testdaten(hh_06):</t>
  </si>
  <si>
    <t>reale Testdaten(hh_09):</t>
  </si>
  <si>
    <t>buildings': 9</t>
  </si>
  <si>
    <t>start_time': '2019-09-07'</t>
  </si>
  <si>
    <t>end_time': '2019-09-20'</t>
  </si>
  <si>
    <t>buildings': 13</t>
  </si>
  <si>
    <t>reale Testdaten(hh_13):</t>
  </si>
  <si>
    <t>buildings': 19</t>
  </si>
  <si>
    <t>buildings': 20</t>
  </si>
  <si>
    <t>reale Testdaten(hh_20):</t>
  </si>
  <si>
    <t>reale Testdaten(hh_19):</t>
  </si>
  <si>
    <t>start_time': '2020-03-12'</t>
  </si>
  <si>
    <t>end_time': '2020-03-25'</t>
  </si>
  <si>
    <t>end_time': '2019-12-30'</t>
  </si>
  <si>
    <t>validierung: Validation from training data (15%)</t>
  </si>
  <si>
    <t>start_time': '2020-03-01'</t>
  </si>
  <si>
    <t>train_real: (hh_01):</t>
  </si>
  <si>
    <t>RNN_total</t>
  </si>
  <si>
    <t>WindowGRU_total</t>
  </si>
  <si>
    <t>DAE_total</t>
  </si>
  <si>
    <t>Seq2Seq_total</t>
  </si>
  <si>
    <t>Seq2Point_total</t>
  </si>
  <si>
    <t>end_time': '2020-03-28'</t>
  </si>
  <si>
    <t>end_time': '2020-01-31'</t>
  </si>
  <si>
    <t>end_time': '2020-04-28'</t>
  </si>
  <si>
    <t>end_time': '2020-02-28'</t>
  </si>
  <si>
    <t>train: r+r_dataset.h5</t>
  </si>
  <si>
    <t>test_real: test_dataset.h5</t>
  </si>
  <si>
    <t>test_dataset.h5</t>
  </si>
  <si>
    <t>MAE_total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</si>
</sst>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164" fontId="0" fillId="0" borderId="0" xfId="0" applyNumberFormat="1"/>
    <xf numFmtId="0" fontId="0" fillId="0" borderId="0" xfId="0" quotePrefix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4901-35CF-4ECF-B83A-C1F21DC89CAD}">
  <dimension ref="A1:GY95"/>
  <sheetViews>
    <sheetView tabSelected="1" zoomScaleNormal="100" workbookViewId="0">
      <selection activeCell="C5" sqref="C5"/>
    </sheetView>
  </sheetViews>
  <sheetFormatPr baseColWidth="10" defaultRowHeight="15" x14ac:dyDescent="0.2"/>
  <cols>
    <col min="1" max="1" width="36.83203125" customWidth="1"/>
    <col min="2" max="2" width="24.83203125" customWidth="1"/>
    <col min="3" max="3" width="24.5" customWidth="1"/>
    <col min="4" max="4" width="19.33203125" customWidth="1"/>
    <col min="5" max="5" width="10" customWidth="1"/>
    <col min="6" max="6" width="17.6640625" customWidth="1"/>
    <col min="7" max="7" width="18.1640625" customWidth="1"/>
    <col min="8" max="8" width="12.5" customWidth="1"/>
    <col min="9" max="9" width="12.6640625" customWidth="1"/>
    <col min="10" max="10" width="18.83203125" customWidth="1"/>
    <col min="11" max="11" width="14.83203125" customWidth="1"/>
    <col min="12" max="12" width="5.6640625" customWidth="1"/>
    <col min="13" max="13" width="13.33203125" customWidth="1"/>
  </cols>
  <sheetData>
    <row r="1" spans="1:207" x14ac:dyDescent="0.2">
      <c r="A1" s="1" t="s">
        <v>0</v>
      </c>
      <c r="D1" s="1"/>
    </row>
    <row r="2" spans="1:207" x14ac:dyDescent="0.2">
      <c r="A2" t="s">
        <v>24</v>
      </c>
    </row>
    <row r="3" spans="1:207" x14ac:dyDescent="0.2">
      <c r="A3" t="s">
        <v>62</v>
      </c>
      <c r="B3" s="2"/>
      <c r="C3" s="2"/>
      <c r="E3" s="2"/>
      <c r="G3" s="2"/>
      <c r="H3" s="2"/>
      <c r="I3" s="2"/>
      <c r="J3" s="3"/>
      <c r="K3" s="2"/>
      <c r="L3" s="2"/>
    </row>
    <row r="4" spans="1:207" x14ac:dyDescent="0.2">
      <c r="A4" t="s">
        <v>52</v>
      </c>
      <c r="B4" s="2" t="s">
        <v>51</v>
      </c>
      <c r="C4" s="2" t="s">
        <v>58</v>
      </c>
      <c r="E4" s="2"/>
      <c r="G4" s="2"/>
      <c r="H4" s="2"/>
      <c r="I4" s="2"/>
      <c r="J4" s="3"/>
      <c r="K4" s="2"/>
      <c r="L4" s="2"/>
    </row>
    <row r="5" spans="1:207" x14ac:dyDescent="0.2">
      <c r="A5" t="s">
        <v>21</v>
      </c>
      <c r="B5" s="2" t="s">
        <v>17</v>
      </c>
      <c r="C5" s="2" t="s">
        <v>59</v>
      </c>
      <c r="E5" s="2"/>
      <c r="G5" s="2"/>
      <c r="H5" s="2"/>
      <c r="I5" s="2"/>
      <c r="J5" s="3"/>
      <c r="K5" s="2"/>
      <c r="L5" s="2"/>
    </row>
    <row r="6" spans="1:207" x14ac:dyDescent="0.2">
      <c r="A6" t="s">
        <v>20</v>
      </c>
      <c r="B6" s="2" t="s">
        <v>19</v>
      </c>
      <c r="C6" s="2" t="s">
        <v>60</v>
      </c>
      <c r="E6" s="2"/>
      <c r="G6" s="4" t="s">
        <v>65</v>
      </c>
      <c r="H6" s="2"/>
      <c r="I6" s="2"/>
      <c r="J6" s="3"/>
      <c r="K6" s="2"/>
      <c r="L6" s="2"/>
    </row>
    <row r="7" spans="1:207" x14ac:dyDescent="0.2">
      <c r="A7" t="s">
        <v>22</v>
      </c>
      <c r="B7" s="2" t="s">
        <v>23</v>
      </c>
      <c r="C7" s="2" t="s">
        <v>61</v>
      </c>
      <c r="E7" s="2"/>
      <c r="F7" t="s">
        <v>53</v>
      </c>
      <c r="G7" s="3">
        <f>SUM(G15,G27,G39,G51,G63,G75,G87)/7</f>
        <v>25.612177240000001</v>
      </c>
      <c r="H7" s="2"/>
      <c r="I7" s="2"/>
      <c r="J7" s="2"/>
      <c r="K7" s="2"/>
      <c r="L7" s="2"/>
    </row>
    <row r="8" spans="1:207" x14ac:dyDescent="0.2">
      <c r="A8" t="s">
        <v>63</v>
      </c>
      <c r="B8" s="2"/>
      <c r="C8" s="2"/>
      <c r="E8" s="2"/>
      <c r="F8" t="s">
        <v>54</v>
      </c>
      <c r="G8" s="3">
        <f>SUM(G17,G29,G41,G53,G65,G77,G89)/7</f>
        <v>25.702921484285721</v>
      </c>
    </row>
    <row r="9" spans="1:207" x14ac:dyDescent="0.2">
      <c r="A9" t="s">
        <v>50</v>
      </c>
      <c r="E9" s="2"/>
      <c r="F9" t="s">
        <v>55</v>
      </c>
      <c r="G9" s="3">
        <f>SUM(G19,G31,G43,G55,G67,G79,G91)/7</f>
        <v>28.605626565714285</v>
      </c>
    </row>
    <row r="10" spans="1:207" x14ac:dyDescent="0.2">
      <c r="A10" t="s">
        <v>7</v>
      </c>
      <c r="B10" s="2"/>
      <c r="C10" s="2"/>
      <c r="D10" s="2"/>
      <c r="E10" s="2"/>
      <c r="F10" t="s">
        <v>56</v>
      </c>
      <c r="G10" s="3">
        <f>SUM(G21,G33,G45,G57,G69,G81,G93)/7</f>
        <v>23.528546468571431</v>
      </c>
    </row>
    <row r="11" spans="1:207" x14ac:dyDescent="0.2">
      <c r="F11" t="s">
        <v>57</v>
      </c>
      <c r="G11" s="3">
        <f>SUM(G23,G35,G47,G59,G71,G83,G95)/7</f>
        <v>23.815237768571428</v>
      </c>
    </row>
    <row r="13" spans="1:207" x14ac:dyDescent="0.2">
      <c r="B13" t="s">
        <v>64</v>
      </c>
      <c r="D13" s="1" t="s">
        <v>28</v>
      </c>
    </row>
    <row r="14" spans="1:207" x14ac:dyDescent="0.2">
      <c r="D14" s="1" t="s">
        <v>8</v>
      </c>
      <c r="E14" s="1" t="s">
        <v>9</v>
      </c>
      <c r="F14" s="1" t="s">
        <v>10</v>
      </c>
      <c r="G14" s="1" t="s">
        <v>11</v>
      </c>
      <c r="H14" s="1" t="s">
        <v>12</v>
      </c>
      <c r="I14" s="1" t="s">
        <v>13</v>
      </c>
      <c r="J14" s="1" t="s">
        <v>14</v>
      </c>
      <c r="K14" s="1" t="s">
        <v>15</v>
      </c>
      <c r="L14" s="1"/>
      <c r="M14" s="1" t="s">
        <v>16</v>
      </c>
    </row>
    <row r="15" spans="1:207" x14ac:dyDescent="0.2">
      <c r="B15" s="2" t="s">
        <v>25</v>
      </c>
      <c r="D15" t="s">
        <v>3</v>
      </c>
      <c r="E15" t="s">
        <v>1</v>
      </c>
      <c r="F15">
        <f>COUNT(M15:GJ15)</f>
        <v>100</v>
      </c>
      <c r="G15" s="3">
        <f>AVERAGE(M15:GJ15)</f>
        <v>13.434332410000003</v>
      </c>
      <c r="H15" s="3">
        <f>MAX(M15:GJ15)</f>
        <v>19.361346999999999</v>
      </c>
      <c r="I15" s="3">
        <f>MIN(M15:GJ15)</f>
        <v>9.4123230000000007</v>
      </c>
      <c r="J15" s="3">
        <f>_xlfn.STDEV.P(M15:GJ15)</f>
        <v>2.2047017861830067</v>
      </c>
      <c r="K15" s="3">
        <f>_xlfn.VAR.S(M15:GJ15)</f>
        <v>4.909808046463171</v>
      </c>
      <c r="M15" s="3">
        <v>12.101732</v>
      </c>
      <c r="N15" s="3">
        <v>14.876706</v>
      </c>
      <c r="O15" s="3">
        <v>14.744889000000001</v>
      </c>
      <c r="P15" s="3">
        <v>11.549073</v>
      </c>
      <c r="Q15" s="3">
        <v>19.361346999999999</v>
      </c>
      <c r="R15" s="3">
        <v>11.248578</v>
      </c>
      <c r="S15" s="3">
        <v>15.149247000000001</v>
      </c>
      <c r="T15" s="3">
        <v>11.986217</v>
      </c>
      <c r="U15" s="3">
        <v>12.727577</v>
      </c>
      <c r="V15" s="3">
        <v>16.152525000000001</v>
      </c>
      <c r="W15" s="3">
        <v>16.376332999999999</v>
      </c>
      <c r="X15" s="3">
        <v>11.080636999999999</v>
      </c>
      <c r="Y15" s="3">
        <v>14.892681</v>
      </c>
      <c r="Z15" s="3">
        <v>10.181271000000001</v>
      </c>
      <c r="AA15" s="3">
        <v>10.569122999999999</v>
      </c>
      <c r="AB15" s="3">
        <v>15.523918</v>
      </c>
      <c r="AC15" s="3">
        <v>14.651683</v>
      </c>
      <c r="AD15" s="3">
        <v>12.569925</v>
      </c>
      <c r="AE15" s="3">
        <v>11.529385</v>
      </c>
      <c r="AF15" s="3">
        <v>16.369188000000001</v>
      </c>
      <c r="AG15" s="3">
        <v>12.02291</v>
      </c>
      <c r="AH15" s="3">
        <v>12.634346000000001</v>
      </c>
      <c r="AI15" s="3">
        <v>10.212194999999999</v>
      </c>
      <c r="AJ15" s="3">
        <v>10.478771</v>
      </c>
      <c r="AK15" s="3">
        <v>13.025207999999999</v>
      </c>
      <c r="AL15" s="3">
        <v>14.310207999999999</v>
      </c>
      <c r="AM15" s="3">
        <v>11.884255</v>
      </c>
      <c r="AN15" s="3">
        <v>10.703830999999999</v>
      </c>
      <c r="AO15" s="3">
        <v>13.315875</v>
      </c>
      <c r="AP15" s="3">
        <v>12.090343000000001</v>
      </c>
      <c r="AQ15" s="3">
        <v>15.135002</v>
      </c>
      <c r="AR15" s="3">
        <v>12.452904</v>
      </c>
      <c r="AS15" s="3">
        <v>13.664837</v>
      </c>
      <c r="AT15" s="3">
        <v>15.533604</v>
      </c>
      <c r="AU15" s="3">
        <v>12.324296</v>
      </c>
      <c r="AV15" s="3">
        <v>13.786970999999999</v>
      </c>
      <c r="AW15" s="3">
        <v>12.463248</v>
      </c>
      <c r="AX15" s="3">
        <v>16.460502999999999</v>
      </c>
      <c r="AY15" s="3">
        <v>14.503925000000001</v>
      </c>
      <c r="AZ15" s="3">
        <v>16.133827</v>
      </c>
      <c r="BA15" s="3">
        <v>12.893575</v>
      </c>
      <c r="BB15" s="3">
        <v>11.708136</v>
      </c>
      <c r="BC15" s="3">
        <v>10.904331000000001</v>
      </c>
      <c r="BD15" s="3">
        <v>12.831799999999999</v>
      </c>
      <c r="BE15" s="3">
        <v>13.286860000000001</v>
      </c>
      <c r="BF15" s="3">
        <v>11.457833000000001</v>
      </c>
      <c r="BG15" s="3">
        <v>13.377523</v>
      </c>
      <c r="BH15" s="3">
        <v>17.634926</v>
      </c>
      <c r="BI15" s="3">
        <v>10.023630000000001</v>
      </c>
      <c r="BJ15" s="3">
        <v>13.753709000000001</v>
      </c>
      <c r="BK15" s="3">
        <v>13.615656</v>
      </c>
      <c r="BL15" s="3">
        <v>14.479342000000001</v>
      </c>
      <c r="BM15" s="3">
        <v>11.781869</v>
      </c>
      <c r="BN15" s="3">
        <v>14.207084</v>
      </c>
      <c r="BO15" s="3">
        <v>14.971743999999999</v>
      </c>
      <c r="BP15" s="3">
        <v>17.021099</v>
      </c>
      <c r="BQ15" s="3">
        <v>16.448128000000001</v>
      </c>
      <c r="BR15" s="3">
        <v>15.660135</v>
      </c>
      <c r="BS15" s="3">
        <v>12.194328000000001</v>
      </c>
      <c r="BT15" s="3">
        <v>14.442451999999999</v>
      </c>
      <c r="BU15" s="3">
        <v>19.201981</v>
      </c>
      <c r="BV15" s="3">
        <v>11.983578</v>
      </c>
      <c r="BW15" s="3">
        <v>10.78843</v>
      </c>
      <c r="BX15" s="3">
        <v>13.803262999999999</v>
      </c>
      <c r="BY15" s="3">
        <v>12.983485</v>
      </c>
      <c r="BZ15" s="3">
        <v>10.401681</v>
      </c>
      <c r="CA15" s="3">
        <v>15.94726</v>
      </c>
      <c r="CB15" s="3">
        <v>17.066230999999998</v>
      </c>
      <c r="CC15" s="3">
        <v>12.191874</v>
      </c>
      <c r="CD15" s="3">
        <v>15.993114</v>
      </c>
      <c r="CE15" s="3">
        <v>11.493663</v>
      </c>
      <c r="CF15" s="3">
        <v>15.182638000000001</v>
      </c>
      <c r="CG15" s="3">
        <v>10.961878</v>
      </c>
      <c r="CH15" s="3">
        <v>17.559623999999999</v>
      </c>
      <c r="CI15" s="3">
        <v>12.201756</v>
      </c>
      <c r="CJ15" s="3">
        <v>15.172869</v>
      </c>
      <c r="CK15" s="3">
        <v>14.59773</v>
      </c>
      <c r="CL15" s="3">
        <v>9.4123230000000007</v>
      </c>
      <c r="CM15" s="3">
        <v>13.362348000000001</v>
      </c>
      <c r="CN15" s="3">
        <v>14.772301000000001</v>
      </c>
      <c r="CO15" s="3">
        <v>14.575207000000001</v>
      </c>
      <c r="CP15" s="3">
        <v>11.285069999999999</v>
      </c>
      <c r="CQ15" s="3">
        <v>13.888824</v>
      </c>
      <c r="CR15" s="3">
        <v>18.818055999999999</v>
      </c>
      <c r="CS15" s="3">
        <v>12.89969</v>
      </c>
      <c r="CT15" s="3">
        <v>15.142103000000001</v>
      </c>
      <c r="CU15" s="3">
        <v>10.70237</v>
      </c>
      <c r="CV15" s="3">
        <v>12.838217999999999</v>
      </c>
      <c r="CW15" s="3">
        <v>11.921804</v>
      </c>
      <c r="CX15" s="3">
        <v>11.777063</v>
      </c>
      <c r="CY15" s="3">
        <v>12.403048999999999</v>
      </c>
      <c r="CZ15" s="3">
        <v>10.589169</v>
      </c>
      <c r="DA15" s="3">
        <v>11.789491</v>
      </c>
      <c r="DB15" s="3">
        <v>17.391656999999999</v>
      </c>
      <c r="DC15" s="3">
        <v>11.791884</v>
      </c>
      <c r="DD15" s="3">
        <v>13.051406</v>
      </c>
      <c r="DE15" s="3">
        <v>11.036917000000001</v>
      </c>
      <c r="DF15" s="3">
        <v>13.859286000000001</v>
      </c>
      <c r="DG15" s="3">
        <v>11.841703000000001</v>
      </c>
      <c r="DH15" s="3">
        <v>11.278993</v>
      </c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</row>
    <row r="16" spans="1:207" x14ac:dyDescent="0.2">
      <c r="B16" s="2" t="s">
        <v>26</v>
      </c>
      <c r="G16" s="3"/>
      <c r="H16" s="3"/>
      <c r="I16" s="3"/>
      <c r="J16" s="3"/>
      <c r="K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</row>
    <row r="17" spans="2:207" x14ac:dyDescent="0.2">
      <c r="B17" s="2" t="s">
        <v>27</v>
      </c>
      <c r="D17" t="s">
        <v>4</v>
      </c>
      <c r="E17" t="s">
        <v>1</v>
      </c>
      <c r="F17">
        <f>COUNT(M17:GJ17)</f>
        <v>100</v>
      </c>
      <c r="G17" s="3">
        <f>AVERAGE(M17:GJ17)</f>
        <v>17.902341640000003</v>
      </c>
      <c r="H17" s="3">
        <f>MAX(M17:GJ17)</f>
        <v>29.420525000000001</v>
      </c>
      <c r="I17" s="3">
        <f>MIN(M17:GJ17)</f>
        <v>9.0238589999999999</v>
      </c>
      <c r="J17" s="3">
        <f>_xlfn.STDEV.P(M17:GJ17)</f>
        <v>5.3844450138235631</v>
      </c>
      <c r="K17" s="3">
        <f>_xlfn.VAR.S(M17:GJ17)</f>
        <v>29.285099097868102</v>
      </c>
      <c r="M17" s="3">
        <v>13.053129999999999</v>
      </c>
      <c r="N17" s="3">
        <v>14.166599</v>
      </c>
      <c r="O17" s="3">
        <v>16.254593</v>
      </c>
      <c r="P17" s="3">
        <v>22.987307000000001</v>
      </c>
      <c r="Q17" s="3">
        <v>25.238558000000001</v>
      </c>
      <c r="R17" s="3">
        <v>24.082377999999999</v>
      </c>
      <c r="S17" s="3">
        <v>21.509702999999998</v>
      </c>
      <c r="T17" s="3">
        <v>26.571767999999999</v>
      </c>
      <c r="U17" s="3">
        <v>12.178607</v>
      </c>
      <c r="V17" s="3">
        <v>10.880023</v>
      </c>
      <c r="W17" s="3">
        <v>16.531406</v>
      </c>
      <c r="X17" s="3">
        <v>19.821484000000002</v>
      </c>
      <c r="Y17" s="3">
        <v>14.55697</v>
      </c>
      <c r="Z17" s="3">
        <v>11.277225</v>
      </c>
      <c r="AA17" s="3">
        <v>22.711039</v>
      </c>
      <c r="AB17" s="3">
        <v>10.584885</v>
      </c>
      <c r="AC17" s="3">
        <v>10.508818</v>
      </c>
      <c r="AD17" s="3">
        <v>25.143587</v>
      </c>
      <c r="AE17" s="3">
        <v>27.229773000000002</v>
      </c>
      <c r="AF17" s="3">
        <v>13.153625</v>
      </c>
      <c r="AG17" s="3">
        <v>13.946417</v>
      </c>
      <c r="AH17" s="3">
        <v>25.084827000000001</v>
      </c>
      <c r="AI17" s="3">
        <v>27.108208000000001</v>
      </c>
      <c r="AJ17" s="3">
        <v>20.731477999999999</v>
      </c>
      <c r="AK17" s="3">
        <v>21.803180999999999</v>
      </c>
      <c r="AL17" s="3">
        <v>16.733792999999999</v>
      </c>
      <c r="AM17" s="3">
        <v>23.350967000000001</v>
      </c>
      <c r="AN17" s="3">
        <v>18.176765</v>
      </c>
      <c r="AO17" s="3">
        <v>16.234245000000001</v>
      </c>
      <c r="AP17" s="3">
        <v>23.115454</v>
      </c>
      <c r="AQ17" s="3">
        <v>18.473213000000001</v>
      </c>
      <c r="AR17" s="3">
        <v>12.944217999999999</v>
      </c>
      <c r="AS17" s="3">
        <v>25.445996999999998</v>
      </c>
      <c r="AT17" s="3">
        <v>13.992433999999999</v>
      </c>
      <c r="AU17" s="3">
        <v>12.415836000000001</v>
      </c>
      <c r="AV17" s="3">
        <v>13.045406</v>
      </c>
      <c r="AW17" s="3">
        <v>18.239298000000002</v>
      </c>
      <c r="AX17" s="3">
        <v>15.488227999999999</v>
      </c>
      <c r="AY17" s="3">
        <v>11.665637</v>
      </c>
      <c r="AZ17" s="3">
        <v>26.042660000000001</v>
      </c>
      <c r="BA17" s="3">
        <v>11.936308</v>
      </c>
      <c r="BB17" s="3">
        <v>11.48775</v>
      </c>
      <c r="BC17" s="3">
        <v>25.785221</v>
      </c>
      <c r="BD17" s="3">
        <v>17.401461000000001</v>
      </c>
      <c r="BE17" s="3">
        <v>12.089164999999999</v>
      </c>
      <c r="BF17" s="3">
        <v>12.107155000000001</v>
      </c>
      <c r="BG17" s="3">
        <v>18.579816999999998</v>
      </c>
      <c r="BH17" s="3">
        <v>16.679366999999999</v>
      </c>
      <c r="BI17" s="3">
        <v>12.272683000000001</v>
      </c>
      <c r="BJ17" s="3">
        <v>18.815246999999999</v>
      </c>
      <c r="BK17" s="3">
        <v>14.104051999999999</v>
      </c>
      <c r="BL17" s="3">
        <v>19.822217999999999</v>
      </c>
      <c r="BM17" s="3">
        <v>23.041096</v>
      </c>
      <c r="BN17" s="3">
        <v>14.802258999999999</v>
      </c>
      <c r="BO17" s="3">
        <v>18.536681999999999</v>
      </c>
      <c r="BP17" s="3">
        <v>26.953329</v>
      </c>
      <c r="BQ17" s="3">
        <v>22.270015999999998</v>
      </c>
      <c r="BR17" s="3">
        <v>23.235876000000001</v>
      </c>
      <c r="BS17" s="3">
        <v>10.814406</v>
      </c>
      <c r="BT17" s="3">
        <v>14.790436</v>
      </c>
      <c r="BU17" s="3">
        <v>27.604133999999998</v>
      </c>
      <c r="BV17" s="3">
        <v>12.927803000000001</v>
      </c>
      <c r="BW17" s="3">
        <v>17.309646999999998</v>
      </c>
      <c r="BX17" s="3">
        <v>14.288689</v>
      </c>
      <c r="BY17" s="3">
        <v>23.238554000000001</v>
      </c>
      <c r="BZ17" s="3">
        <v>27.640592999999999</v>
      </c>
      <c r="CA17" s="3">
        <v>18.08633</v>
      </c>
      <c r="CB17" s="3">
        <v>26.737235999999999</v>
      </c>
      <c r="CC17" s="3">
        <v>25.675263999999999</v>
      </c>
      <c r="CD17" s="3">
        <v>12.790659</v>
      </c>
      <c r="CE17" s="3">
        <v>13.037025999999999</v>
      </c>
      <c r="CF17" s="3">
        <v>15.222462999999999</v>
      </c>
      <c r="CG17" s="3">
        <v>16.697863000000002</v>
      </c>
      <c r="CH17" s="3">
        <v>13.164956</v>
      </c>
      <c r="CI17" s="3">
        <v>23.138817</v>
      </c>
      <c r="CJ17" s="3">
        <v>13.999361</v>
      </c>
      <c r="CK17" s="3">
        <v>17.782919</v>
      </c>
      <c r="CL17" s="3">
        <v>16.080110999999999</v>
      </c>
      <c r="CM17" s="3">
        <v>15.335165999999999</v>
      </c>
      <c r="CN17" s="3">
        <v>16.758576999999999</v>
      </c>
      <c r="CO17" s="3">
        <v>23.545895000000002</v>
      </c>
      <c r="CP17" s="3">
        <v>23.220123000000001</v>
      </c>
      <c r="CQ17" s="3">
        <v>22.468487</v>
      </c>
      <c r="CR17" s="3">
        <v>10.184156</v>
      </c>
      <c r="CS17" s="3">
        <v>9.398377</v>
      </c>
      <c r="CT17" s="3">
        <v>21.246223000000001</v>
      </c>
      <c r="CU17" s="3">
        <v>11.331084000000001</v>
      </c>
      <c r="CV17" s="3">
        <v>18.085804</v>
      </c>
      <c r="CW17" s="3">
        <v>16.232077</v>
      </c>
      <c r="CX17" s="3">
        <v>25.069613</v>
      </c>
      <c r="CY17" s="3">
        <v>29.420525000000001</v>
      </c>
      <c r="CZ17" s="3">
        <v>19.096713999999999</v>
      </c>
      <c r="DA17" s="3">
        <v>19.811630000000001</v>
      </c>
      <c r="DB17" s="3">
        <v>11.410583000000001</v>
      </c>
      <c r="DC17" s="3">
        <v>9.0238589999999999</v>
      </c>
      <c r="DD17" s="3">
        <v>11.502948999999999</v>
      </c>
      <c r="DE17" s="3">
        <v>15.274850000000001</v>
      </c>
      <c r="DF17" s="3">
        <v>11.308111</v>
      </c>
      <c r="DG17" s="3">
        <v>14.496055</v>
      </c>
      <c r="DH17" s="3">
        <v>22.586597000000001</v>
      </c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</row>
    <row r="18" spans="2:207" x14ac:dyDescent="0.2">
      <c r="G18" s="3"/>
      <c r="H18" s="3"/>
      <c r="I18" s="3"/>
      <c r="J18" s="3"/>
      <c r="K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</row>
    <row r="19" spans="2:207" x14ac:dyDescent="0.2">
      <c r="D19" t="s">
        <v>2</v>
      </c>
      <c r="E19" t="s">
        <v>1</v>
      </c>
      <c r="F19">
        <f>COUNT(M19:GJ19)</f>
        <v>100</v>
      </c>
      <c r="G19" s="3">
        <f>AVERAGE(M19:GJ19)</f>
        <v>24.327144559999994</v>
      </c>
      <c r="H19" s="3">
        <f>MAX(M19:GJ19)</f>
        <v>28.132597000000001</v>
      </c>
      <c r="I19" s="3">
        <f>MIN(M19:GJ19)</f>
        <v>18.988980999999999</v>
      </c>
      <c r="J19" s="3">
        <f>_xlfn.STDEV.P(M19:GJ19)</f>
        <v>1.7143963295682267</v>
      </c>
      <c r="K19" s="3">
        <f>_xlfn.VAR.S(M19:GJ19)</f>
        <v>2.9688432069060684</v>
      </c>
      <c r="M19" s="3">
        <v>24.112755</v>
      </c>
      <c r="N19" s="3">
        <v>24.006398999999998</v>
      </c>
      <c r="O19" s="3">
        <v>27.124765</v>
      </c>
      <c r="P19" s="3">
        <v>28.132597000000001</v>
      </c>
      <c r="Q19" s="3">
        <v>25.235149</v>
      </c>
      <c r="R19" s="3">
        <v>26.047127</v>
      </c>
      <c r="S19" s="3">
        <v>24.850542000000001</v>
      </c>
      <c r="T19" s="3">
        <v>24.413242</v>
      </c>
      <c r="U19" s="3">
        <v>25.946964000000001</v>
      </c>
      <c r="V19" s="3">
        <v>23.913209999999999</v>
      </c>
      <c r="W19" s="3">
        <v>25.309708000000001</v>
      </c>
      <c r="X19" s="3">
        <v>24.547097999999998</v>
      </c>
      <c r="Y19" s="3">
        <v>24.524162</v>
      </c>
      <c r="Z19" s="3">
        <v>25.502863000000001</v>
      </c>
      <c r="AA19" s="3">
        <v>26.467531000000001</v>
      </c>
      <c r="AB19" s="3">
        <v>27.392195000000001</v>
      </c>
      <c r="AC19" s="3">
        <v>25.874680999999999</v>
      </c>
      <c r="AD19" s="3">
        <v>25.509391999999998</v>
      </c>
      <c r="AE19" s="3">
        <v>24.019818999999998</v>
      </c>
      <c r="AF19" s="3">
        <v>24.841674999999999</v>
      </c>
      <c r="AG19" s="3">
        <v>24.744071999999999</v>
      </c>
      <c r="AH19" s="3">
        <v>24.380766000000001</v>
      </c>
      <c r="AI19" s="3">
        <v>23.769418999999999</v>
      </c>
      <c r="AJ19" s="3">
        <v>27.090264999999999</v>
      </c>
      <c r="AK19" s="3">
        <v>24.237863999999998</v>
      </c>
      <c r="AL19" s="3">
        <v>24.683451000000002</v>
      </c>
      <c r="AM19" s="3">
        <v>25.488792</v>
      </c>
      <c r="AN19" s="3">
        <v>24.837755000000001</v>
      </c>
      <c r="AO19" s="3">
        <v>26.222543999999999</v>
      </c>
      <c r="AP19" s="3">
        <v>26.789137</v>
      </c>
      <c r="AQ19" s="3">
        <v>22.436278999999999</v>
      </c>
      <c r="AR19" s="3">
        <v>22.151845999999999</v>
      </c>
      <c r="AS19" s="3">
        <v>24.509554000000001</v>
      </c>
      <c r="AT19" s="3">
        <v>26.610610999999999</v>
      </c>
      <c r="AU19" s="3">
        <v>21.186508</v>
      </c>
      <c r="AV19" s="3">
        <v>21.823238</v>
      </c>
      <c r="AW19" s="3">
        <v>23.943788999999999</v>
      </c>
      <c r="AX19" s="3">
        <v>23.206901999999999</v>
      </c>
      <c r="AY19" s="3">
        <v>22.316701999999999</v>
      </c>
      <c r="AZ19" s="3">
        <v>23.602732</v>
      </c>
      <c r="BA19" s="3">
        <v>23.989909999999998</v>
      </c>
      <c r="BB19" s="3">
        <v>25.218021</v>
      </c>
      <c r="BC19" s="3">
        <v>21.955168</v>
      </c>
      <c r="BD19" s="3">
        <v>26.116530999999998</v>
      </c>
      <c r="BE19" s="3">
        <v>24.658566</v>
      </c>
      <c r="BF19" s="3">
        <v>25.103518999999999</v>
      </c>
      <c r="BG19" s="3">
        <v>24.251491999999999</v>
      </c>
      <c r="BH19" s="3">
        <v>20.92071</v>
      </c>
      <c r="BI19" s="3">
        <v>25.771930999999999</v>
      </c>
      <c r="BJ19" s="3">
        <v>26.362808000000001</v>
      </c>
      <c r="BK19" s="3">
        <v>21.614712000000001</v>
      </c>
      <c r="BL19" s="3">
        <v>23.155578999999999</v>
      </c>
      <c r="BM19" s="3">
        <v>20.333376000000001</v>
      </c>
      <c r="BN19" s="3">
        <v>22.820012999999999</v>
      </c>
      <c r="BO19" s="3">
        <v>23.258489999999998</v>
      </c>
      <c r="BP19" s="3">
        <v>23.146204000000001</v>
      </c>
      <c r="BQ19" s="3">
        <v>18.988980999999999</v>
      </c>
      <c r="BR19" s="3">
        <v>23.109584999999999</v>
      </c>
      <c r="BS19" s="3">
        <v>22.951571000000001</v>
      </c>
      <c r="BT19" s="3">
        <v>25.641041000000001</v>
      </c>
      <c r="BU19" s="3">
        <v>23.322330000000001</v>
      </c>
      <c r="BV19" s="3">
        <v>27.966434</v>
      </c>
      <c r="BW19" s="3">
        <v>26.110416000000001</v>
      </c>
      <c r="BX19" s="3">
        <v>25.228414999999998</v>
      </c>
      <c r="BY19" s="3">
        <v>23.406424000000001</v>
      </c>
      <c r="BZ19" s="3">
        <v>25.121314999999999</v>
      </c>
      <c r="CA19" s="3">
        <v>25.959396000000002</v>
      </c>
      <c r="CB19" s="3">
        <v>24.900065999999999</v>
      </c>
      <c r="CC19" s="3">
        <v>24.427375999999999</v>
      </c>
      <c r="CD19" s="3">
        <v>26.540962</v>
      </c>
      <c r="CE19" s="3">
        <v>24.060013000000001</v>
      </c>
      <c r="CF19" s="3">
        <v>23.407681</v>
      </c>
      <c r="CG19" s="3">
        <v>24.240738</v>
      </c>
      <c r="CH19" s="3">
        <v>23.286674000000001</v>
      </c>
      <c r="CI19" s="3">
        <v>23.892057000000001</v>
      </c>
      <c r="CJ19" s="3">
        <v>22.312308999999999</v>
      </c>
      <c r="CK19" s="3">
        <v>23.798884999999999</v>
      </c>
      <c r="CL19" s="3">
        <v>22.266293999999998</v>
      </c>
      <c r="CM19" s="3">
        <v>21.994242</v>
      </c>
      <c r="CN19" s="3">
        <v>22.152269</v>
      </c>
      <c r="CO19" s="3">
        <v>23.985247000000001</v>
      </c>
      <c r="CP19" s="3">
        <v>22.708428999999999</v>
      </c>
      <c r="CQ19" s="3">
        <v>24.215443</v>
      </c>
      <c r="CR19" s="3">
        <v>22.542667000000002</v>
      </c>
      <c r="CS19" s="3">
        <v>21.154551999999999</v>
      </c>
      <c r="CT19" s="3">
        <v>24.831980000000001</v>
      </c>
      <c r="CU19" s="3">
        <v>22.223087</v>
      </c>
      <c r="CV19" s="3">
        <v>23.123232000000002</v>
      </c>
      <c r="CW19" s="3">
        <v>22.605574000000001</v>
      </c>
      <c r="CX19" s="3">
        <v>25.934345</v>
      </c>
      <c r="CY19" s="3">
        <v>26.385876</v>
      </c>
      <c r="CZ19" s="3">
        <v>24.325386000000002</v>
      </c>
      <c r="DA19" s="3">
        <v>25.323388999999999</v>
      </c>
      <c r="DB19" s="3">
        <v>26.786860999999998</v>
      </c>
      <c r="DC19" s="3">
        <v>24.751484000000001</v>
      </c>
      <c r="DD19" s="3">
        <v>25.978397000000001</v>
      </c>
      <c r="DE19" s="3">
        <v>25.209454000000001</v>
      </c>
      <c r="DF19" s="3">
        <v>26.753664000000001</v>
      </c>
      <c r="DG19" s="3">
        <v>24.548238999999999</v>
      </c>
      <c r="DH19" s="3">
        <v>23.760546000000001</v>
      </c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</row>
    <row r="20" spans="2:207" x14ac:dyDescent="0.2">
      <c r="G20" s="3"/>
      <c r="H20" s="3"/>
      <c r="I20" s="3"/>
      <c r="J20" s="3"/>
      <c r="K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</row>
    <row r="21" spans="2:207" x14ac:dyDescent="0.2">
      <c r="D21" t="s">
        <v>5</v>
      </c>
      <c r="E21" t="s">
        <v>1</v>
      </c>
      <c r="F21">
        <f>COUNT(M21:GJ21)</f>
        <v>100</v>
      </c>
      <c r="G21" s="3">
        <f>AVERAGE(M21:GJ21)</f>
        <v>16.978754649999999</v>
      </c>
      <c r="H21" s="3">
        <f>MAX(M21:GJ21)</f>
        <v>24.631329999999998</v>
      </c>
      <c r="I21" s="3">
        <f>MIN(M21:GJ21)</f>
        <v>11.343595000000001</v>
      </c>
      <c r="J21" s="3">
        <f>_xlfn.STDEV.P(M21:GJ21)</f>
        <v>2.9571171754305192</v>
      </c>
      <c r="K21" s="3">
        <f>_xlfn.VAR.S(M21:GJ21)</f>
        <v>8.8328706961880439</v>
      </c>
      <c r="M21" s="3">
        <v>18.080414000000001</v>
      </c>
      <c r="N21" s="3">
        <v>20.713287999999999</v>
      </c>
      <c r="O21" s="3">
        <v>17.329369</v>
      </c>
      <c r="P21" s="3">
        <v>17.925288999999999</v>
      </c>
      <c r="Q21" s="3">
        <v>13.540787</v>
      </c>
      <c r="R21" s="3">
        <v>15.799351</v>
      </c>
      <c r="S21" s="3">
        <v>16.101676999999999</v>
      </c>
      <c r="T21" s="3">
        <v>14.985472</v>
      </c>
      <c r="U21" s="3">
        <v>20.6922</v>
      </c>
      <c r="V21" s="3">
        <v>22.754211000000002</v>
      </c>
      <c r="W21" s="3">
        <v>16.082584000000001</v>
      </c>
      <c r="X21" s="3">
        <v>13.262498000000001</v>
      </c>
      <c r="Y21" s="3">
        <v>16.642610999999999</v>
      </c>
      <c r="Z21" s="3">
        <v>18.096613000000001</v>
      </c>
      <c r="AA21" s="3">
        <v>11.87846</v>
      </c>
      <c r="AB21" s="3">
        <v>14.184493</v>
      </c>
      <c r="AC21" s="3">
        <v>15.425979</v>
      </c>
      <c r="AD21" s="3">
        <v>14.330939000000001</v>
      </c>
      <c r="AE21" s="3">
        <v>15.471201000000001</v>
      </c>
      <c r="AF21" s="3">
        <v>24.631329999999998</v>
      </c>
      <c r="AG21" s="3">
        <v>15.690649000000001</v>
      </c>
      <c r="AH21" s="3">
        <v>14.280671999999999</v>
      </c>
      <c r="AI21" s="3">
        <v>15.840465999999999</v>
      </c>
      <c r="AJ21" s="3">
        <v>18.993216</v>
      </c>
      <c r="AK21" s="3">
        <v>13.681357999999999</v>
      </c>
      <c r="AL21" s="3">
        <v>15.281884</v>
      </c>
      <c r="AM21" s="3">
        <v>17.095262999999999</v>
      </c>
      <c r="AN21" s="3">
        <v>13.966028</v>
      </c>
      <c r="AO21" s="3">
        <v>14.307454999999999</v>
      </c>
      <c r="AP21" s="3">
        <v>24.570229000000001</v>
      </c>
      <c r="AQ21" s="3">
        <v>14.520085</v>
      </c>
      <c r="AR21" s="3">
        <v>17.150563999999999</v>
      </c>
      <c r="AS21" s="3">
        <v>23.305875</v>
      </c>
      <c r="AT21" s="3">
        <v>14.671592</v>
      </c>
      <c r="AU21" s="3">
        <v>13.238955000000001</v>
      </c>
      <c r="AV21" s="3">
        <v>14.846511</v>
      </c>
      <c r="AW21" s="3">
        <v>17.353354</v>
      </c>
      <c r="AX21" s="3">
        <v>17.352383</v>
      </c>
      <c r="AY21" s="3">
        <v>20.890913000000001</v>
      </c>
      <c r="AZ21" s="3">
        <v>17.616447000000001</v>
      </c>
      <c r="BA21" s="3">
        <v>19.292895999999999</v>
      </c>
      <c r="BB21" s="3">
        <v>21.669561000000002</v>
      </c>
      <c r="BC21" s="3">
        <v>21.189071999999999</v>
      </c>
      <c r="BD21" s="3">
        <v>21.571005</v>
      </c>
      <c r="BE21" s="3">
        <v>16.41226</v>
      </c>
      <c r="BF21" s="3">
        <v>11.894731</v>
      </c>
      <c r="BG21" s="3">
        <v>14.434722000000001</v>
      </c>
      <c r="BH21" s="3">
        <v>21.929580999999999</v>
      </c>
      <c r="BI21" s="3">
        <v>18.374115</v>
      </c>
      <c r="BJ21" s="3">
        <v>17.807625000000002</v>
      </c>
      <c r="BK21" s="3">
        <v>19.974948999999999</v>
      </c>
      <c r="BL21" s="3">
        <v>18.273734999999999</v>
      </c>
      <c r="BM21" s="3">
        <v>19.990307000000001</v>
      </c>
      <c r="BN21" s="3">
        <v>18.193940999999999</v>
      </c>
      <c r="BO21" s="3">
        <v>18.714224000000002</v>
      </c>
      <c r="BP21" s="3">
        <v>21.398817999999999</v>
      </c>
      <c r="BQ21" s="3">
        <v>13.603849</v>
      </c>
      <c r="BR21" s="3">
        <v>22.871760999999999</v>
      </c>
      <c r="BS21" s="3">
        <v>13.775981</v>
      </c>
      <c r="BT21" s="3">
        <v>14.677132</v>
      </c>
      <c r="BU21" s="3">
        <v>18.20363</v>
      </c>
      <c r="BV21" s="3">
        <v>15.522741</v>
      </c>
      <c r="BW21" s="3">
        <v>17.957943</v>
      </c>
      <c r="BX21" s="3">
        <v>15.456992</v>
      </c>
      <c r="BY21" s="3">
        <v>15.443021999999999</v>
      </c>
      <c r="BZ21" s="3">
        <v>11.343595000000001</v>
      </c>
      <c r="CA21" s="3">
        <v>13.641425999999999</v>
      </c>
      <c r="CB21" s="3">
        <v>18.016182000000001</v>
      </c>
      <c r="CC21" s="3">
        <v>16.285419000000001</v>
      </c>
      <c r="CD21" s="3">
        <v>16.516258000000001</v>
      </c>
      <c r="CE21" s="3">
        <v>15.213013</v>
      </c>
      <c r="CF21" s="3">
        <v>14.366683999999999</v>
      </c>
      <c r="CG21" s="3">
        <v>11.667717</v>
      </c>
      <c r="CH21" s="3">
        <v>17.372629</v>
      </c>
      <c r="CI21" s="3">
        <v>13.892111999999999</v>
      </c>
      <c r="CJ21" s="3">
        <v>15.452000999999999</v>
      </c>
      <c r="CK21" s="3">
        <v>17.410730000000001</v>
      </c>
      <c r="CL21" s="3">
        <v>18.165226000000001</v>
      </c>
      <c r="CM21" s="3">
        <v>19.675813999999999</v>
      </c>
      <c r="CN21" s="3">
        <v>17.79081</v>
      </c>
      <c r="CO21" s="3">
        <v>12.887150999999999</v>
      </c>
      <c r="CP21" s="3">
        <v>13.65358</v>
      </c>
      <c r="CQ21" s="3">
        <v>16.843288999999999</v>
      </c>
      <c r="CR21" s="3">
        <v>15.105769</v>
      </c>
      <c r="CS21" s="3">
        <v>13.460699</v>
      </c>
      <c r="CT21" s="3">
        <v>20.087737000000001</v>
      </c>
      <c r="CU21" s="3">
        <v>15.51117</v>
      </c>
      <c r="CV21" s="3">
        <v>19.864332000000001</v>
      </c>
      <c r="CW21" s="3">
        <v>21.129541</v>
      </c>
      <c r="CX21" s="3">
        <v>15.767053000000001</v>
      </c>
      <c r="CY21" s="3">
        <v>17.415775</v>
      </c>
      <c r="CZ21" s="3">
        <v>18.136944</v>
      </c>
      <c r="DA21" s="3">
        <v>15.458259</v>
      </c>
      <c r="DB21" s="3">
        <v>20.041162</v>
      </c>
      <c r="DC21" s="3">
        <v>15.795897999999999</v>
      </c>
      <c r="DD21" s="3">
        <v>19.260581999999999</v>
      </c>
      <c r="DE21" s="3">
        <v>20.550015999999999</v>
      </c>
      <c r="DF21" s="3">
        <v>20.219559</v>
      </c>
      <c r="DG21" s="3">
        <v>13.774010000000001</v>
      </c>
      <c r="DH21" s="3">
        <v>14.886065</v>
      </c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</row>
    <row r="22" spans="2:207" x14ac:dyDescent="0.2">
      <c r="G22" s="3"/>
      <c r="H22" s="3"/>
      <c r="I22" s="3"/>
      <c r="J22" s="3"/>
      <c r="K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</row>
    <row r="23" spans="2:207" x14ac:dyDescent="0.2">
      <c r="D23" t="s">
        <v>6</v>
      </c>
      <c r="E23" t="s">
        <v>1</v>
      </c>
      <c r="F23">
        <f>COUNT(M23:GJ23)</f>
        <v>100</v>
      </c>
      <c r="G23" s="3">
        <f>AVERAGE(M23:GJ23)</f>
        <v>12.751268520000004</v>
      </c>
      <c r="H23" s="3">
        <f>MAX(M23:GJ23)</f>
        <v>22.174992</v>
      </c>
      <c r="I23" s="3">
        <f>MIN(M23:GJ23)</f>
        <v>8.157508</v>
      </c>
      <c r="J23" s="3">
        <f>_xlfn.STDEV.P(M23:GJ23)</f>
        <v>2.4821086055057271</v>
      </c>
      <c r="K23" s="3">
        <f>_xlfn.VAR.S(M23:GJ23)</f>
        <v>6.2230940702278659</v>
      </c>
      <c r="M23" s="3">
        <v>17.769307999999999</v>
      </c>
      <c r="N23" s="3">
        <v>12.084315</v>
      </c>
      <c r="O23" s="3">
        <v>15.378075000000001</v>
      </c>
      <c r="P23" s="3">
        <v>16.934849</v>
      </c>
      <c r="Q23" s="3">
        <v>15.956512999999999</v>
      </c>
      <c r="R23" s="3">
        <v>13.497552000000001</v>
      </c>
      <c r="S23" s="3">
        <v>19.628108999999998</v>
      </c>
      <c r="T23" s="3">
        <v>13.551007</v>
      </c>
      <c r="U23" s="3">
        <v>13.35707</v>
      </c>
      <c r="V23" s="3">
        <v>16.342268000000001</v>
      </c>
      <c r="W23" s="3">
        <v>11.153290999999999</v>
      </c>
      <c r="X23" s="3">
        <v>12.025512000000001</v>
      </c>
      <c r="Y23" s="3">
        <v>10.819065</v>
      </c>
      <c r="Z23" s="3">
        <v>12.042619999999999</v>
      </c>
      <c r="AA23" s="3">
        <v>12.634624000000001</v>
      </c>
      <c r="AB23" s="3">
        <v>14.24034</v>
      </c>
      <c r="AC23" s="3">
        <v>10.178001999999999</v>
      </c>
      <c r="AD23" s="3">
        <v>9.6370699999999996</v>
      </c>
      <c r="AE23" s="3">
        <v>9.3185389999999995</v>
      </c>
      <c r="AF23" s="3">
        <v>12.326755</v>
      </c>
      <c r="AG23" s="3">
        <v>14.091459</v>
      </c>
      <c r="AH23" s="3">
        <v>10.825027</v>
      </c>
      <c r="AI23" s="3">
        <v>13.601853999999999</v>
      </c>
      <c r="AJ23" s="3">
        <v>12.463889</v>
      </c>
      <c r="AK23" s="3">
        <v>12.998192</v>
      </c>
      <c r="AL23" s="3">
        <v>12.500793</v>
      </c>
      <c r="AM23" s="3">
        <v>11.899020999999999</v>
      </c>
      <c r="AN23" s="3">
        <v>13.212985</v>
      </c>
      <c r="AO23" s="3">
        <v>12.21332</v>
      </c>
      <c r="AP23" s="3">
        <v>10.860593</v>
      </c>
      <c r="AQ23" s="3">
        <v>16.932324999999999</v>
      </c>
      <c r="AR23" s="3">
        <v>10.602107999999999</v>
      </c>
      <c r="AS23" s="3">
        <v>19.266082999999998</v>
      </c>
      <c r="AT23" s="3">
        <v>11.964332000000001</v>
      </c>
      <c r="AU23" s="3">
        <v>12.03172</v>
      </c>
      <c r="AV23" s="3">
        <v>11.447006</v>
      </c>
      <c r="AW23" s="3">
        <v>11.384747000000001</v>
      </c>
      <c r="AX23" s="3">
        <v>15.488701000000001</v>
      </c>
      <c r="AY23" s="3">
        <v>14.558816999999999</v>
      </c>
      <c r="AZ23" s="3">
        <v>10.565505999999999</v>
      </c>
      <c r="BA23" s="3">
        <v>11.035844000000001</v>
      </c>
      <c r="BB23" s="3">
        <v>15.415604</v>
      </c>
      <c r="BC23" s="3">
        <v>9.9684109999999997</v>
      </c>
      <c r="BD23" s="3">
        <v>12.612169</v>
      </c>
      <c r="BE23" s="3">
        <v>14.152488</v>
      </c>
      <c r="BF23" s="3">
        <v>11.743517000000001</v>
      </c>
      <c r="BG23" s="3">
        <v>13.497638</v>
      </c>
      <c r="BH23" s="3">
        <v>14.793721</v>
      </c>
      <c r="BI23" s="3">
        <v>11.626253</v>
      </c>
      <c r="BJ23" s="3">
        <v>13.418725999999999</v>
      </c>
      <c r="BK23" s="3">
        <v>13.265129999999999</v>
      </c>
      <c r="BL23" s="3">
        <v>10.274945000000001</v>
      </c>
      <c r="BM23" s="3">
        <v>9.4593520000000009</v>
      </c>
      <c r="BN23" s="3">
        <v>9.1768389999999993</v>
      </c>
      <c r="BO23" s="3">
        <v>11.849622</v>
      </c>
      <c r="BP23" s="3">
        <v>10.516135999999999</v>
      </c>
      <c r="BQ23" s="3">
        <v>11.667747</v>
      </c>
      <c r="BR23" s="3">
        <v>18.554328999999999</v>
      </c>
      <c r="BS23" s="3">
        <v>12.666914</v>
      </c>
      <c r="BT23" s="3">
        <v>8.9732269999999996</v>
      </c>
      <c r="BU23" s="3">
        <v>12.97603</v>
      </c>
      <c r="BV23" s="3">
        <v>12.241165000000001</v>
      </c>
      <c r="BW23" s="3">
        <v>10.906033000000001</v>
      </c>
      <c r="BX23" s="3">
        <v>12.025283999999999</v>
      </c>
      <c r="BY23" s="3">
        <v>15.376882</v>
      </c>
      <c r="BZ23" s="3">
        <v>14.191775</v>
      </c>
      <c r="CA23" s="3">
        <v>13.675668999999999</v>
      </c>
      <c r="CB23" s="3">
        <v>9.7321449999999992</v>
      </c>
      <c r="CC23" s="3">
        <v>11.419535</v>
      </c>
      <c r="CD23" s="3">
        <v>13.638161999999999</v>
      </c>
      <c r="CE23" s="3">
        <v>12.153934</v>
      </c>
      <c r="CF23" s="3">
        <v>17.251595999999999</v>
      </c>
      <c r="CG23" s="3">
        <v>13.697212</v>
      </c>
      <c r="CH23" s="3">
        <v>11.836130000000001</v>
      </c>
      <c r="CI23" s="3">
        <v>8.7962699999999998</v>
      </c>
      <c r="CJ23" s="3">
        <v>13.050414</v>
      </c>
      <c r="CK23" s="3">
        <v>11.361459</v>
      </c>
      <c r="CL23" s="3">
        <v>12.109450000000001</v>
      </c>
      <c r="CM23" s="3">
        <v>12.04317</v>
      </c>
      <c r="CN23" s="3">
        <v>12.361751999999999</v>
      </c>
      <c r="CO23" s="3">
        <v>9.5545200000000001</v>
      </c>
      <c r="CP23" s="3">
        <v>12.439309</v>
      </c>
      <c r="CQ23" s="3">
        <v>12.258576</v>
      </c>
      <c r="CR23" s="3">
        <v>15.423802</v>
      </c>
      <c r="CS23" s="3">
        <v>9.2032319999999999</v>
      </c>
      <c r="CT23" s="3">
        <v>13.927939</v>
      </c>
      <c r="CU23" s="3">
        <v>14.563866000000001</v>
      </c>
      <c r="CV23" s="3">
        <v>12.321308999999999</v>
      </c>
      <c r="CW23" s="3">
        <v>13.237356</v>
      </c>
      <c r="CX23" s="3">
        <v>12.510014999999999</v>
      </c>
      <c r="CY23" s="3">
        <v>10.218571000000001</v>
      </c>
      <c r="CZ23" s="3">
        <v>13.548878</v>
      </c>
      <c r="DA23" s="3">
        <v>12.258557</v>
      </c>
      <c r="DB23" s="3">
        <v>9.1058450000000004</v>
      </c>
      <c r="DC23" s="3">
        <v>14.129810000000001</v>
      </c>
      <c r="DD23" s="3">
        <v>10.327451</v>
      </c>
      <c r="DE23" s="3">
        <v>22.174992</v>
      </c>
      <c r="DF23" s="3">
        <v>15.108129</v>
      </c>
      <c r="DG23" s="3">
        <v>11.361146</v>
      </c>
      <c r="DH23" s="3">
        <v>8.157508</v>
      </c>
      <c r="DI23" s="3"/>
      <c r="DJ23" s="3"/>
      <c r="DM23" s="3"/>
      <c r="DN23" s="3"/>
      <c r="DP23" s="3"/>
      <c r="DQ23" s="3"/>
      <c r="DR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</row>
    <row r="25" spans="2:207" x14ac:dyDescent="0.2">
      <c r="D25" s="1"/>
    </row>
    <row r="26" spans="2:207" x14ac:dyDescent="0.2">
      <c r="B26" t="s">
        <v>64</v>
      </c>
      <c r="D26" s="1" t="s">
        <v>29</v>
      </c>
    </row>
    <row r="27" spans="2:207" x14ac:dyDescent="0.2">
      <c r="B27" s="2" t="s">
        <v>30</v>
      </c>
      <c r="D27" t="s">
        <v>3</v>
      </c>
      <c r="E27" t="s">
        <v>1</v>
      </c>
      <c r="F27">
        <f>COUNT(M27:GJ27)</f>
        <v>100</v>
      </c>
      <c r="G27" s="3">
        <f>AVERAGE(M27:GJ27)</f>
        <v>24.998749429999997</v>
      </c>
      <c r="H27" s="3">
        <f>MAX(M27:GJ27)</f>
        <v>30.033770000000001</v>
      </c>
      <c r="I27" s="3">
        <f>MIN(M27:GJ27)</f>
        <v>22.290763999999999</v>
      </c>
      <c r="J27" s="3">
        <f>_xlfn.STDEV.P(M27:GJ27)</f>
        <v>1.4909002886341678</v>
      </c>
      <c r="K27" s="3">
        <f>_xlfn.VAR.S(M27:GJ27)</f>
        <v>2.2452360309590356</v>
      </c>
      <c r="M27" s="3">
        <v>24.270325</v>
      </c>
      <c r="N27" s="3">
        <v>24.110825999999999</v>
      </c>
      <c r="O27" s="3">
        <v>28.245795999999999</v>
      </c>
      <c r="P27" s="3">
        <v>23.541214</v>
      </c>
      <c r="Q27" s="3">
        <v>28.425992999999998</v>
      </c>
      <c r="R27" s="3">
        <v>25.198474999999998</v>
      </c>
      <c r="S27" s="3">
        <v>28.154108000000001</v>
      </c>
      <c r="T27" s="3">
        <v>24.915699</v>
      </c>
      <c r="U27" s="3">
        <v>25.174208</v>
      </c>
      <c r="V27" s="3">
        <v>25.731821</v>
      </c>
      <c r="W27" s="3">
        <v>23.735658999999998</v>
      </c>
      <c r="X27" s="3">
        <v>24.548314999999999</v>
      </c>
      <c r="Y27" s="3">
        <v>25.909967000000002</v>
      </c>
      <c r="Z27" s="3">
        <v>24.100771000000002</v>
      </c>
      <c r="AA27" s="3">
        <v>23.550823000000001</v>
      </c>
      <c r="AB27" s="3">
        <v>26.214205</v>
      </c>
      <c r="AC27" s="3">
        <v>26.085363000000001</v>
      </c>
      <c r="AD27" s="3">
        <v>23.755662999999998</v>
      </c>
      <c r="AE27" s="3">
        <v>25.125586999999999</v>
      </c>
      <c r="AF27" s="3">
        <v>23.637664999999998</v>
      </c>
      <c r="AG27" s="3">
        <v>24.522732000000001</v>
      </c>
      <c r="AH27" s="3">
        <v>23.709983999999999</v>
      </c>
      <c r="AI27" s="3">
        <v>22.290763999999999</v>
      </c>
      <c r="AJ27" s="3">
        <v>23.463123</v>
      </c>
      <c r="AK27" s="3">
        <v>26.287472000000001</v>
      </c>
      <c r="AL27" s="3">
        <v>24.609245000000001</v>
      </c>
      <c r="AM27" s="3">
        <v>25.269161</v>
      </c>
      <c r="AN27" s="3">
        <v>24.099442</v>
      </c>
      <c r="AO27" s="3">
        <v>27.496773000000001</v>
      </c>
      <c r="AP27" s="3">
        <v>24.110374</v>
      </c>
      <c r="AQ27" s="3">
        <v>25.190957999999998</v>
      </c>
      <c r="AR27" s="3">
        <v>22.787936999999999</v>
      </c>
      <c r="AS27" s="3">
        <v>26.33766</v>
      </c>
      <c r="AT27" s="3">
        <v>30.033770000000001</v>
      </c>
      <c r="AU27" s="3">
        <v>23.023443</v>
      </c>
      <c r="AV27" s="3">
        <v>24.998116</v>
      </c>
      <c r="AW27" s="3">
        <v>24.712101000000001</v>
      </c>
      <c r="AX27" s="3">
        <v>25.955631</v>
      </c>
      <c r="AY27" s="3">
        <v>27.247778</v>
      </c>
      <c r="AZ27" s="3">
        <v>25.803052999999998</v>
      </c>
      <c r="BA27" s="3">
        <v>23.248383</v>
      </c>
      <c r="BB27" s="3">
        <v>25.486795000000001</v>
      </c>
      <c r="BC27" s="3">
        <v>23.715779999999999</v>
      </c>
      <c r="BD27" s="3">
        <v>23.851896</v>
      </c>
      <c r="BE27" s="3">
        <v>24.612423</v>
      </c>
      <c r="BF27" s="3">
        <v>24.552513000000001</v>
      </c>
      <c r="BG27" s="3">
        <v>23.881481000000001</v>
      </c>
      <c r="BH27" s="3">
        <v>26.563701999999999</v>
      </c>
      <c r="BI27" s="3">
        <v>24.401582999999999</v>
      </c>
      <c r="BJ27" s="3">
        <v>24.524994</v>
      </c>
      <c r="BK27" s="3">
        <v>26.263808999999998</v>
      </c>
      <c r="BL27" s="3">
        <v>26.851578</v>
      </c>
      <c r="BM27" s="3">
        <v>25.027114999999998</v>
      </c>
      <c r="BN27" s="3">
        <v>24.471357000000001</v>
      </c>
      <c r="BO27" s="3">
        <v>27.88533</v>
      </c>
      <c r="BP27" s="3">
        <v>27.021231</v>
      </c>
      <c r="BQ27" s="3">
        <v>26.252002999999998</v>
      </c>
      <c r="BR27" s="3">
        <v>23.597094999999999</v>
      </c>
      <c r="BS27" s="3">
        <v>25.271694</v>
      </c>
      <c r="BT27" s="3">
        <v>23.716286</v>
      </c>
      <c r="BU27" s="3">
        <v>23.876835</v>
      </c>
      <c r="BV27" s="3">
        <v>23.200676000000001</v>
      </c>
      <c r="BW27" s="3">
        <v>24.727606000000002</v>
      </c>
      <c r="BX27" s="3">
        <v>24.470917</v>
      </c>
      <c r="BY27" s="3">
        <v>25.292491999999999</v>
      </c>
      <c r="BZ27" s="3">
        <v>23.441832999999999</v>
      </c>
      <c r="CA27" s="3">
        <v>27.263382</v>
      </c>
      <c r="CB27" s="3">
        <v>26.261897999999999</v>
      </c>
      <c r="CC27" s="3">
        <v>24.211603</v>
      </c>
      <c r="CD27" s="3">
        <v>23.835331</v>
      </c>
      <c r="CE27" s="3">
        <v>24.479790000000001</v>
      </c>
      <c r="CF27" s="3">
        <v>23.408823000000002</v>
      </c>
      <c r="CG27" s="3">
        <v>25.450039</v>
      </c>
      <c r="CH27" s="3">
        <v>24.934363999999999</v>
      </c>
      <c r="CI27" s="3">
        <v>23.775649999999999</v>
      </c>
      <c r="CJ27" s="3">
        <v>23.831757</v>
      </c>
      <c r="CK27" s="3">
        <v>26.517251999999999</v>
      </c>
      <c r="CL27" s="3">
        <v>22.943214000000001</v>
      </c>
      <c r="CM27" s="3">
        <v>24.004235999999999</v>
      </c>
      <c r="CN27" s="3">
        <v>27.104614000000002</v>
      </c>
      <c r="CO27" s="3">
        <v>26.155825</v>
      </c>
      <c r="CP27" s="3">
        <v>23.669611</v>
      </c>
      <c r="CQ27" s="3">
        <v>28.683731000000002</v>
      </c>
      <c r="CR27" s="3">
        <v>23.379242000000001</v>
      </c>
      <c r="CS27" s="3">
        <v>24.053159999999998</v>
      </c>
      <c r="CT27" s="3">
        <v>23.533446999999999</v>
      </c>
      <c r="CU27" s="3">
        <v>25.359767999999999</v>
      </c>
      <c r="CV27" s="3">
        <v>23.546804000000002</v>
      </c>
      <c r="CW27" s="3">
        <v>25.845082999999999</v>
      </c>
      <c r="CX27" s="3">
        <v>24.996763000000001</v>
      </c>
      <c r="CY27" s="3">
        <v>25.611509000000002</v>
      </c>
      <c r="CZ27" s="3">
        <v>26.174268999999999</v>
      </c>
      <c r="DA27" s="3">
        <v>25.076357000000002</v>
      </c>
      <c r="DB27" s="3">
        <v>22.512262</v>
      </c>
      <c r="DC27" s="3">
        <v>23.490870999999999</v>
      </c>
      <c r="DD27" s="3">
        <v>27.300453000000001</v>
      </c>
      <c r="DE27" s="3">
        <v>25.704809000000001</v>
      </c>
      <c r="DF27" s="3">
        <v>25.575721999999999</v>
      </c>
      <c r="DG27" s="3">
        <v>24.364083999999998</v>
      </c>
      <c r="DH27" s="3">
        <v>24.229813</v>
      </c>
      <c r="DI27" s="3"/>
      <c r="DJ27" s="3"/>
      <c r="DM27" s="3"/>
      <c r="DN27" s="3"/>
      <c r="DP27" s="3"/>
      <c r="DQ27" s="3"/>
      <c r="DR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</row>
    <row r="28" spans="2:207" x14ac:dyDescent="0.2">
      <c r="B28" s="2" t="s">
        <v>31</v>
      </c>
      <c r="G28" s="3"/>
      <c r="H28" s="3"/>
      <c r="I28" s="3"/>
      <c r="J28" s="3"/>
      <c r="K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M28" s="3"/>
      <c r="DN28" s="3"/>
      <c r="DP28" s="3"/>
      <c r="DQ28" s="3"/>
      <c r="DR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</row>
    <row r="29" spans="2:207" x14ac:dyDescent="0.2">
      <c r="B29" s="2" t="s">
        <v>32</v>
      </c>
      <c r="D29" t="s">
        <v>4</v>
      </c>
      <c r="E29" t="s">
        <v>1</v>
      </c>
      <c r="F29">
        <f>COUNT(M29:GJ29)</f>
        <v>100</v>
      </c>
      <c r="G29" s="3">
        <f>AVERAGE(M29:GJ29)</f>
        <v>28.279464139999995</v>
      </c>
      <c r="H29" s="3">
        <f>MAX(M29:GJ29)</f>
        <v>35.505600000000001</v>
      </c>
      <c r="I29" s="3">
        <f>MIN(M29:GJ29)</f>
        <v>21.973827</v>
      </c>
      <c r="J29" s="3">
        <f>_xlfn.STDEV.P(M29:GJ29)</f>
        <v>2.5350134204207162</v>
      </c>
      <c r="K29" s="3">
        <f>_xlfn.VAR.S(M29:GJ29)</f>
        <v>6.491205092639535</v>
      </c>
      <c r="M29" s="3">
        <v>28.204718</v>
      </c>
      <c r="N29" s="3">
        <v>25.448606000000002</v>
      </c>
      <c r="O29" s="3">
        <v>28.047201000000001</v>
      </c>
      <c r="P29" s="3">
        <v>31.010477000000002</v>
      </c>
      <c r="Q29" s="3">
        <v>30.428488000000002</v>
      </c>
      <c r="R29" s="3">
        <v>31.234117999999999</v>
      </c>
      <c r="S29" s="3">
        <v>28.413677</v>
      </c>
      <c r="T29" s="3">
        <v>35.505600000000001</v>
      </c>
      <c r="U29" s="3">
        <v>27.015727999999999</v>
      </c>
      <c r="V29" s="3">
        <v>25.542190999999999</v>
      </c>
      <c r="W29" s="3">
        <v>30.331161000000002</v>
      </c>
      <c r="X29" s="3">
        <v>29.378395000000001</v>
      </c>
      <c r="Y29" s="3">
        <v>27.445468999999999</v>
      </c>
      <c r="Z29" s="3">
        <v>24.935413</v>
      </c>
      <c r="AA29" s="3">
        <v>26.286144</v>
      </c>
      <c r="AB29" s="3">
        <v>26.412763999999999</v>
      </c>
      <c r="AC29" s="3">
        <v>27.174828000000002</v>
      </c>
      <c r="AD29" s="3">
        <v>31.816669000000001</v>
      </c>
      <c r="AE29" s="3">
        <v>35.218043999999999</v>
      </c>
      <c r="AF29" s="3">
        <v>29.137509999999999</v>
      </c>
      <c r="AG29" s="3">
        <v>28.192319999999999</v>
      </c>
      <c r="AH29" s="3">
        <v>28.231846000000001</v>
      </c>
      <c r="AI29" s="3">
        <v>31.740932000000001</v>
      </c>
      <c r="AJ29" s="3">
        <v>31.736635</v>
      </c>
      <c r="AK29" s="3">
        <v>25.922964</v>
      </c>
      <c r="AL29" s="3">
        <v>30.585311999999998</v>
      </c>
      <c r="AM29" s="3">
        <v>26.776066</v>
      </c>
      <c r="AN29" s="3">
        <v>30.330347</v>
      </c>
      <c r="AO29" s="3">
        <v>28.947337999999998</v>
      </c>
      <c r="AP29" s="3">
        <v>28.85615</v>
      </c>
      <c r="AQ29" s="3">
        <v>29.716797</v>
      </c>
      <c r="AR29" s="3">
        <v>27.164452000000001</v>
      </c>
      <c r="AS29" s="3">
        <v>29.926784999999999</v>
      </c>
      <c r="AT29" s="3">
        <v>30.844265</v>
      </c>
      <c r="AU29" s="3">
        <v>25.907056999999998</v>
      </c>
      <c r="AV29" s="3">
        <v>29.471402999999999</v>
      </c>
      <c r="AW29" s="3">
        <v>26.032049000000001</v>
      </c>
      <c r="AX29" s="3">
        <v>28.257518999999998</v>
      </c>
      <c r="AY29" s="3">
        <v>24.865632999999999</v>
      </c>
      <c r="AZ29" s="3">
        <v>29.546510999999999</v>
      </c>
      <c r="BA29" s="3">
        <v>27.235537000000001</v>
      </c>
      <c r="BB29" s="3">
        <v>27.359848</v>
      </c>
      <c r="BC29" s="3">
        <v>28.843084000000001</v>
      </c>
      <c r="BD29" s="3">
        <v>29.391085</v>
      </c>
      <c r="BE29" s="3">
        <v>26.582298000000002</v>
      </c>
      <c r="BF29" s="3">
        <v>25.530716000000002</v>
      </c>
      <c r="BG29" s="3">
        <v>29.063666999999999</v>
      </c>
      <c r="BH29" s="3">
        <v>27.515581000000001</v>
      </c>
      <c r="BI29" s="3">
        <v>27.559393</v>
      </c>
      <c r="BJ29" s="3">
        <v>22.612794999999998</v>
      </c>
      <c r="BK29" s="3">
        <v>29.199852</v>
      </c>
      <c r="BL29" s="3">
        <v>28.271799000000001</v>
      </c>
      <c r="BM29" s="3">
        <v>30.032668999999999</v>
      </c>
      <c r="BN29" s="3">
        <v>25.755320000000001</v>
      </c>
      <c r="BO29" s="3">
        <v>31.685326</v>
      </c>
      <c r="BP29" s="3">
        <v>33.358336999999999</v>
      </c>
      <c r="BQ29" s="3">
        <v>31.666060999999999</v>
      </c>
      <c r="BR29" s="3">
        <v>28.543053</v>
      </c>
      <c r="BS29" s="3">
        <v>25.168869000000001</v>
      </c>
      <c r="BT29" s="3">
        <v>28.512277999999998</v>
      </c>
      <c r="BU29" s="3">
        <v>33.871319</v>
      </c>
      <c r="BV29" s="3">
        <v>28.075624000000001</v>
      </c>
      <c r="BW29" s="3">
        <v>27.393215000000001</v>
      </c>
      <c r="BX29" s="3">
        <v>28.545725000000001</v>
      </c>
      <c r="BY29" s="3">
        <v>30.508778</v>
      </c>
      <c r="BZ29" s="3">
        <v>30.897707</v>
      </c>
      <c r="CA29" s="3">
        <v>29.262374999999999</v>
      </c>
      <c r="CB29" s="3">
        <v>32.950057999999999</v>
      </c>
      <c r="CC29" s="3">
        <v>29.750328</v>
      </c>
      <c r="CD29" s="3">
        <v>25.643152000000001</v>
      </c>
      <c r="CE29" s="3">
        <v>25.204626000000001</v>
      </c>
      <c r="CF29" s="3">
        <v>26.123486</v>
      </c>
      <c r="CG29" s="3">
        <v>28.110102000000001</v>
      </c>
      <c r="CH29" s="3">
        <v>26.794574999999998</v>
      </c>
      <c r="CI29" s="3">
        <v>29.072603000000001</v>
      </c>
      <c r="CJ29" s="3">
        <v>27.691707999999998</v>
      </c>
      <c r="CK29" s="3">
        <v>26.539677000000001</v>
      </c>
      <c r="CL29" s="3">
        <v>27.110558999999999</v>
      </c>
      <c r="CM29" s="3">
        <v>24.182670999999999</v>
      </c>
      <c r="CN29" s="3">
        <v>26.807590000000001</v>
      </c>
      <c r="CO29" s="3">
        <v>26.455960999999999</v>
      </c>
      <c r="CP29" s="3">
        <v>29.778669000000001</v>
      </c>
      <c r="CQ29" s="3">
        <v>29.829756</v>
      </c>
      <c r="CR29" s="3">
        <v>25.094683</v>
      </c>
      <c r="CS29" s="3">
        <v>23.311624999999999</v>
      </c>
      <c r="CT29" s="3">
        <v>28.564969999999999</v>
      </c>
      <c r="CU29" s="3">
        <v>24.730295000000002</v>
      </c>
      <c r="CV29" s="3">
        <v>30.493603</v>
      </c>
      <c r="CW29" s="3">
        <v>27.522504999999999</v>
      </c>
      <c r="CX29" s="3">
        <v>30.007117999999998</v>
      </c>
      <c r="CY29" s="3">
        <v>29.391584000000002</v>
      </c>
      <c r="CZ29" s="3">
        <v>29.49596</v>
      </c>
      <c r="DA29" s="3">
        <v>30.045653999999999</v>
      </c>
      <c r="DB29" s="3">
        <v>30.700171999999998</v>
      </c>
      <c r="DC29" s="3">
        <v>24.353437</v>
      </c>
      <c r="DD29" s="3">
        <v>21.973827</v>
      </c>
      <c r="DE29" s="3">
        <v>26.670217999999998</v>
      </c>
      <c r="DF29" s="3">
        <v>24.896899999999999</v>
      </c>
      <c r="DG29" s="3">
        <v>25.653210000000001</v>
      </c>
      <c r="DH29" s="3">
        <v>28.513238999999999</v>
      </c>
      <c r="DI29" s="3"/>
      <c r="DJ29" s="3"/>
      <c r="DM29" s="3"/>
      <c r="DN29" s="3"/>
      <c r="DP29" s="3"/>
      <c r="DQ29" s="3"/>
      <c r="DR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</row>
    <row r="30" spans="2:207" x14ac:dyDescent="0.2">
      <c r="G30" s="3"/>
      <c r="H30" s="3"/>
      <c r="I30" s="3"/>
      <c r="J30" s="3"/>
      <c r="K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M30" s="3"/>
      <c r="DN30" s="3"/>
      <c r="DP30" s="3"/>
      <c r="DQ30" s="3"/>
      <c r="DR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</row>
    <row r="31" spans="2:207" x14ac:dyDescent="0.2">
      <c r="D31" t="s">
        <v>2</v>
      </c>
      <c r="E31" t="s">
        <v>1</v>
      </c>
      <c r="F31">
        <f>COUNT(M31:GJ31)</f>
        <v>100</v>
      </c>
      <c r="G31" s="3">
        <f>AVERAGE(M31:GJ31)</f>
        <v>31.466978969999996</v>
      </c>
      <c r="H31" s="3">
        <f>MAX(M31:GJ31)</f>
        <v>37.549495999999998</v>
      </c>
      <c r="I31" s="3">
        <f>MIN(M31:GJ31)</f>
        <v>27.142315</v>
      </c>
      <c r="J31" s="3">
        <f>_xlfn.STDEV.P(M31:GJ31)</f>
        <v>2.4556012057731094</v>
      </c>
      <c r="K31" s="3">
        <f>_xlfn.VAR.S(M31:GJ31)</f>
        <v>6.0908861432266157</v>
      </c>
      <c r="M31" s="3">
        <v>29.592956999999998</v>
      </c>
      <c r="N31" s="3">
        <v>31.008638000000001</v>
      </c>
      <c r="O31" s="3">
        <v>34.649399000000003</v>
      </c>
      <c r="P31" s="3">
        <v>36.777779000000002</v>
      </c>
      <c r="Q31" s="3">
        <v>34.575980999999999</v>
      </c>
      <c r="R31" s="3">
        <v>32.214354999999998</v>
      </c>
      <c r="S31" s="3">
        <v>31.189361999999999</v>
      </c>
      <c r="T31" s="3">
        <v>32.172114999999998</v>
      </c>
      <c r="U31" s="3">
        <v>34.493572</v>
      </c>
      <c r="V31" s="3">
        <v>30.264638999999999</v>
      </c>
      <c r="W31" s="3">
        <v>30.673501999999999</v>
      </c>
      <c r="X31" s="3">
        <v>36.706164999999999</v>
      </c>
      <c r="Y31" s="3">
        <v>33.505386000000001</v>
      </c>
      <c r="Z31" s="3">
        <v>33.920475000000003</v>
      </c>
      <c r="AA31" s="3">
        <v>34.993164</v>
      </c>
      <c r="AB31" s="3">
        <v>33.605694</v>
      </c>
      <c r="AC31" s="3">
        <v>33.785912000000003</v>
      </c>
      <c r="AD31" s="3">
        <v>34.297668000000002</v>
      </c>
      <c r="AE31" s="3">
        <v>34.918892</v>
      </c>
      <c r="AF31" s="3">
        <v>31.06514</v>
      </c>
      <c r="AG31" s="3">
        <v>29.283165</v>
      </c>
      <c r="AH31" s="3">
        <v>29.982948</v>
      </c>
      <c r="AI31" s="3">
        <v>31.70487</v>
      </c>
      <c r="AJ31" s="3">
        <v>33.207965999999999</v>
      </c>
      <c r="AK31" s="3">
        <v>29.675037</v>
      </c>
      <c r="AL31" s="3">
        <v>31.445558999999999</v>
      </c>
      <c r="AM31" s="3">
        <v>30.950315</v>
      </c>
      <c r="AN31" s="3">
        <v>32.212761</v>
      </c>
      <c r="AO31" s="3">
        <v>32.680325000000003</v>
      </c>
      <c r="AP31" s="3">
        <v>32.114815</v>
      </c>
      <c r="AQ31" s="3">
        <v>27.405964000000001</v>
      </c>
      <c r="AR31" s="3">
        <v>29.347394999999999</v>
      </c>
      <c r="AS31" s="3">
        <v>33.130885999999997</v>
      </c>
      <c r="AT31" s="3">
        <v>30.689924000000001</v>
      </c>
      <c r="AU31" s="3">
        <v>29.822514999999999</v>
      </c>
      <c r="AV31" s="3">
        <v>28.260672</v>
      </c>
      <c r="AW31" s="3">
        <v>28.475334</v>
      </c>
      <c r="AX31" s="3">
        <v>29.459591</v>
      </c>
      <c r="AY31" s="3">
        <v>28.798563000000001</v>
      </c>
      <c r="AZ31" s="3">
        <v>29.015813999999999</v>
      </c>
      <c r="BA31" s="3">
        <v>29.558150999999999</v>
      </c>
      <c r="BB31" s="3">
        <v>34.240749000000001</v>
      </c>
      <c r="BC31" s="3">
        <v>30.130683999999999</v>
      </c>
      <c r="BD31" s="3">
        <v>33.414368000000003</v>
      </c>
      <c r="BE31" s="3">
        <v>30.796683999999999</v>
      </c>
      <c r="BF31" s="3">
        <v>31.874393000000001</v>
      </c>
      <c r="BG31" s="3">
        <v>33.223712999999996</v>
      </c>
      <c r="BH31" s="3">
        <v>30.3188</v>
      </c>
      <c r="BI31" s="3">
        <v>31.201269</v>
      </c>
      <c r="BJ31" s="3">
        <v>32.733032000000001</v>
      </c>
      <c r="BK31" s="3">
        <v>29.131571000000001</v>
      </c>
      <c r="BL31" s="3">
        <v>30.483809999999998</v>
      </c>
      <c r="BM31" s="3">
        <v>29.981535000000001</v>
      </c>
      <c r="BN31" s="3">
        <v>30.199112</v>
      </c>
      <c r="BO31" s="3">
        <v>30.124731000000001</v>
      </c>
      <c r="BP31" s="3">
        <v>31.145057999999999</v>
      </c>
      <c r="BQ31" s="3">
        <v>30.460751999999999</v>
      </c>
      <c r="BR31" s="3">
        <v>29.146732</v>
      </c>
      <c r="BS31" s="3">
        <v>31.337150999999999</v>
      </c>
      <c r="BT31" s="3">
        <v>30.208078</v>
      </c>
      <c r="BU31" s="3">
        <v>30.792104999999999</v>
      </c>
      <c r="BV31" s="3">
        <v>37.549495999999998</v>
      </c>
      <c r="BW31" s="3">
        <v>31.461175999999998</v>
      </c>
      <c r="BX31" s="3">
        <v>33.941001999999997</v>
      </c>
      <c r="BY31" s="3">
        <v>33.761603999999998</v>
      </c>
      <c r="BZ31" s="3">
        <v>32.317757</v>
      </c>
      <c r="CA31" s="3">
        <v>35.007595000000002</v>
      </c>
      <c r="CB31" s="3">
        <v>34.484065999999999</v>
      </c>
      <c r="CC31" s="3">
        <v>35.971130000000002</v>
      </c>
      <c r="CD31" s="3">
        <v>31.128620000000002</v>
      </c>
      <c r="CE31" s="3">
        <v>27.256333999999999</v>
      </c>
      <c r="CF31" s="3">
        <v>27.147639999999999</v>
      </c>
      <c r="CG31" s="3">
        <v>30.616707000000002</v>
      </c>
      <c r="CH31" s="3">
        <v>27.948965000000001</v>
      </c>
      <c r="CI31" s="3">
        <v>27.537939000000001</v>
      </c>
      <c r="CJ31" s="3">
        <v>28.521564000000001</v>
      </c>
      <c r="CK31" s="3">
        <v>27.849335</v>
      </c>
      <c r="CL31" s="3">
        <v>29.183138</v>
      </c>
      <c r="CM31" s="3">
        <v>28.575818999999999</v>
      </c>
      <c r="CN31" s="3">
        <v>28.308997999999999</v>
      </c>
      <c r="CO31" s="3">
        <v>30.405144</v>
      </c>
      <c r="CP31" s="3">
        <v>30.523461999999999</v>
      </c>
      <c r="CQ31" s="3">
        <v>31.664304999999999</v>
      </c>
      <c r="CR31" s="3">
        <v>30.020102999999999</v>
      </c>
      <c r="CS31" s="3">
        <v>27.142315</v>
      </c>
      <c r="CT31" s="3">
        <v>30.146664000000001</v>
      </c>
      <c r="CU31" s="3">
        <v>29.974488999999998</v>
      </c>
      <c r="CV31" s="3">
        <v>30.656942000000001</v>
      </c>
      <c r="CW31" s="3">
        <v>30.419165</v>
      </c>
      <c r="CX31" s="3">
        <v>28.459232</v>
      </c>
      <c r="CY31" s="3">
        <v>32.759647000000001</v>
      </c>
      <c r="CZ31" s="3">
        <v>29.894178</v>
      </c>
      <c r="DA31" s="3">
        <v>34.912514000000002</v>
      </c>
      <c r="DB31" s="3">
        <v>36.31897</v>
      </c>
      <c r="DC31" s="3">
        <v>37.292746999999999</v>
      </c>
      <c r="DD31" s="3">
        <v>33.181240000000003</v>
      </c>
      <c r="DE31" s="3">
        <v>32.101871000000003</v>
      </c>
      <c r="DF31" s="3">
        <v>33.327117999999999</v>
      </c>
      <c r="DG31" s="3">
        <v>35.414901999999998</v>
      </c>
      <c r="DH31" s="3">
        <v>30.936312000000001</v>
      </c>
      <c r="DI31" s="3"/>
      <c r="DJ31" s="3"/>
      <c r="DM31" s="3"/>
      <c r="DN31" s="3"/>
      <c r="DP31" s="3"/>
      <c r="DQ31" s="3"/>
      <c r="DR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</row>
    <row r="32" spans="2:207" x14ac:dyDescent="0.2">
      <c r="G32" s="3"/>
      <c r="H32" s="3"/>
      <c r="I32" s="3"/>
      <c r="J32" s="3"/>
      <c r="K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M32" s="3"/>
      <c r="DN32" s="3"/>
      <c r="DP32" s="3"/>
      <c r="DQ32" s="3"/>
      <c r="DR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</row>
    <row r="33" spans="2:207" x14ac:dyDescent="0.2">
      <c r="D33" t="s">
        <v>5</v>
      </c>
      <c r="E33" t="s">
        <v>1</v>
      </c>
      <c r="F33">
        <f>COUNT(M33:GJ33)</f>
        <v>100</v>
      </c>
      <c r="G33" s="3">
        <f>AVERAGE(M33:GJ33)</f>
        <v>22.633559889999994</v>
      </c>
      <c r="H33" s="3">
        <f>MAX(M33:GJ33)</f>
        <v>26.644397999999999</v>
      </c>
      <c r="I33" s="3">
        <f>MIN(M33:GJ33)</f>
        <v>19.818867000000001</v>
      </c>
      <c r="J33" s="3">
        <f>_xlfn.STDEV.P(M33:GJ33)</f>
        <v>1.5607819511262864</v>
      </c>
      <c r="K33" s="3">
        <f>_xlfn.VAR.S(M33:GJ33)</f>
        <v>2.460646766627856</v>
      </c>
      <c r="M33" s="3">
        <v>21.934066999999999</v>
      </c>
      <c r="N33" s="3">
        <v>22.667116</v>
      </c>
      <c r="O33" s="3">
        <v>22.483839</v>
      </c>
      <c r="P33" s="3">
        <v>20.418527999999998</v>
      </c>
      <c r="Q33" s="3">
        <v>21.813927</v>
      </c>
      <c r="R33" s="3">
        <v>19.818867000000001</v>
      </c>
      <c r="S33" s="3">
        <v>24.790887999999999</v>
      </c>
      <c r="T33" s="3">
        <v>21.953472000000001</v>
      </c>
      <c r="U33" s="3">
        <v>21.557541000000001</v>
      </c>
      <c r="V33" s="3">
        <v>24.446289</v>
      </c>
      <c r="W33" s="3">
        <v>23.495476</v>
      </c>
      <c r="X33" s="3">
        <v>22.782133000000002</v>
      </c>
      <c r="Y33" s="3">
        <v>21.072441000000001</v>
      </c>
      <c r="Z33" s="3">
        <v>21.749476999999999</v>
      </c>
      <c r="AA33" s="3">
        <v>21.035501</v>
      </c>
      <c r="AB33" s="3">
        <v>20.428930000000001</v>
      </c>
      <c r="AC33" s="3">
        <v>24.499009999999998</v>
      </c>
      <c r="AD33" s="3">
        <v>21.85183</v>
      </c>
      <c r="AE33" s="3">
        <v>21.626581000000002</v>
      </c>
      <c r="AF33" s="3">
        <v>25.210245</v>
      </c>
      <c r="AG33" s="3">
        <v>22.577328000000001</v>
      </c>
      <c r="AH33" s="3">
        <v>22.299244000000002</v>
      </c>
      <c r="AI33" s="3">
        <v>22.158892000000002</v>
      </c>
      <c r="AJ33" s="3">
        <v>21.961790000000001</v>
      </c>
      <c r="AK33" s="3">
        <v>22.065445</v>
      </c>
      <c r="AL33" s="3">
        <v>20.630226</v>
      </c>
      <c r="AM33" s="3">
        <v>22.920494000000001</v>
      </c>
      <c r="AN33" s="3">
        <v>22.156347</v>
      </c>
      <c r="AO33" s="3">
        <v>21.871390999999999</v>
      </c>
      <c r="AP33" s="3">
        <v>26.406281</v>
      </c>
      <c r="AQ33" s="3">
        <v>24.778362000000001</v>
      </c>
      <c r="AR33" s="3">
        <v>21.451332000000001</v>
      </c>
      <c r="AS33" s="3">
        <v>26.346620999999999</v>
      </c>
      <c r="AT33" s="3">
        <v>21.796199999999999</v>
      </c>
      <c r="AU33" s="3">
        <v>25.935172999999999</v>
      </c>
      <c r="AV33" s="3">
        <v>22.947545999999999</v>
      </c>
      <c r="AW33" s="3">
        <v>21.584879000000001</v>
      </c>
      <c r="AX33" s="3">
        <v>21.734010999999999</v>
      </c>
      <c r="AY33" s="3">
        <v>22.228349999999999</v>
      </c>
      <c r="AZ33" s="3">
        <v>23.467136</v>
      </c>
      <c r="BA33" s="3">
        <v>20.687954000000001</v>
      </c>
      <c r="BB33" s="3">
        <v>24.201049999999999</v>
      </c>
      <c r="BC33" s="3">
        <v>21.479557</v>
      </c>
      <c r="BD33" s="3">
        <v>21.534990000000001</v>
      </c>
      <c r="BE33" s="3">
        <v>21.129732000000001</v>
      </c>
      <c r="BF33" s="3">
        <v>20.666685000000001</v>
      </c>
      <c r="BG33" s="3">
        <v>25.432632000000002</v>
      </c>
      <c r="BH33" s="3">
        <v>21.914299</v>
      </c>
      <c r="BI33" s="3">
        <v>23.00141</v>
      </c>
      <c r="BJ33" s="3">
        <v>24.369752999999999</v>
      </c>
      <c r="BK33" s="3">
        <v>21.589044999999999</v>
      </c>
      <c r="BL33" s="3">
        <v>26.644397999999999</v>
      </c>
      <c r="BM33" s="3">
        <v>20.960706999999999</v>
      </c>
      <c r="BN33" s="3">
        <v>21.733046000000002</v>
      </c>
      <c r="BO33" s="3">
        <v>21.29006</v>
      </c>
      <c r="BP33" s="3">
        <v>22.113734999999998</v>
      </c>
      <c r="BQ33" s="3">
        <v>25.863543</v>
      </c>
      <c r="BR33" s="3">
        <v>21.364307</v>
      </c>
      <c r="BS33" s="3">
        <v>22.564457000000001</v>
      </c>
      <c r="BT33" s="3">
        <v>23.39106</v>
      </c>
      <c r="BU33" s="3">
        <v>21.522611999999999</v>
      </c>
      <c r="BV33" s="3">
        <v>25.736339999999998</v>
      </c>
      <c r="BW33" s="3">
        <v>21.041581999999998</v>
      </c>
      <c r="BX33" s="3">
        <v>20.865037999999998</v>
      </c>
      <c r="BY33" s="3">
        <v>21.05302</v>
      </c>
      <c r="BZ33" s="3">
        <v>20.594946</v>
      </c>
      <c r="CA33" s="3">
        <v>24.334817999999999</v>
      </c>
      <c r="CB33" s="3">
        <v>20.853394999999999</v>
      </c>
      <c r="CC33" s="3">
        <v>23.635555</v>
      </c>
      <c r="CD33" s="3">
        <v>21.987300999999999</v>
      </c>
      <c r="CE33" s="3">
        <v>24.492688999999999</v>
      </c>
      <c r="CF33" s="3">
        <v>23.076519000000001</v>
      </c>
      <c r="CG33" s="3">
        <v>22.032979999999998</v>
      </c>
      <c r="CH33" s="3">
        <v>23.439133000000002</v>
      </c>
      <c r="CI33" s="3">
        <v>24.491152</v>
      </c>
      <c r="CJ33" s="3">
        <v>21.390260999999999</v>
      </c>
      <c r="CK33" s="3">
        <v>21.824376999999998</v>
      </c>
      <c r="CL33" s="3">
        <v>22.693991</v>
      </c>
      <c r="CM33" s="3">
        <v>22.687874000000001</v>
      </c>
      <c r="CN33" s="3">
        <v>23.671299000000001</v>
      </c>
      <c r="CO33" s="3">
        <v>24.541304</v>
      </c>
      <c r="CP33" s="3">
        <v>22.892530000000001</v>
      </c>
      <c r="CQ33" s="3">
        <v>24.499891000000002</v>
      </c>
      <c r="CR33" s="3">
        <v>20.036277999999999</v>
      </c>
      <c r="CS33" s="3">
        <v>24.874701999999999</v>
      </c>
      <c r="CT33" s="3">
        <v>22.507273000000001</v>
      </c>
      <c r="CU33" s="3">
        <v>21.354831999999998</v>
      </c>
      <c r="CV33" s="3">
        <v>22.546012999999999</v>
      </c>
      <c r="CW33" s="3">
        <v>23.011261000000001</v>
      </c>
      <c r="CX33" s="3">
        <v>25.352352</v>
      </c>
      <c r="CY33" s="3">
        <v>21.934362</v>
      </c>
      <c r="CZ33" s="3">
        <v>21.308737000000001</v>
      </c>
      <c r="DA33" s="3">
        <v>22.246732999999999</v>
      </c>
      <c r="DB33" s="3">
        <v>23.220461</v>
      </c>
      <c r="DC33" s="3">
        <v>24.511935999999999</v>
      </c>
      <c r="DD33" s="3">
        <v>23.693822999999998</v>
      </c>
      <c r="DE33" s="3">
        <v>22.005949000000001</v>
      </c>
      <c r="DF33" s="3">
        <v>22.568977</v>
      </c>
      <c r="DG33" s="3">
        <v>22.864138000000001</v>
      </c>
      <c r="DH33" s="3">
        <v>21.073929</v>
      </c>
      <c r="DI33" s="3"/>
      <c r="DJ33" s="3"/>
      <c r="DM33" s="3"/>
      <c r="DN33" s="3"/>
      <c r="DP33" s="3"/>
      <c r="DQ33" s="3"/>
      <c r="DR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</row>
    <row r="34" spans="2:207" x14ac:dyDescent="0.2">
      <c r="G34" s="3"/>
      <c r="H34" s="3"/>
      <c r="I34" s="3"/>
      <c r="J34" s="3"/>
      <c r="K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M34" s="3"/>
      <c r="DN34" s="3"/>
      <c r="DP34" s="3"/>
      <c r="DQ34" s="3"/>
      <c r="DR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</row>
    <row r="35" spans="2:207" x14ac:dyDescent="0.2">
      <c r="D35" t="s">
        <v>6</v>
      </c>
      <c r="E35" t="s">
        <v>1</v>
      </c>
      <c r="F35">
        <f>COUNT(M35:GJ35)</f>
        <v>100</v>
      </c>
      <c r="G35" s="3">
        <f>AVERAGE(M35:GJ35)</f>
        <v>23.201401970000003</v>
      </c>
      <c r="H35" s="3">
        <f>MAX(M35:GJ35)</f>
        <v>26.672035000000001</v>
      </c>
      <c r="I35" s="3">
        <f>MIN(M35:GJ35)</f>
        <v>19.730001000000001</v>
      </c>
      <c r="J35" s="3">
        <f>_xlfn.STDEV.P(M35:GJ35)</f>
        <v>1.6220835403540743</v>
      </c>
      <c r="K35" s="3">
        <f>_xlfn.VAR.S(M35:GJ35)</f>
        <v>2.657732335240008</v>
      </c>
      <c r="M35" s="3">
        <v>22.175819000000001</v>
      </c>
      <c r="N35" s="3">
        <v>25.092835999999998</v>
      </c>
      <c r="O35" s="3">
        <v>22.423667999999999</v>
      </c>
      <c r="P35" s="3">
        <v>21.800768000000001</v>
      </c>
      <c r="Q35" s="3">
        <v>22.887271999999999</v>
      </c>
      <c r="R35" s="3">
        <v>20.674833</v>
      </c>
      <c r="S35" s="3">
        <v>23.417078</v>
      </c>
      <c r="T35" s="3">
        <v>21.049498</v>
      </c>
      <c r="U35" s="3">
        <v>21.190702000000002</v>
      </c>
      <c r="V35" s="3">
        <v>21.484316</v>
      </c>
      <c r="W35" s="3">
        <v>24.107171999999998</v>
      </c>
      <c r="X35" s="3">
        <v>25.269148000000001</v>
      </c>
      <c r="Y35" s="3">
        <v>22.894539000000002</v>
      </c>
      <c r="Z35" s="3">
        <v>22.835515999999998</v>
      </c>
      <c r="AA35" s="3">
        <v>23.695024</v>
      </c>
      <c r="AB35" s="3">
        <v>21.733360000000001</v>
      </c>
      <c r="AC35" s="3">
        <v>25.404789000000001</v>
      </c>
      <c r="AD35" s="3">
        <v>24.312232999999999</v>
      </c>
      <c r="AE35" s="3">
        <v>22.184725</v>
      </c>
      <c r="AF35" s="3">
        <v>20.631014</v>
      </c>
      <c r="AG35" s="3">
        <v>25.686613000000001</v>
      </c>
      <c r="AH35" s="3">
        <v>26.221768999999998</v>
      </c>
      <c r="AI35" s="3">
        <v>21.753525</v>
      </c>
      <c r="AJ35" s="3">
        <v>23.423514999999998</v>
      </c>
      <c r="AK35" s="3">
        <v>22.720040999999998</v>
      </c>
      <c r="AL35" s="3">
        <v>24.016864999999999</v>
      </c>
      <c r="AM35" s="3">
        <v>22.090425</v>
      </c>
      <c r="AN35" s="3">
        <v>23.193527</v>
      </c>
      <c r="AO35" s="3">
        <v>23.647742999999998</v>
      </c>
      <c r="AP35" s="3">
        <v>26.270546</v>
      </c>
      <c r="AQ35" s="3">
        <v>21.269729999999999</v>
      </c>
      <c r="AR35" s="3">
        <v>24.375395000000001</v>
      </c>
      <c r="AS35" s="3">
        <v>24.561786999999999</v>
      </c>
      <c r="AT35" s="3">
        <v>25.35107</v>
      </c>
      <c r="AU35" s="3">
        <v>25.347529999999999</v>
      </c>
      <c r="AV35" s="3">
        <v>23.049060999999998</v>
      </c>
      <c r="AW35" s="3">
        <v>25.664639999999999</v>
      </c>
      <c r="AX35" s="3">
        <v>24.780646999999998</v>
      </c>
      <c r="AY35" s="3">
        <v>23.318092</v>
      </c>
      <c r="AZ35" s="3">
        <v>26.672035000000001</v>
      </c>
      <c r="BA35" s="3">
        <v>21.88101</v>
      </c>
      <c r="BB35" s="3">
        <v>21.605429000000001</v>
      </c>
      <c r="BC35" s="3">
        <v>23.627711999999999</v>
      </c>
      <c r="BD35" s="3">
        <v>20.950410999999999</v>
      </c>
      <c r="BE35" s="3">
        <v>23.022514000000001</v>
      </c>
      <c r="BF35" s="3">
        <v>24.960046999999999</v>
      </c>
      <c r="BG35" s="3">
        <v>22.498871000000001</v>
      </c>
      <c r="BH35" s="3">
        <v>20.466114000000001</v>
      </c>
      <c r="BI35" s="3">
        <v>24.368513</v>
      </c>
      <c r="BJ35" s="3">
        <v>23.048580000000001</v>
      </c>
      <c r="BK35" s="3">
        <v>19.730001000000001</v>
      </c>
      <c r="BL35" s="3">
        <v>24.789701000000001</v>
      </c>
      <c r="BM35" s="3">
        <v>24.152632000000001</v>
      </c>
      <c r="BN35" s="3">
        <v>20.515084999999999</v>
      </c>
      <c r="BO35" s="3">
        <v>24.067941999999999</v>
      </c>
      <c r="BP35" s="3">
        <v>22.484490999999998</v>
      </c>
      <c r="BQ35" s="3">
        <v>25.652096</v>
      </c>
      <c r="BR35" s="3">
        <v>21.654232</v>
      </c>
      <c r="BS35" s="3">
        <v>24.900507000000001</v>
      </c>
      <c r="BT35" s="3">
        <v>23.099865000000001</v>
      </c>
      <c r="BU35" s="3">
        <v>23.385185</v>
      </c>
      <c r="BV35" s="3">
        <v>22.410765000000001</v>
      </c>
      <c r="BW35" s="3">
        <v>20.491717999999999</v>
      </c>
      <c r="BX35" s="3">
        <v>23.244613999999999</v>
      </c>
      <c r="BY35" s="3">
        <v>24.923881999999999</v>
      </c>
      <c r="BZ35" s="3">
        <v>23.061121</v>
      </c>
      <c r="CA35" s="3">
        <v>20.609124999999999</v>
      </c>
      <c r="CB35" s="3">
        <v>23.971585999999999</v>
      </c>
      <c r="CC35" s="3">
        <v>24.191372000000001</v>
      </c>
      <c r="CD35" s="3">
        <v>24.512336999999999</v>
      </c>
      <c r="CE35" s="3">
        <v>26.119616000000001</v>
      </c>
      <c r="CF35" s="3">
        <v>22.829466</v>
      </c>
      <c r="CG35" s="3">
        <v>26.250188999999999</v>
      </c>
      <c r="CH35" s="3">
        <v>23.544777</v>
      </c>
      <c r="CI35" s="3">
        <v>22.106017999999999</v>
      </c>
      <c r="CJ35" s="3">
        <v>22.348448000000001</v>
      </c>
      <c r="CK35" s="3">
        <v>23.408728</v>
      </c>
      <c r="CL35" s="3">
        <v>21.677534000000001</v>
      </c>
      <c r="CM35" s="3">
        <v>22.623111999999999</v>
      </c>
      <c r="CN35" s="3">
        <v>21.100708000000001</v>
      </c>
      <c r="CO35" s="3">
        <v>25.027878000000001</v>
      </c>
      <c r="CP35" s="3">
        <v>24.795846999999998</v>
      </c>
      <c r="CQ35" s="3">
        <v>22.286778999999999</v>
      </c>
      <c r="CR35" s="3">
        <v>23.368406</v>
      </c>
      <c r="CS35" s="3">
        <v>21.743203999999999</v>
      </c>
      <c r="CT35" s="3">
        <v>24.129778000000002</v>
      </c>
      <c r="CU35" s="3">
        <v>21.524937000000001</v>
      </c>
      <c r="CV35" s="3">
        <v>21.869323999999999</v>
      </c>
      <c r="CW35" s="3">
        <v>23.268298999999999</v>
      </c>
      <c r="CX35" s="3">
        <v>24.097125999999999</v>
      </c>
      <c r="CY35" s="3">
        <v>21.539728</v>
      </c>
      <c r="CZ35" s="3">
        <v>22.292946000000001</v>
      </c>
      <c r="DA35" s="3">
        <v>25.268702999999999</v>
      </c>
      <c r="DB35" s="3">
        <v>21.937498000000001</v>
      </c>
      <c r="DC35" s="3">
        <v>25.544832</v>
      </c>
      <c r="DD35" s="3">
        <v>23.458227000000001</v>
      </c>
      <c r="DE35" s="3">
        <v>21.532979999999998</v>
      </c>
      <c r="DF35" s="3">
        <v>24.753126000000002</v>
      </c>
      <c r="DG35" s="3">
        <v>22.561147999999999</v>
      </c>
      <c r="DH35" s="3">
        <v>20.174510999999999</v>
      </c>
      <c r="DI35" s="3"/>
      <c r="DJ35" s="3"/>
      <c r="DM35" s="3"/>
      <c r="DN35" s="3"/>
      <c r="DP35" s="3"/>
      <c r="DQ35" s="3"/>
      <c r="DR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</row>
    <row r="36" spans="2:207" x14ac:dyDescent="0.2">
      <c r="G36" s="3"/>
      <c r="H36" s="3"/>
      <c r="I36" s="3"/>
      <c r="J36" s="3"/>
      <c r="K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M36" s="3"/>
      <c r="DN36" s="3"/>
      <c r="DP36" s="3"/>
      <c r="DQ36" s="3"/>
      <c r="DR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</row>
    <row r="38" spans="2:207" x14ac:dyDescent="0.2">
      <c r="B38" t="s">
        <v>64</v>
      </c>
      <c r="D38" s="1" t="s">
        <v>36</v>
      </c>
    </row>
    <row r="39" spans="2:207" x14ac:dyDescent="0.2">
      <c r="B39" s="2" t="s">
        <v>33</v>
      </c>
      <c r="D39" t="s">
        <v>3</v>
      </c>
      <c r="E39" t="s">
        <v>1</v>
      </c>
      <c r="F39">
        <f>COUNT(M39:GJ39)</f>
        <v>100</v>
      </c>
      <c r="G39" s="3">
        <f>AVERAGE(M39:GJ39)</f>
        <v>22.661696969999998</v>
      </c>
      <c r="H39" s="3">
        <f>MAX(M39:GJ39)</f>
        <v>27.793453</v>
      </c>
      <c r="I39" s="3">
        <f>MIN(M39:GJ39)</f>
        <v>19.641743000000002</v>
      </c>
      <c r="J39" s="3">
        <f>_xlfn.STDEV.P(M39:GJ39)</f>
        <v>1.5454722155068883</v>
      </c>
      <c r="K39" s="3">
        <f>_xlfn.VAR.S(M39:GJ39)</f>
        <v>2.4126104736401714</v>
      </c>
      <c r="M39" s="3">
        <v>20.910191000000001</v>
      </c>
      <c r="N39" s="3">
        <v>20.986384999999999</v>
      </c>
      <c r="O39" s="3">
        <v>24.103643000000002</v>
      </c>
      <c r="P39" s="3">
        <v>19.641743000000002</v>
      </c>
      <c r="Q39" s="3">
        <v>25.907233999999999</v>
      </c>
      <c r="R39" s="3">
        <v>21.233812</v>
      </c>
      <c r="S39" s="3">
        <v>27.219415999999999</v>
      </c>
      <c r="T39" s="3">
        <v>23.927519</v>
      </c>
      <c r="U39" s="3">
        <v>23.059474999999999</v>
      </c>
      <c r="V39" s="3">
        <v>23.862589</v>
      </c>
      <c r="W39" s="3">
        <v>21.573017</v>
      </c>
      <c r="X39" s="3">
        <v>22.716100999999998</v>
      </c>
      <c r="Y39" s="3">
        <v>23.601879</v>
      </c>
      <c r="Z39" s="3">
        <v>21.938051000000002</v>
      </c>
      <c r="AA39" s="3">
        <v>21.342976</v>
      </c>
      <c r="AB39" s="3">
        <v>24.280455</v>
      </c>
      <c r="AC39" s="3">
        <v>24.432013000000001</v>
      </c>
      <c r="AD39" s="3">
        <v>22.52899</v>
      </c>
      <c r="AE39" s="3">
        <v>21.757771000000002</v>
      </c>
      <c r="AF39" s="3">
        <v>21.801183999999999</v>
      </c>
      <c r="AG39" s="3">
        <v>21.624655000000001</v>
      </c>
      <c r="AH39" s="3">
        <v>22.808523000000001</v>
      </c>
      <c r="AI39" s="3">
        <v>21.345065999999999</v>
      </c>
      <c r="AJ39" s="3">
        <v>21.700763999999999</v>
      </c>
      <c r="AK39" s="3">
        <v>23.548843000000002</v>
      </c>
      <c r="AL39" s="3">
        <v>22.963564000000002</v>
      </c>
      <c r="AM39" s="3">
        <v>23.266204999999999</v>
      </c>
      <c r="AN39" s="3">
        <v>22.860161000000002</v>
      </c>
      <c r="AO39" s="3">
        <v>21.856251</v>
      </c>
      <c r="AP39" s="3">
        <v>20.295853000000001</v>
      </c>
      <c r="AQ39" s="3">
        <v>22.395878</v>
      </c>
      <c r="AR39" s="3">
        <v>21.843235</v>
      </c>
      <c r="AS39" s="3">
        <v>22.897006999999999</v>
      </c>
      <c r="AT39" s="3">
        <v>27.793453</v>
      </c>
      <c r="AU39" s="3">
        <v>21.364235000000001</v>
      </c>
      <c r="AV39" s="3">
        <v>21.701138</v>
      </c>
      <c r="AW39" s="3">
        <v>22.467115</v>
      </c>
      <c r="AX39" s="3">
        <v>24.873374999999999</v>
      </c>
      <c r="AY39" s="3">
        <v>23.254234</v>
      </c>
      <c r="AZ39" s="3">
        <v>23.835808</v>
      </c>
      <c r="BA39" s="3">
        <v>21.105861999999998</v>
      </c>
      <c r="BB39" s="3">
        <v>24.504556999999998</v>
      </c>
      <c r="BC39" s="3">
        <v>21.140975999999998</v>
      </c>
      <c r="BD39" s="3">
        <v>21.876702999999999</v>
      </c>
      <c r="BE39" s="3">
        <v>21.553974</v>
      </c>
      <c r="BF39" s="3">
        <v>21.210978000000001</v>
      </c>
      <c r="BG39" s="3">
        <v>22.435040999999998</v>
      </c>
      <c r="BH39" s="3">
        <v>25.191690000000001</v>
      </c>
      <c r="BI39" s="3">
        <v>22.007888999999999</v>
      </c>
      <c r="BJ39" s="3">
        <v>21.797922</v>
      </c>
      <c r="BK39" s="3">
        <v>24.045096999999998</v>
      </c>
      <c r="BL39" s="3">
        <v>24.714321000000002</v>
      </c>
      <c r="BM39" s="3">
        <v>21.467783000000001</v>
      </c>
      <c r="BN39" s="3">
        <v>21.781283999999999</v>
      </c>
      <c r="BO39" s="3">
        <v>25.921453</v>
      </c>
      <c r="BP39" s="3">
        <v>23.715508</v>
      </c>
      <c r="BQ39" s="3">
        <v>21.297568999999999</v>
      </c>
      <c r="BR39" s="3">
        <v>22.791810999999999</v>
      </c>
      <c r="BS39" s="3">
        <v>21.198678999999998</v>
      </c>
      <c r="BT39" s="3">
        <v>20.698976999999999</v>
      </c>
      <c r="BU39" s="3">
        <v>22.807265999999998</v>
      </c>
      <c r="BV39" s="3">
        <v>21.753903999999999</v>
      </c>
      <c r="BW39" s="3">
        <v>21.905595999999999</v>
      </c>
      <c r="BX39" s="3">
        <v>22.547606999999999</v>
      </c>
      <c r="BY39" s="3">
        <v>23.614370000000001</v>
      </c>
      <c r="BZ39" s="3">
        <v>20.796662999999999</v>
      </c>
      <c r="CA39" s="3">
        <v>23.646732</v>
      </c>
      <c r="CB39" s="3">
        <v>25.233440000000002</v>
      </c>
      <c r="CC39" s="3">
        <v>21.410547000000001</v>
      </c>
      <c r="CD39" s="3">
        <v>22.917777999999998</v>
      </c>
      <c r="CE39" s="3">
        <v>22.591545</v>
      </c>
      <c r="CF39" s="3">
        <v>21.519711000000001</v>
      </c>
      <c r="CG39" s="3">
        <v>22.454346000000001</v>
      </c>
      <c r="CH39" s="3">
        <v>24.282115999999998</v>
      </c>
      <c r="CI39" s="3">
        <v>22.088282</v>
      </c>
      <c r="CJ39" s="3">
        <v>21.319164000000001</v>
      </c>
      <c r="CK39" s="3">
        <v>24.355596999999999</v>
      </c>
      <c r="CL39" s="3">
        <v>21.691897999999998</v>
      </c>
      <c r="CM39" s="3">
        <v>20.758972</v>
      </c>
      <c r="CN39" s="3">
        <v>24.381556</v>
      </c>
      <c r="CO39" s="3">
        <v>23.891113000000001</v>
      </c>
      <c r="CP39" s="3">
        <v>21.498550000000002</v>
      </c>
      <c r="CQ39" s="3">
        <v>25.954277000000001</v>
      </c>
      <c r="CR39" s="3">
        <v>19.890419000000001</v>
      </c>
      <c r="CS39" s="3">
        <v>23.058268000000002</v>
      </c>
      <c r="CT39" s="3">
        <v>19.971415</v>
      </c>
      <c r="CU39" s="3">
        <v>23.038992</v>
      </c>
      <c r="CV39" s="3">
        <v>22.179323</v>
      </c>
      <c r="CW39" s="3">
        <v>22.814513999999999</v>
      </c>
      <c r="CX39" s="3">
        <v>23.034344000000001</v>
      </c>
      <c r="CY39" s="3">
        <v>23.235239</v>
      </c>
      <c r="CZ39" s="3">
        <v>23.759181999999999</v>
      </c>
      <c r="DA39" s="3">
        <v>22.351891999999999</v>
      </c>
      <c r="DB39" s="3">
        <v>21.387791</v>
      </c>
      <c r="DC39" s="3">
        <v>21.844135000000001</v>
      </c>
      <c r="DD39" s="3">
        <v>24.997281999999998</v>
      </c>
      <c r="DE39" s="3">
        <v>22.842580999999999</v>
      </c>
      <c r="DF39" s="3">
        <v>23.850386</v>
      </c>
      <c r="DG39" s="3">
        <v>20.109567999999999</v>
      </c>
      <c r="DH39" s="3">
        <v>22.405455</v>
      </c>
      <c r="DI39" s="3"/>
      <c r="DJ39" s="3"/>
      <c r="DM39" s="3"/>
      <c r="DN39" s="3"/>
      <c r="DP39" s="3"/>
      <c r="DQ39" s="3"/>
      <c r="DR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</row>
    <row r="40" spans="2:207" x14ac:dyDescent="0.2">
      <c r="B40" s="2" t="s">
        <v>34</v>
      </c>
      <c r="G40" s="3"/>
      <c r="H40" s="3"/>
      <c r="I40" s="3"/>
      <c r="J40" s="3"/>
      <c r="K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M40" s="3"/>
      <c r="DN40" s="3"/>
      <c r="DP40" s="3"/>
      <c r="DQ40" s="3"/>
      <c r="DR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</row>
    <row r="41" spans="2:207" x14ac:dyDescent="0.2">
      <c r="B41" s="2" t="s">
        <v>35</v>
      </c>
      <c r="D41" t="s">
        <v>4</v>
      </c>
      <c r="E41" t="s">
        <v>1</v>
      </c>
      <c r="F41">
        <f>COUNT(M41:GJ41)</f>
        <v>100</v>
      </c>
      <c r="G41" s="3">
        <f>AVERAGE(M41:GJ41)</f>
        <v>24.237831910000001</v>
      </c>
      <c r="H41" s="3">
        <f>MAX(M41:GJ41)</f>
        <v>36.638226000000003</v>
      </c>
      <c r="I41" s="3">
        <f>MIN(M41:GJ41)</f>
        <v>16.813841</v>
      </c>
      <c r="J41" s="3">
        <f>_xlfn.STDEV.P(M41:GJ41)</f>
        <v>3.7503169235437364</v>
      </c>
      <c r="K41" s="3">
        <f>_xlfn.VAR.S(M41:GJ41)</f>
        <v>14.206946491937972</v>
      </c>
      <c r="M41" s="3">
        <v>21.849544999999999</v>
      </c>
      <c r="N41" s="3">
        <v>23.288558999999999</v>
      </c>
      <c r="O41" s="3">
        <v>21.214458</v>
      </c>
      <c r="P41" s="3">
        <v>27.122875000000001</v>
      </c>
      <c r="Q41" s="3">
        <v>30.703733</v>
      </c>
      <c r="R41" s="3">
        <v>28.740019</v>
      </c>
      <c r="S41" s="3">
        <v>24.534140000000001</v>
      </c>
      <c r="T41" s="3">
        <v>30.476434999999999</v>
      </c>
      <c r="U41" s="3">
        <v>21.535784</v>
      </c>
      <c r="V41" s="3">
        <v>18.894915000000001</v>
      </c>
      <c r="W41" s="3">
        <v>22.631886999999999</v>
      </c>
      <c r="X41" s="3">
        <v>36.638226000000003</v>
      </c>
      <c r="Y41" s="3">
        <v>26.597797</v>
      </c>
      <c r="Z41" s="3">
        <v>17.937076999999999</v>
      </c>
      <c r="AA41" s="3">
        <v>25.231525000000001</v>
      </c>
      <c r="AB41" s="3">
        <v>20.050055</v>
      </c>
      <c r="AC41" s="3">
        <v>20.072752000000001</v>
      </c>
      <c r="AD41" s="3">
        <v>26.683619</v>
      </c>
      <c r="AE41" s="3">
        <v>28.697524999999999</v>
      </c>
      <c r="AF41" s="3">
        <v>21.004007000000001</v>
      </c>
      <c r="AG41" s="3">
        <v>22.773275000000002</v>
      </c>
      <c r="AH41" s="3">
        <v>27.773116999999999</v>
      </c>
      <c r="AI41" s="3">
        <v>32.653812000000002</v>
      </c>
      <c r="AJ41" s="3">
        <v>25.471215999999998</v>
      </c>
      <c r="AK41" s="3">
        <v>25.425599999999999</v>
      </c>
      <c r="AL41" s="3">
        <v>23.550336999999999</v>
      </c>
      <c r="AM41" s="3">
        <v>24.066727</v>
      </c>
      <c r="AN41" s="3">
        <v>24.711084</v>
      </c>
      <c r="AO41" s="3">
        <v>23.750077999999998</v>
      </c>
      <c r="AP41" s="3">
        <v>25.265650000000001</v>
      </c>
      <c r="AQ41" s="3">
        <v>27.870540999999999</v>
      </c>
      <c r="AR41" s="3">
        <v>20.437045999999999</v>
      </c>
      <c r="AS41" s="3">
        <v>28.016382</v>
      </c>
      <c r="AT41" s="3">
        <v>21.846325</v>
      </c>
      <c r="AU41" s="3">
        <v>20.536016</v>
      </c>
      <c r="AV41" s="3">
        <v>24.732717999999998</v>
      </c>
      <c r="AW41" s="3">
        <v>23.597204000000001</v>
      </c>
      <c r="AX41" s="3">
        <v>22.218914000000002</v>
      </c>
      <c r="AY41" s="3">
        <v>20.880414999999999</v>
      </c>
      <c r="AZ41" s="3">
        <v>29.526775000000001</v>
      </c>
      <c r="BA41" s="3">
        <v>21.708897</v>
      </c>
      <c r="BB41" s="3">
        <v>20.641352000000001</v>
      </c>
      <c r="BC41" s="3">
        <v>26.622676999999999</v>
      </c>
      <c r="BD41" s="3">
        <v>22.581831000000001</v>
      </c>
      <c r="BE41" s="3">
        <v>18.949331000000001</v>
      </c>
      <c r="BF41" s="3">
        <v>18.350002</v>
      </c>
      <c r="BG41" s="3">
        <v>24.966656</v>
      </c>
      <c r="BH41" s="3">
        <v>26.16873</v>
      </c>
      <c r="BI41" s="3">
        <v>24.050730000000001</v>
      </c>
      <c r="BJ41" s="3">
        <v>22.615675</v>
      </c>
      <c r="BK41" s="3">
        <v>19.783138000000001</v>
      </c>
      <c r="BL41" s="3">
        <v>23.743956000000001</v>
      </c>
      <c r="BM41" s="3">
        <v>27.457498999999999</v>
      </c>
      <c r="BN41" s="3">
        <v>21.042812000000001</v>
      </c>
      <c r="BO41" s="3">
        <v>30.538810999999999</v>
      </c>
      <c r="BP41" s="3">
        <v>29.964034999999999</v>
      </c>
      <c r="BQ41" s="3">
        <v>24.877635999999999</v>
      </c>
      <c r="BR41" s="3">
        <v>26.481376999999998</v>
      </c>
      <c r="BS41" s="3">
        <v>22.204322999999999</v>
      </c>
      <c r="BT41" s="3">
        <v>21.582204999999998</v>
      </c>
      <c r="BU41" s="3">
        <v>29.275908000000001</v>
      </c>
      <c r="BV41" s="3">
        <v>22.442789000000001</v>
      </c>
      <c r="BW41" s="3">
        <v>26.868628999999999</v>
      </c>
      <c r="BX41" s="3">
        <v>20.883078000000001</v>
      </c>
      <c r="BY41" s="3">
        <v>24.847055000000001</v>
      </c>
      <c r="BZ41" s="3">
        <v>29.740047000000001</v>
      </c>
      <c r="CA41" s="3">
        <v>24.784873999999999</v>
      </c>
      <c r="CB41" s="3">
        <v>31.465633</v>
      </c>
      <c r="CC41" s="3">
        <v>24.574256999999999</v>
      </c>
      <c r="CD41" s="3">
        <v>19.186487</v>
      </c>
      <c r="CE41" s="3">
        <v>17.478874000000001</v>
      </c>
      <c r="CF41" s="3">
        <v>23.077058999999998</v>
      </c>
      <c r="CG41" s="3">
        <v>21.923127999999998</v>
      </c>
      <c r="CH41" s="3">
        <v>20.884461999999999</v>
      </c>
      <c r="CI41" s="3">
        <v>26.998718</v>
      </c>
      <c r="CJ41" s="3">
        <v>21.679386000000001</v>
      </c>
      <c r="CK41" s="3">
        <v>23.659379999999999</v>
      </c>
      <c r="CL41" s="3">
        <v>25.801212</v>
      </c>
      <c r="CM41" s="3">
        <v>21.205296000000001</v>
      </c>
      <c r="CN41" s="3">
        <v>25.219176999999998</v>
      </c>
      <c r="CO41" s="3">
        <v>25.843299999999999</v>
      </c>
      <c r="CP41" s="3">
        <v>25.925132999999999</v>
      </c>
      <c r="CQ41" s="3">
        <v>29.376111999999999</v>
      </c>
      <c r="CR41" s="3">
        <v>20.969545</v>
      </c>
      <c r="CS41" s="3">
        <v>18.800578999999999</v>
      </c>
      <c r="CT41" s="3">
        <v>27.285744000000001</v>
      </c>
      <c r="CU41" s="3">
        <v>23.63475</v>
      </c>
      <c r="CV41" s="3">
        <v>25.564589000000002</v>
      </c>
      <c r="CW41" s="3">
        <v>25.635560999999999</v>
      </c>
      <c r="CX41" s="3">
        <v>24.547522000000001</v>
      </c>
      <c r="CY41" s="3">
        <v>31.446541</v>
      </c>
      <c r="CZ41" s="3">
        <v>22.277462</v>
      </c>
      <c r="DA41" s="3">
        <v>27.151776999999999</v>
      </c>
      <c r="DB41" s="3">
        <v>20.266914</v>
      </c>
      <c r="DC41" s="3">
        <v>16.813841</v>
      </c>
      <c r="DD41" s="3">
        <v>17.654299000000002</v>
      </c>
      <c r="DE41" s="3">
        <v>27.924271000000001</v>
      </c>
      <c r="DF41" s="3">
        <v>19.536175</v>
      </c>
      <c r="DG41" s="3">
        <v>22.780470000000001</v>
      </c>
      <c r="DH41" s="3">
        <v>25.013318999999999</v>
      </c>
      <c r="DI41" s="3"/>
      <c r="DJ41" s="3"/>
      <c r="DM41" s="3"/>
      <c r="DN41" s="3"/>
      <c r="DP41" s="3"/>
      <c r="DQ41" s="3"/>
      <c r="DR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</row>
    <row r="42" spans="2:207" x14ac:dyDescent="0.2">
      <c r="G42" s="3"/>
      <c r="H42" s="3"/>
      <c r="I42" s="3"/>
      <c r="J42" s="3"/>
      <c r="K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M42" s="3"/>
      <c r="DN42" s="3"/>
      <c r="DP42" s="3"/>
      <c r="DQ42" s="3"/>
      <c r="DR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</row>
    <row r="43" spans="2:207" x14ac:dyDescent="0.2">
      <c r="D43" t="s">
        <v>2</v>
      </c>
      <c r="E43" t="s">
        <v>1</v>
      </c>
      <c r="F43">
        <f>COUNT(M43:GJ43)</f>
        <v>100</v>
      </c>
      <c r="G43" s="3">
        <f>AVERAGE(M43:GJ43)</f>
        <v>25.968853759999998</v>
      </c>
      <c r="H43" s="3">
        <f>MAX(M43:GJ43)</f>
        <v>29.180289999999999</v>
      </c>
      <c r="I43" s="3">
        <f>MIN(M43:GJ43)</f>
        <v>23.734705000000002</v>
      </c>
      <c r="J43" s="3">
        <f>_xlfn.STDEV.P(M43:GJ43)</f>
        <v>1.1571621002310188</v>
      </c>
      <c r="K43" s="3">
        <f>_xlfn.VAR.S(M43:GJ43)</f>
        <v>1.3525496224354168</v>
      </c>
      <c r="M43" s="3">
        <v>24.976326</v>
      </c>
      <c r="N43" s="3">
        <v>26.311254999999999</v>
      </c>
      <c r="O43" s="3">
        <v>28.72241</v>
      </c>
      <c r="P43" s="3">
        <v>28.754866</v>
      </c>
      <c r="Q43" s="3">
        <v>26.291775000000001</v>
      </c>
      <c r="R43" s="3">
        <v>28.178801</v>
      </c>
      <c r="S43" s="3">
        <v>26.32863</v>
      </c>
      <c r="T43" s="3">
        <v>25.376460999999999</v>
      </c>
      <c r="U43" s="3">
        <v>26.934904</v>
      </c>
      <c r="V43" s="3">
        <v>25.113074999999998</v>
      </c>
      <c r="W43" s="3">
        <v>25.712710999999999</v>
      </c>
      <c r="X43" s="3">
        <v>25.037044999999999</v>
      </c>
      <c r="Y43" s="3">
        <v>25.539604000000001</v>
      </c>
      <c r="Z43" s="3">
        <v>25.881601</v>
      </c>
      <c r="AA43" s="3">
        <v>27.522283999999999</v>
      </c>
      <c r="AB43" s="3">
        <v>28.158798000000001</v>
      </c>
      <c r="AC43" s="3">
        <v>27.693909000000001</v>
      </c>
      <c r="AD43" s="3">
        <v>26.413639</v>
      </c>
      <c r="AE43" s="3">
        <v>24.425446999999998</v>
      </c>
      <c r="AF43" s="3">
        <v>26.037931</v>
      </c>
      <c r="AG43" s="3">
        <v>24.969669</v>
      </c>
      <c r="AH43" s="3">
        <v>25.524992000000001</v>
      </c>
      <c r="AI43" s="3">
        <v>25.480646</v>
      </c>
      <c r="AJ43" s="3">
        <v>27.710937999999999</v>
      </c>
      <c r="AK43" s="3">
        <v>25.755279999999999</v>
      </c>
      <c r="AL43" s="3">
        <v>26.537807000000001</v>
      </c>
      <c r="AM43" s="3">
        <v>27.300847999999998</v>
      </c>
      <c r="AN43" s="3">
        <v>26.062866</v>
      </c>
      <c r="AO43" s="3">
        <v>26.759882000000001</v>
      </c>
      <c r="AP43" s="3">
        <v>26.209465000000002</v>
      </c>
      <c r="AQ43" s="3">
        <v>23.734705000000002</v>
      </c>
      <c r="AR43" s="3">
        <v>25.477623000000001</v>
      </c>
      <c r="AS43" s="3">
        <v>26.470081</v>
      </c>
      <c r="AT43" s="3">
        <v>25.568529000000002</v>
      </c>
      <c r="AU43" s="3">
        <v>24.71067</v>
      </c>
      <c r="AV43" s="3">
        <v>24.811150000000001</v>
      </c>
      <c r="AW43" s="3">
        <v>26.420895000000002</v>
      </c>
      <c r="AX43" s="3">
        <v>25.716459</v>
      </c>
      <c r="AY43" s="3">
        <v>24.660948000000001</v>
      </c>
      <c r="AZ43" s="3">
        <v>24.378536</v>
      </c>
      <c r="BA43" s="3">
        <v>25.789562</v>
      </c>
      <c r="BB43" s="3">
        <v>26.773212000000001</v>
      </c>
      <c r="BC43" s="3">
        <v>24.693583</v>
      </c>
      <c r="BD43" s="3">
        <v>27.301224000000001</v>
      </c>
      <c r="BE43" s="3">
        <v>27.223434000000001</v>
      </c>
      <c r="BF43" s="3">
        <v>26.117902999999998</v>
      </c>
      <c r="BG43" s="3">
        <v>27.087251999999999</v>
      </c>
      <c r="BH43" s="3">
        <v>23.812263000000002</v>
      </c>
      <c r="BI43" s="3">
        <v>25.478148999999998</v>
      </c>
      <c r="BJ43" s="3">
        <v>27.455238000000001</v>
      </c>
      <c r="BK43" s="3">
        <v>24.773329</v>
      </c>
      <c r="BL43" s="3">
        <v>25.37538</v>
      </c>
      <c r="BM43" s="3">
        <v>25.464061999999998</v>
      </c>
      <c r="BN43" s="3">
        <v>24.546756999999999</v>
      </c>
      <c r="BO43" s="3">
        <v>26.698108999999999</v>
      </c>
      <c r="BP43" s="3">
        <v>24.996174</v>
      </c>
      <c r="BQ43" s="3">
        <v>25.384428</v>
      </c>
      <c r="BR43" s="3">
        <v>23.865815999999999</v>
      </c>
      <c r="BS43" s="3">
        <v>25.790341999999999</v>
      </c>
      <c r="BT43" s="3">
        <v>26.234532999999999</v>
      </c>
      <c r="BU43" s="3">
        <v>24.528091</v>
      </c>
      <c r="BV43" s="3">
        <v>29.180289999999999</v>
      </c>
      <c r="BW43" s="3">
        <v>27.814074000000002</v>
      </c>
      <c r="BX43" s="3">
        <v>26.373252999999998</v>
      </c>
      <c r="BY43" s="3">
        <v>24.626933999999999</v>
      </c>
      <c r="BZ43" s="3">
        <v>26.639240000000001</v>
      </c>
      <c r="CA43" s="3">
        <v>27.063891999999999</v>
      </c>
      <c r="CB43" s="3">
        <v>25.48959</v>
      </c>
      <c r="CC43" s="3">
        <v>25.277318999999999</v>
      </c>
      <c r="CD43" s="3">
        <v>26.804672</v>
      </c>
      <c r="CE43" s="3">
        <v>24.096281000000001</v>
      </c>
      <c r="CF43" s="3">
        <v>26.136794999999999</v>
      </c>
      <c r="CG43" s="3">
        <v>26.075897000000001</v>
      </c>
      <c r="CH43" s="3">
        <v>23.914985999999999</v>
      </c>
      <c r="CI43" s="3">
        <v>24.688654</v>
      </c>
      <c r="CJ43" s="3">
        <v>24.565638</v>
      </c>
      <c r="CK43" s="3">
        <v>26.172176</v>
      </c>
      <c r="CL43" s="3">
        <v>26.285302999999999</v>
      </c>
      <c r="CM43" s="3">
        <v>25.170974999999999</v>
      </c>
      <c r="CN43" s="3">
        <v>25.091282</v>
      </c>
      <c r="CO43" s="3">
        <v>26.399049999999999</v>
      </c>
      <c r="CP43" s="3">
        <v>26.379857999999999</v>
      </c>
      <c r="CQ43" s="3">
        <v>25.122997000000002</v>
      </c>
      <c r="CR43" s="3">
        <v>25.118389000000001</v>
      </c>
      <c r="CS43" s="3">
        <v>25.931598999999999</v>
      </c>
      <c r="CT43" s="3">
        <v>25.323384999999998</v>
      </c>
      <c r="CU43" s="3">
        <v>26.610921999999999</v>
      </c>
      <c r="CV43" s="3">
        <v>26.288648999999999</v>
      </c>
      <c r="CW43" s="3">
        <v>26.106763999999998</v>
      </c>
      <c r="CX43" s="3">
        <v>25.550787</v>
      </c>
      <c r="CY43" s="3">
        <v>27.270575000000001</v>
      </c>
      <c r="CZ43" s="3">
        <v>24.628971</v>
      </c>
      <c r="DA43" s="3">
        <v>26.26972</v>
      </c>
      <c r="DB43" s="3">
        <v>27.816051000000002</v>
      </c>
      <c r="DC43" s="3">
        <v>25.924831000000001</v>
      </c>
      <c r="DD43" s="3">
        <v>27.490738</v>
      </c>
      <c r="DE43" s="3">
        <v>27.538817999999999</v>
      </c>
      <c r="DF43" s="3">
        <v>26.843129999999999</v>
      </c>
      <c r="DG43" s="3">
        <v>24.935247</v>
      </c>
      <c r="DH43" s="3">
        <v>24.805342</v>
      </c>
      <c r="DI43" s="3"/>
      <c r="DJ43" s="3"/>
      <c r="DM43" s="3"/>
      <c r="DN43" s="3"/>
      <c r="DP43" s="3"/>
      <c r="DQ43" s="3"/>
      <c r="DR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</row>
    <row r="44" spans="2:207" x14ac:dyDescent="0.2">
      <c r="G44" s="3"/>
      <c r="H44" s="3"/>
      <c r="I44" s="3"/>
      <c r="J44" s="3"/>
      <c r="K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M44" s="3"/>
      <c r="DN44" s="3"/>
      <c r="DP44" s="3"/>
      <c r="DQ44" s="3"/>
      <c r="DR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</row>
    <row r="45" spans="2:207" x14ac:dyDescent="0.2">
      <c r="D45" t="s">
        <v>5</v>
      </c>
      <c r="E45" t="s">
        <v>1</v>
      </c>
      <c r="F45">
        <f>COUNT(M45:GJ45)</f>
        <v>100</v>
      </c>
      <c r="G45" s="3">
        <f>AVERAGE(M45:GJ45)</f>
        <v>17.977615410000002</v>
      </c>
      <c r="H45" s="3">
        <f>MAX(M45:GJ45)</f>
        <v>24.081175000000002</v>
      </c>
      <c r="I45" s="3">
        <f>MIN(M45:GJ45)</f>
        <v>13.404457000000001</v>
      </c>
      <c r="J45" s="3">
        <f>_xlfn.STDEV.P(M45:GJ45)</f>
        <v>2.1406623208423152</v>
      </c>
      <c r="K45" s="3">
        <f>_xlfn.VAR.S(M45:GJ45)</f>
        <v>4.6287223958323453</v>
      </c>
      <c r="M45" s="3">
        <v>19.081440000000001</v>
      </c>
      <c r="N45" s="3">
        <v>18.737856000000001</v>
      </c>
      <c r="O45" s="3">
        <v>17.159452000000002</v>
      </c>
      <c r="P45" s="3">
        <v>18.686159</v>
      </c>
      <c r="Q45" s="3">
        <v>14.189351</v>
      </c>
      <c r="R45" s="3">
        <v>15.036917000000001</v>
      </c>
      <c r="S45" s="3">
        <v>17.749410999999998</v>
      </c>
      <c r="T45" s="3">
        <v>14.772244000000001</v>
      </c>
      <c r="U45" s="3">
        <v>18.038627999999999</v>
      </c>
      <c r="V45" s="3">
        <v>18.829128000000001</v>
      </c>
      <c r="W45" s="3">
        <v>19.441700000000001</v>
      </c>
      <c r="X45" s="3">
        <v>15.422618999999999</v>
      </c>
      <c r="Y45" s="3">
        <v>18.061941000000001</v>
      </c>
      <c r="Z45" s="3">
        <v>22.624556999999999</v>
      </c>
      <c r="AA45" s="3">
        <v>13.703198</v>
      </c>
      <c r="AB45" s="3">
        <v>15.700673</v>
      </c>
      <c r="AC45" s="3">
        <v>19.720617000000001</v>
      </c>
      <c r="AD45" s="3">
        <v>16.331142</v>
      </c>
      <c r="AE45" s="3">
        <v>18.529007</v>
      </c>
      <c r="AF45" s="3">
        <v>17.727443999999998</v>
      </c>
      <c r="AG45" s="3">
        <v>17.517958</v>
      </c>
      <c r="AH45" s="3">
        <v>18.033867000000001</v>
      </c>
      <c r="AI45" s="3">
        <v>20.302114</v>
      </c>
      <c r="AJ45" s="3">
        <v>22.021851000000002</v>
      </c>
      <c r="AK45" s="3">
        <v>14.308062</v>
      </c>
      <c r="AL45" s="3">
        <v>16.023129999999998</v>
      </c>
      <c r="AM45" s="3">
        <v>18.741130999999999</v>
      </c>
      <c r="AN45" s="3">
        <v>17.152546000000001</v>
      </c>
      <c r="AO45" s="3">
        <v>19.837243999999998</v>
      </c>
      <c r="AP45" s="3">
        <v>18.805319000000001</v>
      </c>
      <c r="AQ45" s="3">
        <v>24.081175000000002</v>
      </c>
      <c r="AR45" s="3">
        <v>14.891199</v>
      </c>
      <c r="AS45" s="3">
        <v>19.733362</v>
      </c>
      <c r="AT45" s="3">
        <v>18.154951000000001</v>
      </c>
      <c r="AU45" s="3">
        <v>19.722093999999998</v>
      </c>
      <c r="AV45" s="3">
        <v>16.411339000000002</v>
      </c>
      <c r="AW45" s="3">
        <v>18.530148000000001</v>
      </c>
      <c r="AX45" s="3">
        <v>17.585106</v>
      </c>
      <c r="AY45" s="3">
        <v>17.049548999999999</v>
      </c>
      <c r="AZ45" s="3">
        <v>16.734981999999999</v>
      </c>
      <c r="BA45" s="3">
        <v>14.708282000000001</v>
      </c>
      <c r="BB45" s="3">
        <v>15.352228999999999</v>
      </c>
      <c r="BC45" s="3">
        <v>18.315843999999998</v>
      </c>
      <c r="BD45" s="3">
        <v>17.097805000000001</v>
      </c>
      <c r="BE45" s="3">
        <v>19.646667000000001</v>
      </c>
      <c r="BF45" s="3">
        <v>15.796881000000001</v>
      </c>
      <c r="BG45" s="3">
        <v>17.634305999999999</v>
      </c>
      <c r="BH45" s="3">
        <v>18.881412999999998</v>
      </c>
      <c r="BI45" s="3">
        <v>16.604771</v>
      </c>
      <c r="BJ45" s="3">
        <v>22.148035</v>
      </c>
      <c r="BK45" s="3">
        <v>14.850186000000001</v>
      </c>
      <c r="BL45" s="3">
        <v>18.857697000000002</v>
      </c>
      <c r="BM45" s="3">
        <v>17.618663999999999</v>
      </c>
      <c r="BN45" s="3">
        <v>16.855910999999999</v>
      </c>
      <c r="BO45" s="3">
        <v>19.194372000000001</v>
      </c>
      <c r="BP45" s="3">
        <v>18.640923000000001</v>
      </c>
      <c r="BQ45" s="3">
        <v>17.620045000000001</v>
      </c>
      <c r="BR45" s="3">
        <v>18.158707</v>
      </c>
      <c r="BS45" s="3">
        <v>19.136407999999999</v>
      </c>
      <c r="BT45" s="3">
        <v>19.306806999999999</v>
      </c>
      <c r="BU45" s="3">
        <v>15.237702000000001</v>
      </c>
      <c r="BV45" s="3">
        <v>20.091017000000001</v>
      </c>
      <c r="BW45" s="3">
        <v>17.887867</v>
      </c>
      <c r="BX45" s="3">
        <v>16.284932999999999</v>
      </c>
      <c r="BY45" s="3">
        <v>18.590465999999999</v>
      </c>
      <c r="BZ45" s="3">
        <v>16.407848000000001</v>
      </c>
      <c r="CA45" s="3">
        <v>17.374603</v>
      </c>
      <c r="CB45" s="3">
        <v>16.916388000000001</v>
      </c>
      <c r="CC45" s="3">
        <v>17.081703000000001</v>
      </c>
      <c r="CD45" s="3">
        <v>17.330061000000001</v>
      </c>
      <c r="CE45" s="3">
        <v>24.068366999999999</v>
      </c>
      <c r="CF45" s="3">
        <v>14.927723</v>
      </c>
      <c r="CG45" s="3">
        <v>17.475795999999999</v>
      </c>
      <c r="CH45" s="3">
        <v>22.800758999999999</v>
      </c>
      <c r="CI45" s="3">
        <v>17.869662999999999</v>
      </c>
      <c r="CJ45" s="3">
        <v>17.124804999999999</v>
      </c>
      <c r="CK45" s="3">
        <v>19.946735</v>
      </c>
      <c r="CL45" s="3">
        <v>19.940328999999998</v>
      </c>
      <c r="CM45" s="3">
        <v>18.980540999999999</v>
      </c>
      <c r="CN45" s="3">
        <v>18.840691</v>
      </c>
      <c r="CO45" s="3">
        <v>22.259675999999999</v>
      </c>
      <c r="CP45" s="3">
        <v>14.993967</v>
      </c>
      <c r="CQ45" s="3">
        <v>20.262377000000001</v>
      </c>
      <c r="CR45" s="3">
        <v>16.671333000000001</v>
      </c>
      <c r="CS45" s="3">
        <v>18.635548</v>
      </c>
      <c r="CT45" s="3">
        <v>17.180855000000001</v>
      </c>
      <c r="CU45" s="3">
        <v>17.310082999999999</v>
      </c>
      <c r="CV45" s="3">
        <v>20.88072</v>
      </c>
      <c r="CW45" s="3">
        <v>18.602537000000002</v>
      </c>
      <c r="CX45" s="3">
        <v>19.828074999999998</v>
      </c>
      <c r="CY45" s="3">
        <v>17.192105999999999</v>
      </c>
      <c r="CZ45" s="3">
        <v>15.427269000000001</v>
      </c>
      <c r="DA45" s="3">
        <v>19.057161000000001</v>
      </c>
      <c r="DB45" s="3">
        <v>20.835975999999999</v>
      </c>
      <c r="DC45" s="3">
        <v>17.102467999999998</v>
      </c>
      <c r="DD45" s="3">
        <v>18.905338</v>
      </c>
      <c r="DE45" s="3">
        <v>18.815111000000002</v>
      </c>
      <c r="DF45" s="3">
        <v>15.355936</v>
      </c>
      <c r="DG45" s="3">
        <v>18.255987000000001</v>
      </c>
      <c r="DH45" s="3">
        <v>13.404457000000001</v>
      </c>
      <c r="DI45" s="3"/>
      <c r="DJ45" s="3"/>
      <c r="DM45" s="3"/>
      <c r="DN45" s="3"/>
      <c r="DP45" s="3"/>
      <c r="DQ45" s="3"/>
      <c r="DR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</row>
    <row r="46" spans="2:207" x14ac:dyDescent="0.2">
      <c r="G46" s="3"/>
      <c r="H46" s="3"/>
      <c r="I46" s="3"/>
      <c r="J46" s="3"/>
      <c r="K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M46" s="3"/>
      <c r="DN46" s="3"/>
      <c r="DP46" s="3"/>
      <c r="DQ46" s="3"/>
      <c r="DR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</row>
    <row r="47" spans="2:207" x14ac:dyDescent="0.2">
      <c r="D47" t="s">
        <v>6</v>
      </c>
      <c r="E47" t="s">
        <v>1</v>
      </c>
      <c r="F47">
        <f>COUNT(M47:GJ47)</f>
        <v>100</v>
      </c>
      <c r="G47" s="3">
        <f>AVERAGE(M47:GJ47)</f>
        <v>20.037528920000003</v>
      </c>
      <c r="H47" s="3">
        <f>MAX(M47:GJ47)</f>
        <v>24.709585000000001</v>
      </c>
      <c r="I47" s="3">
        <f>MIN(M47:GJ47)</f>
        <v>14.358522000000001</v>
      </c>
      <c r="J47" s="3">
        <f>_xlfn.STDEV.P(M47:GJ47)</f>
        <v>2.6248105361795382</v>
      </c>
      <c r="K47" s="3">
        <f>_xlfn.VAR.S(M47:GJ47)</f>
        <v>6.9592225766051214</v>
      </c>
      <c r="M47" s="3">
        <v>18.502234999999999</v>
      </c>
      <c r="N47" s="3">
        <v>22.842976</v>
      </c>
      <c r="O47" s="3">
        <v>19.991108000000001</v>
      </c>
      <c r="P47" s="3">
        <v>18.643322000000001</v>
      </c>
      <c r="Q47" s="3">
        <v>17.847902000000001</v>
      </c>
      <c r="R47" s="3">
        <v>15.657004000000001</v>
      </c>
      <c r="S47" s="3">
        <v>20.832187999999999</v>
      </c>
      <c r="T47" s="3">
        <v>17.857603000000001</v>
      </c>
      <c r="U47" s="3">
        <v>17.211458</v>
      </c>
      <c r="V47" s="3">
        <v>17.389607999999999</v>
      </c>
      <c r="W47" s="3">
        <v>19.662974999999999</v>
      </c>
      <c r="X47" s="3">
        <v>18.886434999999999</v>
      </c>
      <c r="Y47" s="3">
        <v>20.470479999999998</v>
      </c>
      <c r="Z47" s="3">
        <v>20.669176</v>
      </c>
      <c r="AA47" s="3">
        <v>19.793232</v>
      </c>
      <c r="AB47" s="3">
        <v>19.379626999999999</v>
      </c>
      <c r="AC47" s="3">
        <v>24.440573000000001</v>
      </c>
      <c r="AD47" s="3">
        <v>23.951778000000001</v>
      </c>
      <c r="AE47" s="3">
        <v>20.297097999999998</v>
      </c>
      <c r="AF47" s="3">
        <v>17.791346000000001</v>
      </c>
      <c r="AG47" s="3">
        <v>20.239581999999999</v>
      </c>
      <c r="AH47" s="3">
        <v>22.722615999999999</v>
      </c>
      <c r="AI47" s="3">
        <v>19.513324999999998</v>
      </c>
      <c r="AJ47" s="3">
        <v>18.224191999999999</v>
      </c>
      <c r="AK47" s="3">
        <v>17.545385</v>
      </c>
      <c r="AL47" s="3">
        <v>20.067595000000001</v>
      </c>
      <c r="AM47" s="3">
        <v>16.118863999999999</v>
      </c>
      <c r="AN47" s="3">
        <v>17.653343</v>
      </c>
      <c r="AO47" s="3">
        <v>23.670086000000001</v>
      </c>
      <c r="AP47" s="3">
        <v>20.529468999999999</v>
      </c>
      <c r="AQ47" s="3">
        <v>16.765591000000001</v>
      </c>
      <c r="AR47" s="3">
        <v>21.029160000000001</v>
      </c>
      <c r="AS47" s="3">
        <v>21.425943</v>
      </c>
      <c r="AT47" s="3">
        <v>19.406513</v>
      </c>
      <c r="AU47" s="3">
        <v>19.319818000000001</v>
      </c>
      <c r="AV47" s="3">
        <v>19.299923</v>
      </c>
      <c r="AW47" s="3">
        <v>23.101078000000001</v>
      </c>
      <c r="AX47" s="3">
        <v>23.619444000000001</v>
      </c>
      <c r="AY47" s="3">
        <v>22.633662999999999</v>
      </c>
      <c r="AZ47" s="3">
        <v>23.298020999999999</v>
      </c>
      <c r="BA47" s="3">
        <v>17.63166</v>
      </c>
      <c r="BB47" s="3">
        <v>16.859728</v>
      </c>
      <c r="BC47" s="3">
        <v>22.346703000000002</v>
      </c>
      <c r="BD47" s="3">
        <v>15.850159</v>
      </c>
      <c r="BE47" s="3">
        <v>20.320367999999998</v>
      </c>
      <c r="BF47" s="3">
        <v>21.200876000000001</v>
      </c>
      <c r="BG47" s="3">
        <v>21.821629999999999</v>
      </c>
      <c r="BH47" s="3">
        <v>17.145845000000001</v>
      </c>
      <c r="BI47" s="3">
        <v>24.453098000000001</v>
      </c>
      <c r="BJ47" s="3">
        <v>16.582397</v>
      </c>
      <c r="BK47" s="3">
        <v>23.77787</v>
      </c>
      <c r="BL47" s="3">
        <v>23.667973</v>
      </c>
      <c r="BM47" s="3">
        <v>19.866716</v>
      </c>
      <c r="BN47" s="3">
        <v>16.583784000000001</v>
      </c>
      <c r="BO47" s="3">
        <v>18.310656000000002</v>
      </c>
      <c r="BP47" s="3">
        <v>15.558521000000001</v>
      </c>
      <c r="BQ47" s="3">
        <v>22.552744000000001</v>
      </c>
      <c r="BR47" s="3">
        <v>16.242691000000001</v>
      </c>
      <c r="BS47" s="3">
        <v>20.832155</v>
      </c>
      <c r="BT47" s="3">
        <v>19.233861999999998</v>
      </c>
      <c r="BU47" s="3">
        <v>21.491114</v>
      </c>
      <c r="BV47" s="3">
        <v>22.345811999999999</v>
      </c>
      <c r="BW47" s="3">
        <v>15.446476000000001</v>
      </c>
      <c r="BX47" s="3">
        <v>22.865192</v>
      </c>
      <c r="BY47" s="3">
        <v>22.882849</v>
      </c>
      <c r="BZ47" s="3">
        <v>22.577971999999999</v>
      </c>
      <c r="CA47" s="3">
        <v>16.728914</v>
      </c>
      <c r="CB47" s="3">
        <v>19.400326</v>
      </c>
      <c r="CC47" s="3">
        <v>18.412883999999998</v>
      </c>
      <c r="CD47" s="3">
        <v>22.392842999999999</v>
      </c>
      <c r="CE47" s="3">
        <v>24.145588</v>
      </c>
      <c r="CF47" s="3">
        <v>19.114993999999999</v>
      </c>
      <c r="CG47" s="3">
        <v>22.754484000000001</v>
      </c>
      <c r="CH47" s="3">
        <v>21.547730999999999</v>
      </c>
      <c r="CI47" s="3">
        <v>19.364882000000001</v>
      </c>
      <c r="CJ47" s="3">
        <v>23.755413000000001</v>
      </c>
      <c r="CK47" s="3">
        <v>19.576803000000002</v>
      </c>
      <c r="CL47" s="3">
        <v>14.358522000000001</v>
      </c>
      <c r="CM47" s="3">
        <v>20.578935999999999</v>
      </c>
      <c r="CN47" s="3">
        <v>15.001531</v>
      </c>
      <c r="CO47" s="3">
        <v>20.976372000000001</v>
      </c>
      <c r="CP47" s="3">
        <v>23.058261999999999</v>
      </c>
      <c r="CQ47" s="3">
        <v>18.712029999999999</v>
      </c>
      <c r="CR47" s="3">
        <v>22.823618</v>
      </c>
      <c r="CS47" s="3">
        <v>19.157093</v>
      </c>
      <c r="CT47" s="3">
        <v>22.643916999999998</v>
      </c>
      <c r="CU47" s="3">
        <v>22.965987999999999</v>
      </c>
      <c r="CV47" s="3">
        <v>16.921655999999999</v>
      </c>
      <c r="CW47" s="3">
        <v>24.709585000000001</v>
      </c>
      <c r="CX47" s="3">
        <v>19.916725</v>
      </c>
      <c r="CY47" s="3">
        <v>20.416222000000001</v>
      </c>
      <c r="CZ47" s="3">
        <v>17.797615</v>
      </c>
      <c r="DA47" s="3">
        <v>24.148644999999998</v>
      </c>
      <c r="DB47" s="3">
        <v>15.068894</v>
      </c>
      <c r="DC47" s="3">
        <v>21.133679999999998</v>
      </c>
      <c r="DD47" s="3">
        <v>20.184415999999999</v>
      </c>
      <c r="DE47" s="3">
        <v>18.592371</v>
      </c>
      <c r="DF47" s="3">
        <v>23.246428999999999</v>
      </c>
      <c r="DG47" s="3">
        <v>21.435756999999999</v>
      </c>
      <c r="DH47" s="3">
        <v>15.95918</v>
      </c>
      <c r="DI47" s="3"/>
      <c r="DJ47" s="3"/>
      <c r="DM47" s="3"/>
      <c r="DN47" s="3"/>
      <c r="DP47" s="3"/>
      <c r="DQ47" s="3"/>
      <c r="DR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</row>
    <row r="48" spans="2:207" x14ac:dyDescent="0.2">
      <c r="M48" s="3"/>
      <c r="N48" s="3"/>
    </row>
    <row r="49" spans="2:207" x14ac:dyDescent="0.2">
      <c r="D49" s="1"/>
    </row>
    <row r="50" spans="2:207" x14ac:dyDescent="0.2">
      <c r="B50" t="s">
        <v>64</v>
      </c>
      <c r="D50" s="1" t="s">
        <v>37</v>
      </c>
    </row>
    <row r="51" spans="2:207" x14ac:dyDescent="0.2">
      <c r="B51" s="2" t="s">
        <v>38</v>
      </c>
      <c r="D51" t="s">
        <v>3</v>
      </c>
      <c r="E51" t="s">
        <v>1</v>
      </c>
      <c r="F51">
        <f>COUNT(M51:GJ51)</f>
        <v>100</v>
      </c>
      <c r="G51" s="3">
        <f>AVERAGE(M51:GJ51)</f>
        <v>25.109457629999998</v>
      </c>
      <c r="H51" s="3">
        <f>MAX(M51:GJ51)</f>
        <v>29.754125999999999</v>
      </c>
      <c r="I51" s="3">
        <f>MIN(M51:GJ51)</f>
        <v>22.443508000000001</v>
      </c>
      <c r="J51" s="3">
        <f>_xlfn.STDEV.P(M51:GJ51)</f>
        <v>1.7767993184152375</v>
      </c>
      <c r="K51" s="3">
        <f>_xlfn.VAR.S(M51:GJ51)</f>
        <v>3.1889048665867201</v>
      </c>
      <c r="M51" s="3">
        <v>23.927579999999999</v>
      </c>
      <c r="N51" s="3">
        <v>25.131176</v>
      </c>
      <c r="O51" s="3">
        <v>29.754125999999999</v>
      </c>
      <c r="P51" s="3">
        <v>28.392365000000002</v>
      </c>
      <c r="Q51" s="3">
        <v>28.91367</v>
      </c>
      <c r="R51" s="3">
        <v>24.071411000000001</v>
      </c>
      <c r="S51" s="3">
        <v>28.656407999999999</v>
      </c>
      <c r="T51" s="3">
        <v>24.594100999999998</v>
      </c>
      <c r="U51" s="3">
        <v>25.581023999999999</v>
      </c>
      <c r="V51" s="3">
        <v>25.258558000000001</v>
      </c>
      <c r="W51" s="3">
        <v>23.157820000000001</v>
      </c>
      <c r="X51" s="3">
        <v>23.808710000000001</v>
      </c>
      <c r="Y51" s="3">
        <v>25.782924999999999</v>
      </c>
      <c r="Z51" s="3">
        <v>23.506159</v>
      </c>
      <c r="AA51" s="3">
        <v>23.160851000000001</v>
      </c>
      <c r="AB51" s="3">
        <v>28.267923</v>
      </c>
      <c r="AC51" s="3">
        <v>24.403078000000001</v>
      </c>
      <c r="AD51" s="3">
        <v>24.733238</v>
      </c>
      <c r="AE51" s="3">
        <v>23.278095</v>
      </c>
      <c r="AF51" s="3">
        <v>23.773541999999999</v>
      </c>
      <c r="AG51" s="3">
        <v>23.730761999999999</v>
      </c>
      <c r="AH51" s="3">
        <v>23.638186000000001</v>
      </c>
      <c r="AI51" s="3">
        <v>23.850764999999999</v>
      </c>
      <c r="AJ51" s="3">
        <v>24.767700000000001</v>
      </c>
      <c r="AK51" s="3">
        <v>26.221191000000001</v>
      </c>
      <c r="AL51" s="3">
        <v>22.642741999999998</v>
      </c>
      <c r="AM51" s="3">
        <v>23.798556999999999</v>
      </c>
      <c r="AN51" s="3">
        <v>23.673210000000001</v>
      </c>
      <c r="AO51" s="3">
        <v>27.915585</v>
      </c>
      <c r="AP51" s="3">
        <v>24.940640999999999</v>
      </c>
      <c r="AQ51" s="3">
        <v>25.264040000000001</v>
      </c>
      <c r="AR51" s="3">
        <v>25.652424</v>
      </c>
      <c r="AS51" s="3">
        <v>27.708760999999999</v>
      </c>
      <c r="AT51" s="3">
        <v>29.227612000000001</v>
      </c>
      <c r="AU51" s="3">
        <v>23.999863000000001</v>
      </c>
      <c r="AV51" s="3">
        <v>22.443508000000001</v>
      </c>
      <c r="AW51" s="3">
        <v>23.605173000000001</v>
      </c>
      <c r="AX51" s="3">
        <v>25.697792</v>
      </c>
      <c r="AY51" s="3">
        <v>27.342348000000001</v>
      </c>
      <c r="AZ51" s="3">
        <v>25.65523</v>
      </c>
      <c r="BA51" s="3">
        <v>24.069431000000002</v>
      </c>
      <c r="BB51" s="3">
        <v>25.746065000000002</v>
      </c>
      <c r="BC51" s="3">
        <v>23.215952000000001</v>
      </c>
      <c r="BD51" s="3">
        <v>23.881577</v>
      </c>
      <c r="BE51" s="3">
        <v>25.365337</v>
      </c>
      <c r="BF51" s="3">
        <v>24.589400999999999</v>
      </c>
      <c r="BG51" s="3">
        <v>22.865808000000001</v>
      </c>
      <c r="BH51" s="3">
        <v>26.639769000000001</v>
      </c>
      <c r="BI51" s="3">
        <v>23.067902</v>
      </c>
      <c r="BJ51" s="3">
        <v>24.735453</v>
      </c>
      <c r="BK51" s="3">
        <v>26.303169</v>
      </c>
      <c r="BL51" s="3">
        <v>28.550819000000001</v>
      </c>
      <c r="BM51" s="3">
        <v>25.038896999999999</v>
      </c>
      <c r="BN51" s="3">
        <v>25.984065999999999</v>
      </c>
      <c r="BO51" s="3">
        <v>27.9846</v>
      </c>
      <c r="BP51" s="3">
        <v>28.858063000000001</v>
      </c>
      <c r="BQ51" s="3">
        <v>28.013866</v>
      </c>
      <c r="BR51" s="3">
        <v>24.318762</v>
      </c>
      <c r="BS51" s="3">
        <v>25.762619000000001</v>
      </c>
      <c r="BT51" s="3">
        <v>23.141642000000001</v>
      </c>
      <c r="BU51" s="3">
        <v>22.667116</v>
      </c>
      <c r="BV51" s="3">
        <v>24.482617999999999</v>
      </c>
      <c r="BW51" s="3">
        <v>25.240480000000002</v>
      </c>
      <c r="BX51" s="3">
        <v>24.428532000000001</v>
      </c>
      <c r="BY51" s="3">
        <v>26.210127</v>
      </c>
      <c r="BZ51" s="3">
        <v>24.56617</v>
      </c>
      <c r="CA51" s="3">
        <v>26.830662</v>
      </c>
      <c r="CB51" s="3">
        <v>28.269482</v>
      </c>
      <c r="CC51" s="3">
        <v>22.703952999999998</v>
      </c>
      <c r="CD51" s="3">
        <v>23.177458000000001</v>
      </c>
      <c r="CE51" s="3">
        <v>23.163979999999999</v>
      </c>
      <c r="CF51" s="3">
        <v>23.464715999999999</v>
      </c>
      <c r="CG51" s="3">
        <v>25.957376</v>
      </c>
      <c r="CH51" s="3">
        <v>27.514223000000001</v>
      </c>
      <c r="CI51" s="3">
        <v>23.151755999999999</v>
      </c>
      <c r="CJ51" s="3">
        <v>25.251503</v>
      </c>
      <c r="CK51" s="3">
        <v>25.604073</v>
      </c>
      <c r="CL51" s="3">
        <v>23.629004999999999</v>
      </c>
      <c r="CM51" s="3">
        <v>24.625934999999998</v>
      </c>
      <c r="CN51" s="3">
        <v>25.323931000000002</v>
      </c>
      <c r="CO51" s="3">
        <v>25.669224</v>
      </c>
      <c r="CP51" s="3">
        <v>24.639246</v>
      </c>
      <c r="CQ51" s="3">
        <v>27.67568</v>
      </c>
      <c r="CR51" s="3">
        <v>24.171619</v>
      </c>
      <c r="CS51" s="3">
        <v>24.154240000000001</v>
      </c>
      <c r="CT51" s="3">
        <v>25.182482</v>
      </c>
      <c r="CU51" s="3">
        <v>23.809581999999999</v>
      </c>
      <c r="CV51" s="3">
        <v>24.111383</v>
      </c>
      <c r="CW51" s="3">
        <v>26.752956000000001</v>
      </c>
      <c r="CX51" s="3">
        <v>23.739015999999999</v>
      </c>
      <c r="CY51" s="3">
        <v>24.580976</v>
      </c>
      <c r="CZ51" s="3">
        <v>27.408982999999999</v>
      </c>
      <c r="DA51" s="3">
        <v>23.907820000000001</v>
      </c>
      <c r="DB51" s="3">
        <v>24.840426999999998</v>
      </c>
      <c r="DC51" s="3">
        <v>23.226216999999998</v>
      </c>
      <c r="DD51" s="3">
        <v>26.809951999999999</v>
      </c>
      <c r="DE51" s="3">
        <v>23.634947</v>
      </c>
      <c r="DF51" s="3">
        <v>26.124334000000001</v>
      </c>
      <c r="DG51" s="3">
        <v>22.615438000000001</v>
      </c>
      <c r="DH51" s="3">
        <v>23.566096999999999</v>
      </c>
      <c r="DI51" s="3"/>
      <c r="DJ51" s="3"/>
      <c r="DM51" s="3"/>
      <c r="DN51" s="3"/>
      <c r="DP51" s="3"/>
      <c r="DQ51" s="3"/>
      <c r="DR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</row>
    <row r="52" spans="2:207" x14ac:dyDescent="0.2">
      <c r="B52" s="2" t="s">
        <v>39</v>
      </c>
      <c r="G52" s="3"/>
      <c r="H52" s="3"/>
      <c r="I52" s="3"/>
      <c r="J52" s="3"/>
      <c r="K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M52" s="3"/>
      <c r="DN52" s="3"/>
      <c r="DP52" s="3"/>
      <c r="DQ52" s="3"/>
      <c r="DR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</row>
    <row r="53" spans="2:207" x14ac:dyDescent="0.2">
      <c r="B53" s="2" t="s">
        <v>40</v>
      </c>
      <c r="D53" t="s">
        <v>4</v>
      </c>
      <c r="E53" t="s">
        <v>1</v>
      </c>
      <c r="F53">
        <f>COUNT(M53:GJ53)</f>
        <v>100</v>
      </c>
      <c r="G53" s="3">
        <f>AVERAGE(M53:GJ53)</f>
        <v>27.302000949999993</v>
      </c>
      <c r="H53" s="3">
        <f>MAX(M53:GJ53)</f>
        <v>32.047710000000002</v>
      </c>
      <c r="I53" s="3">
        <f>MIN(M53:GJ53)</f>
        <v>22.723752999999999</v>
      </c>
      <c r="J53" s="3">
        <f>_xlfn.STDEV.P(M53:GJ53)</f>
        <v>1.7460903965056591</v>
      </c>
      <c r="K53" s="3">
        <f>_xlfn.VAR.S(M53:GJ53)</f>
        <v>3.0796279522922121</v>
      </c>
      <c r="M53" s="3">
        <v>26.930399000000001</v>
      </c>
      <c r="N53" s="3">
        <v>28.164255000000001</v>
      </c>
      <c r="O53" s="3">
        <v>28.131186</v>
      </c>
      <c r="P53" s="3">
        <v>26.830988000000001</v>
      </c>
      <c r="Q53" s="3">
        <v>25.907703000000001</v>
      </c>
      <c r="R53" s="3">
        <v>28.164335000000001</v>
      </c>
      <c r="S53" s="3">
        <v>24.787731000000001</v>
      </c>
      <c r="T53" s="3">
        <v>26.558703999999999</v>
      </c>
      <c r="U53" s="3">
        <v>27.171987999999999</v>
      </c>
      <c r="V53" s="3">
        <v>24.478210000000001</v>
      </c>
      <c r="W53" s="3">
        <v>30.043814000000001</v>
      </c>
      <c r="X53" s="3">
        <v>30.34976</v>
      </c>
      <c r="Y53" s="3">
        <v>28.250859999999999</v>
      </c>
      <c r="Z53" s="3">
        <v>28.701515000000001</v>
      </c>
      <c r="AA53" s="3">
        <v>23.227284999999998</v>
      </c>
      <c r="AB53" s="3">
        <v>29.236353000000001</v>
      </c>
      <c r="AC53" s="3">
        <v>27.207160999999999</v>
      </c>
      <c r="AD53" s="3">
        <v>26.986764999999998</v>
      </c>
      <c r="AE53" s="3">
        <v>26.770420000000001</v>
      </c>
      <c r="AF53" s="3">
        <v>30.175301000000001</v>
      </c>
      <c r="AG53" s="3">
        <v>29.333029</v>
      </c>
      <c r="AH53" s="3">
        <v>27.52186</v>
      </c>
      <c r="AI53" s="3">
        <v>28.988447000000001</v>
      </c>
      <c r="AJ53" s="3">
        <v>25.044108999999999</v>
      </c>
      <c r="AK53" s="3">
        <v>24.694731000000001</v>
      </c>
      <c r="AL53" s="3">
        <v>28.342303999999999</v>
      </c>
      <c r="AM53" s="3">
        <v>26.403053</v>
      </c>
      <c r="AN53" s="3">
        <v>28.906597000000001</v>
      </c>
      <c r="AO53" s="3">
        <v>27.570315999999998</v>
      </c>
      <c r="AP53" s="3">
        <v>26.901364999999998</v>
      </c>
      <c r="AQ53" s="3">
        <v>27.694524999999999</v>
      </c>
      <c r="AR53" s="3">
        <v>26.649038000000001</v>
      </c>
      <c r="AS53" s="3">
        <v>27.567347000000002</v>
      </c>
      <c r="AT53" s="3">
        <v>30.89472</v>
      </c>
      <c r="AU53" s="3">
        <v>22.723752999999999</v>
      </c>
      <c r="AV53" s="3">
        <v>29.243251999999998</v>
      </c>
      <c r="AW53" s="3">
        <v>27.495289</v>
      </c>
      <c r="AX53" s="3">
        <v>29.045925</v>
      </c>
      <c r="AY53" s="3">
        <v>26.776112000000001</v>
      </c>
      <c r="AZ53" s="3">
        <v>27.427143000000001</v>
      </c>
      <c r="BA53" s="3">
        <v>29.56307</v>
      </c>
      <c r="BB53" s="3">
        <v>30.706921000000001</v>
      </c>
      <c r="BC53" s="3">
        <v>27.177735999999999</v>
      </c>
      <c r="BD53" s="3">
        <v>29.101254999999998</v>
      </c>
      <c r="BE53" s="3">
        <v>28.329910000000002</v>
      </c>
      <c r="BF53" s="3">
        <v>30.698810999999999</v>
      </c>
      <c r="BG53" s="3">
        <v>25.979607000000001</v>
      </c>
      <c r="BH53" s="3">
        <v>26.583663999999999</v>
      </c>
      <c r="BI53" s="3">
        <v>26.162759999999999</v>
      </c>
      <c r="BJ53" s="3">
        <v>27.191116000000001</v>
      </c>
      <c r="BK53" s="3">
        <v>25.672312000000002</v>
      </c>
      <c r="BL53" s="3">
        <v>28.378413999999999</v>
      </c>
      <c r="BM53" s="3">
        <v>24.251497000000001</v>
      </c>
      <c r="BN53" s="3">
        <v>26.649529999999999</v>
      </c>
      <c r="BO53" s="3">
        <v>27.13843</v>
      </c>
      <c r="BP53" s="3">
        <v>28.109767999999999</v>
      </c>
      <c r="BQ53" s="3">
        <v>25.219702000000002</v>
      </c>
      <c r="BR53" s="3">
        <v>26.510715000000001</v>
      </c>
      <c r="BS53" s="3">
        <v>28.366371000000001</v>
      </c>
      <c r="BT53" s="3">
        <v>27.176946999999998</v>
      </c>
      <c r="BU53" s="3">
        <v>29.010351</v>
      </c>
      <c r="BV53" s="3">
        <v>28.059609999999999</v>
      </c>
      <c r="BW53" s="3">
        <v>28.298279000000001</v>
      </c>
      <c r="BX53" s="3">
        <v>25.556287999999999</v>
      </c>
      <c r="BY53" s="3">
        <v>24.095001</v>
      </c>
      <c r="BZ53" s="3">
        <v>27.308700999999999</v>
      </c>
      <c r="CA53" s="3">
        <v>27.205936000000001</v>
      </c>
      <c r="CB53" s="3">
        <v>25.456555999999999</v>
      </c>
      <c r="CC53" s="3">
        <v>26.322721000000001</v>
      </c>
      <c r="CD53" s="3">
        <v>26.946117000000001</v>
      </c>
      <c r="CE53" s="3">
        <v>25.333625999999999</v>
      </c>
      <c r="CF53" s="3">
        <v>27.146549</v>
      </c>
      <c r="CG53" s="3">
        <v>28.791031</v>
      </c>
      <c r="CH53" s="3">
        <v>29.919543999999998</v>
      </c>
      <c r="CI53" s="3">
        <v>25.812407</v>
      </c>
      <c r="CJ53" s="3">
        <v>25.814879999999999</v>
      </c>
      <c r="CK53" s="3">
        <v>23.743625999999999</v>
      </c>
      <c r="CL53" s="3">
        <v>26.905578999999999</v>
      </c>
      <c r="CM53" s="3">
        <v>27.162887999999999</v>
      </c>
      <c r="CN53" s="3">
        <v>26.611597</v>
      </c>
      <c r="CO53" s="3">
        <v>25.256706000000001</v>
      </c>
      <c r="CP53" s="3">
        <v>25.742270999999999</v>
      </c>
      <c r="CQ53" s="3">
        <v>30.168859000000001</v>
      </c>
      <c r="CR53" s="3">
        <v>28.698608</v>
      </c>
      <c r="CS53" s="3">
        <v>27.381627999999999</v>
      </c>
      <c r="CT53" s="3">
        <v>29.152182</v>
      </c>
      <c r="CU53" s="3">
        <v>27.415972</v>
      </c>
      <c r="CV53" s="3">
        <v>32.047710000000002</v>
      </c>
      <c r="CW53" s="3">
        <v>27.074991000000001</v>
      </c>
      <c r="CX53" s="3">
        <v>25.438345000000002</v>
      </c>
      <c r="CY53" s="3">
        <v>26.274391000000001</v>
      </c>
      <c r="CZ53" s="3">
        <v>26.768944000000001</v>
      </c>
      <c r="DA53" s="3">
        <v>27.311699000000001</v>
      </c>
      <c r="DB53" s="3">
        <v>28.620417</v>
      </c>
      <c r="DC53" s="3">
        <v>27.908501000000001</v>
      </c>
      <c r="DD53" s="3">
        <v>25.761683999999999</v>
      </c>
      <c r="DE53" s="3">
        <v>29.422097999999998</v>
      </c>
      <c r="DF53" s="3">
        <v>25.629947999999999</v>
      </c>
      <c r="DG53" s="3">
        <v>26.503997999999999</v>
      </c>
      <c r="DH53" s="3">
        <v>25.853672</v>
      </c>
      <c r="DI53" s="3"/>
      <c r="DJ53" s="3"/>
      <c r="DM53" s="3"/>
      <c r="DN53" s="3"/>
      <c r="DP53" s="3"/>
      <c r="DQ53" s="3"/>
      <c r="DR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</row>
    <row r="54" spans="2:207" x14ac:dyDescent="0.2">
      <c r="G54" s="3"/>
      <c r="H54" s="3"/>
      <c r="I54" s="3"/>
      <c r="J54" s="3"/>
      <c r="K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M54" s="3"/>
      <c r="DN54" s="3"/>
      <c r="DP54" s="3"/>
      <c r="DQ54" s="3"/>
      <c r="DR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</row>
    <row r="55" spans="2:207" x14ac:dyDescent="0.2">
      <c r="D55" t="s">
        <v>2</v>
      </c>
      <c r="E55" t="s">
        <v>1</v>
      </c>
      <c r="F55">
        <f>COUNT(M55:GJ55)</f>
        <v>100</v>
      </c>
      <c r="G55" s="3">
        <f>AVERAGE(M55:GJ55)</f>
        <v>25.7901588</v>
      </c>
      <c r="H55" s="3">
        <f>MAX(M55:GJ55)</f>
        <v>28.593330000000002</v>
      </c>
      <c r="I55" s="3">
        <f>MIN(M55:GJ55)</f>
        <v>23.513221999999999</v>
      </c>
      <c r="J55" s="3">
        <f>_xlfn.STDEV.P(M55:GJ55)</f>
        <v>1.1358987727436189</v>
      </c>
      <c r="K55" s="3">
        <f>_xlfn.VAR.S(M55:GJ55)</f>
        <v>1.3032990120408683</v>
      </c>
      <c r="M55" s="3">
        <v>24.458912000000002</v>
      </c>
      <c r="N55" s="3">
        <v>23.556025999999999</v>
      </c>
      <c r="O55" s="3">
        <v>25.985251999999999</v>
      </c>
      <c r="P55" s="3">
        <v>27.566745999999998</v>
      </c>
      <c r="Q55" s="3">
        <v>25.450274</v>
      </c>
      <c r="R55" s="3">
        <v>25.874866000000001</v>
      </c>
      <c r="S55" s="3">
        <v>25.514424999999999</v>
      </c>
      <c r="T55" s="3">
        <v>25.681576</v>
      </c>
      <c r="U55" s="3">
        <v>25.773561000000001</v>
      </c>
      <c r="V55" s="3">
        <v>23.513221999999999</v>
      </c>
      <c r="W55" s="3">
        <v>25.805771</v>
      </c>
      <c r="X55" s="3">
        <v>26.10088</v>
      </c>
      <c r="Y55" s="3">
        <v>25.284963999999999</v>
      </c>
      <c r="Z55" s="3">
        <v>25.578507999999999</v>
      </c>
      <c r="AA55" s="3">
        <v>26.257175</v>
      </c>
      <c r="AB55" s="3">
        <v>27.486706000000002</v>
      </c>
      <c r="AC55" s="3">
        <v>25.934539999999998</v>
      </c>
      <c r="AD55" s="3">
        <v>25.618694000000001</v>
      </c>
      <c r="AE55" s="3">
        <v>24.212337000000002</v>
      </c>
      <c r="AF55" s="3">
        <v>25.71508</v>
      </c>
      <c r="AG55" s="3">
        <v>24.665001</v>
      </c>
      <c r="AH55" s="3">
        <v>25.286200999999998</v>
      </c>
      <c r="AI55" s="3">
        <v>24.135183000000001</v>
      </c>
      <c r="AJ55" s="3">
        <v>27.429766000000001</v>
      </c>
      <c r="AK55" s="3">
        <v>24.761993</v>
      </c>
      <c r="AL55" s="3">
        <v>26.524505999999999</v>
      </c>
      <c r="AM55" s="3">
        <v>25.833593</v>
      </c>
      <c r="AN55" s="3">
        <v>25.994444000000001</v>
      </c>
      <c r="AO55" s="3">
        <v>25.866530999999998</v>
      </c>
      <c r="AP55" s="3">
        <v>26.651288999999998</v>
      </c>
      <c r="AQ55" s="3">
        <v>25.545549000000001</v>
      </c>
      <c r="AR55" s="3">
        <v>27.381985</v>
      </c>
      <c r="AS55" s="3">
        <v>25.893715</v>
      </c>
      <c r="AT55" s="3">
        <v>25.937830000000002</v>
      </c>
      <c r="AU55" s="3">
        <v>24.668291</v>
      </c>
      <c r="AV55" s="3">
        <v>26.040043000000001</v>
      </c>
      <c r="AW55" s="3">
        <v>24.605127</v>
      </c>
      <c r="AX55" s="3">
        <v>26.371758</v>
      </c>
      <c r="AY55" s="3">
        <v>25.661916999999999</v>
      </c>
      <c r="AZ55" s="3">
        <v>25.704402999999999</v>
      </c>
      <c r="BA55" s="3">
        <v>24.633082999999999</v>
      </c>
      <c r="BB55" s="3">
        <v>25.638522999999999</v>
      </c>
      <c r="BC55" s="3">
        <v>24.469666</v>
      </c>
      <c r="BD55" s="3">
        <v>27.140201999999999</v>
      </c>
      <c r="BE55" s="3">
        <v>24.802738000000002</v>
      </c>
      <c r="BF55" s="3">
        <v>25.738818999999999</v>
      </c>
      <c r="BG55" s="3">
        <v>25.110889</v>
      </c>
      <c r="BH55" s="3">
        <v>24.867065</v>
      </c>
      <c r="BI55" s="3">
        <v>25.372923</v>
      </c>
      <c r="BJ55" s="3">
        <v>27.031884999999999</v>
      </c>
      <c r="BK55" s="3">
        <v>27.107762999999998</v>
      </c>
      <c r="BL55" s="3">
        <v>24.669799999999999</v>
      </c>
      <c r="BM55" s="3">
        <v>23.911895999999999</v>
      </c>
      <c r="BN55" s="3">
        <v>24.533014000000001</v>
      </c>
      <c r="BO55" s="3">
        <v>26.055766999999999</v>
      </c>
      <c r="BP55" s="3">
        <v>26.167116</v>
      </c>
      <c r="BQ55" s="3">
        <v>24.958475</v>
      </c>
      <c r="BR55" s="3">
        <v>24.471651000000001</v>
      </c>
      <c r="BS55" s="3">
        <v>25.954588000000001</v>
      </c>
      <c r="BT55" s="3">
        <v>26.682337</v>
      </c>
      <c r="BU55" s="3">
        <v>23.680268999999999</v>
      </c>
      <c r="BV55" s="3">
        <v>27.716497</v>
      </c>
      <c r="BW55" s="3">
        <v>26.458442999999999</v>
      </c>
      <c r="BX55" s="3">
        <v>26.215962999999999</v>
      </c>
      <c r="BY55" s="3">
        <v>25.401596000000001</v>
      </c>
      <c r="BZ55" s="3">
        <v>25.315450999999999</v>
      </c>
      <c r="CA55" s="3">
        <v>26.974254999999999</v>
      </c>
      <c r="CB55" s="3">
        <v>24.957134</v>
      </c>
      <c r="CC55" s="3">
        <v>24.919785000000001</v>
      </c>
      <c r="CD55" s="3">
        <v>24.648083</v>
      </c>
      <c r="CE55" s="3">
        <v>28.172913000000001</v>
      </c>
      <c r="CF55" s="3">
        <v>26.791823999999998</v>
      </c>
      <c r="CG55" s="3">
        <v>24.806260999999999</v>
      </c>
      <c r="CH55" s="3">
        <v>24.618463999999999</v>
      </c>
      <c r="CI55" s="3">
        <v>27.224889999999998</v>
      </c>
      <c r="CJ55" s="3">
        <v>26.068151</v>
      </c>
      <c r="CK55" s="3">
        <v>26.922502999999999</v>
      </c>
      <c r="CL55" s="3">
        <v>28.571114999999999</v>
      </c>
      <c r="CM55" s="3">
        <v>26.428705000000001</v>
      </c>
      <c r="CN55" s="3">
        <v>25.978041000000001</v>
      </c>
      <c r="CO55" s="3">
        <v>27.637855999999999</v>
      </c>
      <c r="CP55" s="3">
        <v>24.871390999999999</v>
      </c>
      <c r="CQ55" s="3">
        <v>27.596563</v>
      </c>
      <c r="CR55" s="3">
        <v>25.641724</v>
      </c>
      <c r="CS55" s="3">
        <v>25.703381</v>
      </c>
      <c r="CT55" s="3">
        <v>28.593330000000002</v>
      </c>
      <c r="CU55" s="3">
        <v>26.282646</v>
      </c>
      <c r="CV55" s="3">
        <v>26.495270000000001</v>
      </c>
      <c r="CW55" s="3">
        <v>26.632104999999999</v>
      </c>
      <c r="CX55" s="3">
        <v>27.573516999999999</v>
      </c>
      <c r="CY55" s="3">
        <v>26.481728</v>
      </c>
      <c r="CZ55" s="3">
        <v>24.062159000000001</v>
      </c>
      <c r="DA55" s="3">
        <v>24.110969999999998</v>
      </c>
      <c r="DB55" s="3">
        <v>25.780373000000001</v>
      </c>
      <c r="DC55" s="3">
        <v>26.737407999999999</v>
      </c>
      <c r="DD55" s="3">
        <v>26.309640999999999</v>
      </c>
      <c r="DE55" s="3">
        <v>26.354637</v>
      </c>
      <c r="DF55" s="3">
        <v>27.162476999999999</v>
      </c>
      <c r="DG55" s="3">
        <v>23.817253000000001</v>
      </c>
      <c r="DH55" s="3">
        <v>23.654267999999998</v>
      </c>
      <c r="DI55" s="3"/>
      <c r="DJ55" s="3"/>
      <c r="DM55" s="3"/>
      <c r="DN55" s="3"/>
      <c r="DP55" s="3"/>
      <c r="DQ55" s="3"/>
      <c r="DR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</row>
    <row r="56" spans="2:207" x14ac:dyDescent="0.2">
      <c r="G56" s="3"/>
      <c r="H56" s="3"/>
      <c r="I56" s="3"/>
      <c r="J56" s="3"/>
      <c r="K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M56" s="3"/>
      <c r="DN56" s="3"/>
      <c r="DP56" s="3"/>
      <c r="DQ56" s="3"/>
      <c r="DR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</row>
    <row r="57" spans="2:207" x14ac:dyDescent="0.2">
      <c r="D57" t="s">
        <v>5</v>
      </c>
      <c r="E57" t="s">
        <v>1</v>
      </c>
      <c r="F57">
        <f>COUNT(M57:GJ57)</f>
        <v>100</v>
      </c>
      <c r="G57" s="3">
        <f>AVERAGE(M57:GJ57)</f>
        <v>29.415869730000026</v>
      </c>
      <c r="H57" s="3">
        <f>MAX(M57:GJ57)</f>
        <v>32.257534</v>
      </c>
      <c r="I57" s="3">
        <f>MIN(M57:GJ57)</f>
        <v>24.403638999999998</v>
      </c>
      <c r="J57" s="3">
        <f>_xlfn.STDEV.P(M57:GJ57)</f>
        <v>1.4828172257297316</v>
      </c>
      <c r="K57" s="3">
        <f>_xlfn.VAR.S(M57:GJ57)</f>
        <v>2.2209564898190077</v>
      </c>
      <c r="M57" s="3">
        <v>29.872361999999999</v>
      </c>
      <c r="N57" s="3">
        <v>31.387474000000001</v>
      </c>
      <c r="O57" s="3">
        <v>32.257534</v>
      </c>
      <c r="P57" s="3">
        <v>29.065947000000001</v>
      </c>
      <c r="Q57" s="3">
        <v>30.839592</v>
      </c>
      <c r="R57" s="3">
        <v>27.8964</v>
      </c>
      <c r="S57" s="3">
        <v>28.365470999999999</v>
      </c>
      <c r="T57" s="3">
        <v>30.305243999999998</v>
      </c>
      <c r="U57" s="3">
        <v>31.176684999999999</v>
      </c>
      <c r="V57" s="3">
        <v>30.010513</v>
      </c>
      <c r="W57" s="3">
        <v>31.615086000000002</v>
      </c>
      <c r="X57" s="3">
        <v>30.884193</v>
      </c>
      <c r="Y57" s="3">
        <v>30.641062000000002</v>
      </c>
      <c r="Z57" s="3">
        <v>27.951682999999999</v>
      </c>
      <c r="AA57" s="3">
        <v>30.352301000000001</v>
      </c>
      <c r="AB57" s="3">
        <v>29.068745</v>
      </c>
      <c r="AC57" s="3">
        <v>27.163018999999998</v>
      </c>
      <c r="AD57" s="3">
        <v>30.707418000000001</v>
      </c>
      <c r="AE57" s="3">
        <v>28.818719999999999</v>
      </c>
      <c r="AF57" s="3">
        <v>30.400047000000001</v>
      </c>
      <c r="AG57" s="3">
        <v>30.862289000000001</v>
      </c>
      <c r="AH57" s="3">
        <v>29.031725000000002</v>
      </c>
      <c r="AI57" s="3">
        <v>30.331662999999999</v>
      </c>
      <c r="AJ57" s="3">
        <v>28.383209000000001</v>
      </c>
      <c r="AK57" s="3">
        <v>30.771447999999999</v>
      </c>
      <c r="AL57" s="3">
        <v>29.966812000000001</v>
      </c>
      <c r="AM57" s="3">
        <v>29.859490999999998</v>
      </c>
      <c r="AN57" s="3">
        <v>31.606034999999999</v>
      </c>
      <c r="AO57" s="3">
        <v>29.317038</v>
      </c>
      <c r="AP57" s="3">
        <v>30.150573999999999</v>
      </c>
      <c r="AQ57" s="3">
        <v>24.403638999999998</v>
      </c>
      <c r="AR57" s="3">
        <v>30.757383000000001</v>
      </c>
      <c r="AS57" s="3">
        <v>29.694365999999999</v>
      </c>
      <c r="AT57" s="3">
        <v>29.824529999999999</v>
      </c>
      <c r="AU57" s="3">
        <v>26.643464999999999</v>
      </c>
      <c r="AV57" s="3">
        <v>30.661850000000001</v>
      </c>
      <c r="AW57" s="3">
        <v>31.133448000000001</v>
      </c>
      <c r="AX57" s="3">
        <v>29.976053</v>
      </c>
      <c r="AY57" s="3">
        <v>30.332526999999999</v>
      </c>
      <c r="AZ57" s="3">
        <v>26.951516999999999</v>
      </c>
      <c r="BA57" s="3">
        <v>30.436534999999999</v>
      </c>
      <c r="BB57" s="3">
        <v>29.125150999999999</v>
      </c>
      <c r="BC57" s="3">
        <v>30.764966999999999</v>
      </c>
      <c r="BD57" s="3">
        <v>29.834133000000001</v>
      </c>
      <c r="BE57" s="3">
        <v>28.000240000000002</v>
      </c>
      <c r="BF57" s="3">
        <v>27.828226000000001</v>
      </c>
      <c r="BG57" s="3">
        <v>29.425733999999999</v>
      </c>
      <c r="BH57" s="3">
        <v>28.575392000000001</v>
      </c>
      <c r="BI57" s="3">
        <v>31.729710000000001</v>
      </c>
      <c r="BJ57" s="3">
        <v>29.503558999999999</v>
      </c>
      <c r="BK57" s="3">
        <v>30.823647999999999</v>
      </c>
      <c r="BL57" s="3">
        <v>26.750730999999998</v>
      </c>
      <c r="BM57" s="3">
        <v>30.604305</v>
      </c>
      <c r="BN57" s="3">
        <v>31.049301</v>
      </c>
      <c r="BO57" s="3">
        <v>30.137117</v>
      </c>
      <c r="BP57" s="3">
        <v>28.944664</v>
      </c>
      <c r="BQ57" s="3">
        <v>27.282800999999999</v>
      </c>
      <c r="BR57" s="3">
        <v>27.779406000000002</v>
      </c>
      <c r="BS57" s="3">
        <v>27.899977</v>
      </c>
      <c r="BT57" s="3">
        <v>30.980226999999999</v>
      </c>
      <c r="BU57" s="3">
        <v>30.99099</v>
      </c>
      <c r="BV57" s="3">
        <v>26.469844999999999</v>
      </c>
      <c r="BW57" s="3">
        <v>29.822464</v>
      </c>
      <c r="BX57" s="3">
        <v>27.873947000000001</v>
      </c>
      <c r="BY57" s="3">
        <v>28.330835</v>
      </c>
      <c r="BZ57" s="3">
        <v>28.265635</v>
      </c>
      <c r="CA57" s="3">
        <v>29.137287000000001</v>
      </c>
      <c r="CB57" s="3">
        <v>28.753069</v>
      </c>
      <c r="CC57" s="3">
        <v>28.400562000000001</v>
      </c>
      <c r="CD57" s="3">
        <v>30.924194</v>
      </c>
      <c r="CE57" s="3">
        <v>28.571069999999999</v>
      </c>
      <c r="CF57" s="3">
        <v>29.803477999999998</v>
      </c>
      <c r="CG57" s="3">
        <v>28.380043000000001</v>
      </c>
      <c r="CH57" s="3">
        <v>30.375361999999999</v>
      </c>
      <c r="CI57" s="3">
        <v>27.980174999999999</v>
      </c>
      <c r="CJ57" s="3">
        <v>28.782215000000001</v>
      </c>
      <c r="CK57" s="3">
        <v>31.322723</v>
      </c>
      <c r="CL57" s="3">
        <v>28.266283000000001</v>
      </c>
      <c r="CM57" s="3">
        <v>30.010128000000002</v>
      </c>
      <c r="CN57" s="3">
        <v>29.119074000000001</v>
      </c>
      <c r="CO57" s="3">
        <v>26.308516999999998</v>
      </c>
      <c r="CP57" s="3">
        <v>28.085370999999999</v>
      </c>
      <c r="CQ57" s="3">
        <v>26.838308000000001</v>
      </c>
      <c r="CR57" s="3">
        <v>29.76202</v>
      </c>
      <c r="CS57" s="3">
        <v>26.452998999999998</v>
      </c>
      <c r="CT57" s="3">
        <v>29.938763000000002</v>
      </c>
      <c r="CU57" s="3">
        <v>31.300706999999999</v>
      </c>
      <c r="CV57" s="3">
        <v>29.224526999999998</v>
      </c>
      <c r="CW57" s="3">
        <v>30.284462000000001</v>
      </c>
      <c r="CX57" s="3">
        <v>27.154408</v>
      </c>
      <c r="CY57" s="3">
        <v>29.127172000000002</v>
      </c>
      <c r="CZ57" s="3">
        <v>30.606071</v>
      </c>
      <c r="DA57" s="3">
        <v>29.840661999999998</v>
      </c>
      <c r="DB57" s="3">
        <v>29.875418</v>
      </c>
      <c r="DC57" s="3">
        <v>30.249009999999998</v>
      </c>
      <c r="DD57" s="3">
        <v>29.918156</v>
      </c>
      <c r="DE57" s="3">
        <v>31.8489</v>
      </c>
      <c r="DF57" s="3">
        <v>29.234068000000001</v>
      </c>
      <c r="DG57" s="3">
        <v>27.436968</v>
      </c>
      <c r="DH57" s="3">
        <v>29.606705000000002</v>
      </c>
      <c r="DI57" s="3"/>
      <c r="DJ57" s="3"/>
      <c r="DM57" s="3"/>
      <c r="DN57" s="3"/>
      <c r="DP57" s="3"/>
      <c r="DQ57" s="3"/>
      <c r="DR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</row>
    <row r="58" spans="2:207" x14ac:dyDescent="0.2">
      <c r="G58" s="3"/>
      <c r="H58" s="3"/>
      <c r="I58" s="3"/>
      <c r="J58" s="3"/>
      <c r="K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M58" s="3"/>
      <c r="DN58" s="3"/>
      <c r="DP58" s="3"/>
      <c r="DQ58" s="3"/>
      <c r="DR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</row>
    <row r="59" spans="2:207" x14ac:dyDescent="0.2">
      <c r="D59" t="s">
        <v>6</v>
      </c>
      <c r="E59" t="s">
        <v>1</v>
      </c>
      <c r="F59">
        <f>COUNT(M59:GJ59)</f>
        <v>100</v>
      </c>
      <c r="G59" s="3">
        <f>AVERAGE(M59:GJ59)</f>
        <v>26.690090610000002</v>
      </c>
      <c r="H59" s="3">
        <f>MAX(M59:GJ59)</f>
        <v>31.164512999999999</v>
      </c>
      <c r="I59" s="3">
        <f>MIN(M59:GJ59)</f>
        <v>23.173255999999999</v>
      </c>
      <c r="J59" s="3">
        <f>_xlfn.STDEV.P(M59:GJ59)</f>
        <v>1.8551076933610562</v>
      </c>
      <c r="K59" s="3">
        <f>_xlfn.VAR.S(M59:GJ59)</f>
        <v>3.4761864181488678</v>
      </c>
      <c r="M59" s="3">
        <v>29.470908999999999</v>
      </c>
      <c r="N59" s="3">
        <v>24.211037000000001</v>
      </c>
      <c r="O59" s="3">
        <v>27.419687</v>
      </c>
      <c r="P59" s="3">
        <v>24.855785000000001</v>
      </c>
      <c r="Q59" s="3">
        <v>29.234085</v>
      </c>
      <c r="R59" s="3">
        <v>24.929783</v>
      </c>
      <c r="S59" s="3">
        <v>29.369909</v>
      </c>
      <c r="T59" s="3">
        <v>27.656179000000002</v>
      </c>
      <c r="U59" s="3">
        <v>28.698163999999998</v>
      </c>
      <c r="V59" s="3">
        <v>28.213647999999999</v>
      </c>
      <c r="W59" s="3">
        <v>25.991240000000001</v>
      </c>
      <c r="X59" s="3">
        <v>27.569932999999999</v>
      </c>
      <c r="Y59" s="3">
        <v>25.851151999999999</v>
      </c>
      <c r="Z59" s="3">
        <v>25.189471999999999</v>
      </c>
      <c r="AA59" s="3">
        <v>27.580666000000001</v>
      </c>
      <c r="AB59" s="3">
        <v>27.194876000000001</v>
      </c>
      <c r="AC59" s="3">
        <v>24.74024</v>
      </c>
      <c r="AD59" s="3">
        <v>24.579260000000001</v>
      </c>
      <c r="AE59" s="3">
        <v>29.732510000000001</v>
      </c>
      <c r="AF59" s="3">
        <v>28.786035999999999</v>
      </c>
      <c r="AG59" s="3">
        <v>26.583876</v>
      </c>
      <c r="AH59" s="3">
        <v>25.200994000000001</v>
      </c>
      <c r="AI59" s="3">
        <v>26.311116999999999</v>
      </c>
      <c r="AJ59" s="3">
        <v>27.343305999999998</v>
      </c>
      <c r="AK59" s="3">
        <v>27.795963</v>
      </c>
      <c r="AL59">
        <v>25.519369000000001</v>
      </c>
      <c r="AM59" s="3">
        <v>28.260342000000001</v>
      </c>
      <c r="AN59" s="3">
        <v>29.098905999999999</v>
      </c>
      <c r="AO59" s="3">
        <v>28.358612000000001</v>
      </c>
      <c r="AP59" s="3">
        <v>24.058788</v>
      </c>
      <c r="AQ59" s="3">
        <v>29.931125999999999</v>
      </c>
      <c r="AR59" s="3">
        <v>27.698608</v>
      </c>
      <c r="AS59" s="3">
        <v>25.960815</v>
      </c>
      <c r="AT59" s="3">
        <v>27.177672999999999</v>
      </c>
      <c r="AU59" s="3">
        <v>26.456612</v>
      </c>
      <c r="AV59" s="3">
        <v>25.414831</v>
      </c>
      <c r="AW59" s="3">
        <v>25.722550999999999</v>
      </c>
      <c r="AX59" s="3">
        <v>27.058439</v>
      </c>
      <c r="AY59" s="3">
        <v>24.802873999999999</v>
      </c>
      <c r="AZ59" s="3">
        <v>25.908996999999999</v>
      </c>
      <c r="BA59" s="3">
        <v>28.859141999999999</v>
      </c>
      <c r="BB59" s="3">
        <v>27.516774999999999</v>
      </c>
      <c r="BC59" s="3">
        <v>24.101815999999999</v>
      </c>
      <c r="BD59" s="3">
        <v>30.944872</v>
      </c>
      <c r="BE59" s="3">
        <v>24.459568000000001</v>
      </c>
      <c r="BF59" s="3">
        <v>24.817440000000001</v>
      </c>
      <c r="BG59" s="3">
        <v>26.064779000000001</v>
      </c>
      <c r="BH59" s="3">
        <v>25.898394</v>
      </c>
      <c r="BI59" s="3">
        <v>24.1616</v>
      </c>
      <c r="BJ59" s="3">
        <v>29.275898000000002</v>
      </c>
      <c r="BK59" s="3">
        <v>26.635632000000001</v>
      </c>
      <c r="BL59" s="3">
        <v>25.088411000000001</v>
      </c>
      <c r="BM59" s="3">
        <v>26.856497000000001</v>
      </c>
      <c r="BN59" s="3">
        <v>29.735949999999999</v>
      </c>
      <c r="BO59" s="3">
        <v>26.88316</v>
      </c>
      <c r="BP59" s="3">
        <v>26.710740999999999</v>
      </c>
      <c r="BQ59" s="3">
        <v>25.973676999999999</v>
      </c>
      <c r="BR59" s="3">
        <v>25.696133</v>
      </c>
      <c r="BS59" s="3">
        <v>26.271409999999999</v>
      </c>
      <c r="BT59" s="3">
        <v>30.429234000000001</v>
      </c>
      <c r="BU59" s="3">
        <v>23.748871000000001</v>
      </c>
      <c r="BV59" s="3">
        <v>24.684467000000001</v>
      </c>
      <c r="BW59" s="3">
        <v>27.560410000000001</v>
      </c>
      <c r="BX59" s="3">
        <v>25.326436999999999</v>
      </c>
      <c r="BY59" s="3">
        <v>24.358695999999998</v>
      </c>
      <c r="BZ59" s="3">
        <v>27.230204000000001</v>
      </c>
      <c r="CA59" s="3">
        <v>27.341660000000001</v>
      </c>
      <c r="CB59" s="3">
        <v>26.760807</v>
      </c>
      <c r="CC59" s="3">
        <v>23.588438</v>
      </c>
      <c r="CD59" s="3">
        <v>27.270106999999999</v>
      </c>
      <c r="CE59" s="3">
        <v>25.879722999999998</v>
      </c>
      <c r="CF59" s="3">
        <v>29.673962</v>
      </c>
      <c r="CG59" s="3">
        <v>26.077465</v>
      </c>
      <c r="CH59" s="3">
        <v>26.947044000000002</v>
      </c>
      <c r="CI59" s="3">
        <v>26.038336000000001</v>
      </c>
      <c r="CJ59" s="3">
        <v>25.501436000000002</v>
      </c>
      <c r="CK59" s="3">
        <v>29.380268000000001</v>
      </c>
      <c r="CL59" s="3">
        <v>30.499886</v>
      </c>
      <c r="CM59" s="3">
        <v>29.061716000000001</v>
      </c>
      <c r="CN59" s="3">
        <v>28.517761</v>
      </c>
      <c r="CO59" s="3">
        <v>24.952721</v>
      </c>
      <c r="CP59" s="3">
        <v>24.657131</v>
      </c>
      <c r="CQ59" s="3">
        <v>26.025949000000001</v>
      </c>
      <c r="CR59" s="3">
        <v>27.427600999999999</v>
      </c>
      <c r="CS59" s="3">
        <v>31.164512999999999</v>
      </c>
      <c r="CT59" s="3">
        <v>24.191144999999999</v>
      </c>
      <c r="CU59" s="3">
        <v>26.065083000000001</v>
      </c>
      <c r="CV59" s="3">
        <v>26.799575999999998</v>
      </c>
      <c r="CW59" s="3">
        <v>26.355453000000001</v>
      </c>
      <c r="CX59" s="3">
        <v>23.691918999999999</v>
      </c>
      <c r="CY59" s="3">
        <v>23.173255999999999</v>
      </c>
      <c r="CZ59" s="3">
        <v>26.778466999999999</v>
      </c>
      <c r="DA59" s="3">
        <v>24.886913</v>
      </c>
      <c r="DB59" s="3">
        <v>25.651703000000001</v>
      </c>
      <c r="DC59" s="3">
        <v>27.64443</v>
      </c>
      <c r="DD59" s="3">
        <v>24.947482999999998</v>
      </c>
      <c r="DE59" s="3">
        <v>28.458036</v>
      </c>
      <c r="DF59" s="3">
        <v>24.732057999999999</v>
      </c>
      <c r="DG59" s="3">
        <v>24.985914000000001</v>
      </c>
      <c r="DH59" s="3">
        <v>28.652517</v>
      </c>
      <c r="DI59" s="3"/>
      <c r="DJ59" s="3"/>
      <c r="DM59" s="3"/>
      <c r="DN59" s="3"/>
      <c r="DP59" s="3"/>
      <c r="DQ59" s="3"/>
      <c r="DR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</row>
    <row r="60" spans="2:207" x14ac:dyDescent="0.2">
      <c r="M60" s="3"/>
      <c r="N60" s="3"/>
    </row>
    <row r="62" spans="2:207" x14ac:dyDescent="0.2">
      <c r="B62" t="s">
        <v>64</v>
      </c>
      <c r="D62" s="1" t="s">
        <v>42</v>
      </c>
    </row>
    <row r="63" spans="2:207" x14ac:dyDescent="0.2">
      <c r="B63" s="2" t="s">
        <v>41</v>
      </c>
      <c r="D63" t="s">
        <v>3</v>
      </c>
      <c r="E63" t="s">
        <v>1</v>
      </c>
      <c r="F63">
        <f>COUNT(M63:GJ63)</f>
        <v>100</v>
      </c>
      <c r="G63" s="3">
        <f>AVERAGE(M63:GJ63)</f>
        <v>31.681038520000012</v>
      </c>
      <c r="H63" s="3">
        <f>MAX(M63:GJ63)</f>
        <v>36.995918000000003</v>
      </c>
      <c r="I63" s="3">
        <f>MIN(M63:GJ63)</f>
        <v>28.944057000000001</v>
      </c>
      <c r="J63" s="3">
        <f>_xlfn.STDEV.P(M63:GJ63)</f>
        <v>1.6880983206790035</v>
      </c>
      <c r="K63" s="3">
        <f>_xlfn.VAR.S(M63:GJ63)</f>
        <v>2.8784605457366377</v>
      </c>
      <c r="M63" s="3">
        <v>32.861258999999997</v>
      </c>
      <c r="N63" s="3">
        <v>29.699293000000001</v>
      </c>
      <c r="O63" s="3">
        <v>34.851906</v>
      </c>
      <c r="P63" s="3">
        <v>30.357538000000002</v>
      </c>
      <c r="Q63" s="3">
        <v>36.321357999999996</v>
      </c>
      <c r="R63" s="3">
        <v>31.122275999999999</v>
      </c>
      <c r="S63" s="3">
        <v>35.190987</v>
      </c>
      <c r="T63" s="3">
        <v>33.813384999999997</v>
      </c>
      <c r="U63" s="3">
        <v>32.162956000000001</v>
      </c>
      <c r="V63" s="3">
        <v>34.561942999999999</v>
      </c>
      <c r="W63" s="3">
        <v>31.033480000000001</v>
      </c>
      <c r="X63" s="3">
        <v>30.355447999999999</v>
      </c>
      <c r="Y63" s="3">
        <v>33.464615000000002</v>
      </c>
      <c r="Z63" s="3">
        <v>30.025037999999999</v>
      </c>
      <c r="AA63" s="3">
        <v>31.330642999999998</v>
      </c>
      <c r="AB63" s="3">
        <v>32.292278000000003</v>
      </c>
      <c r="AC63" s="3">
        <v>32.817970000000003</v>
      </c>
      <c r="AD63" s="3">
        <v>29.058116999999999</v>
      </c>
      <c r="AE63" s="3">
        <v>31.221278999999999</v>
      </c>
      <c r="AF63" s="3">
        <v>31.398631999999999</v>
      </c>
      <c r="AG63" s="3">
        <v>31.726344999999998</v>
      </c>
      <c r="AH63" s="3">
        <v>29.666376</v>
      </c>
      <c r="AI63" s="3">
        <v>31.679939000000001</v>
      </c>
      <c r="AJ63" s="3">
        <v>31.487712999999999</v>
      </c>
      <c r="AK63" s="3">
        <v>34.375340000000001</v>
      </c>
      <c r="AL63" s="3">
        <v>30.111384999999999</v>
      </c>
      <c r="AM63" s="3">
        <v>30.435587000000002</v>
      </c>
      <c r="AN63" s="3">
        <v>30.873909000000001</v>
      </c>
      <c r="AO63" s="3">
        <v>33.336390999999999</v>
      </c>
      <c r="AP63" s="3">
        <v>31.027702000000001</v>
      </c>
      <c r="AQ63" s="3">
        <v>33.486603000000002</v>
      </c>
      <c r="AR63" s="3">
        <v>31.474720000000001</v>
      </c>
      <c r="AS63" s="3">
        <v>33.152824000000003</v>
      </c>
      <c r="AT63" s="3">
        <v>36.995918000000003</v>
      </c>
      <c r="AU63" s="3">
        <v>31.190356999999999</v>
      </c>
      <c r="AV63" s="3">
        <v>30.761755000000001</v>
      </c>
      <c r="AW63" s="3">
        <v>29.900721000000001</v>
      </c>
      <c r="AX63" s="3">
        <v>34.020187</v>
      </c>
      <c r="AY63" s="3">
        <v>32.778945999999998</v>
      </c>
      <c r="AZ63" s="3">
        <v>33.770114999999997</v>
      </c>
      <c r="BA63" s="3">
        <v>30.403182999999999</v>
      </c>
      <c r="BB63" s="3">
        <v>31.786455</v>
      </c>
      <c r="BC63" s="3">
        <v>29.9664</v>
      </c>
      <c r="BD63" s="3">
        <v>30.951924999999999</v>
      </c>
      <c r="BE63" s="3">
        <v>31.350242999999999</v>
      </c>
      <c r="BF63" s="3">
        <v>28.944057000000001</v>
      </c>
      <c r="BG63" s="3">
        <v>30.928599999999999</v>
      </c>
      <c r="BH63" s="3">
        <v>34.232486999999999</v>
      </c>
      <c r="BI63" s="3">
        <v>30.729033999999999</v>
      </c>
      <c r="BJ63" s="3">
        <v>31.059839</v>
      </c>
      <c r="BK63" s="3">
        <v>32.694557000000003</v>
      </c>
      <c r="BL63" s="3">
        <v>35.407021</v>
      </c>
      <c r="BM63" s="3">
        <v>31.320779999999999</v>
      </c>
      <c r="BN63" s="3">
        <v>30.406931</v>
      </c>
      <c r="BO63" s="3">
        <v>32.442180999999998</v>
      </c>
      <c r="BP63" s="3">
        <v>32.308674000000003</v>
      </c>
      <c r="BQ63" s="3">
        <v>33.094326000000002</v>
      </c>
      <c r="BR63" s="3">
        <v>31.763594000000001</v>
      </c>
      <c r="BS63" s="3">
        <v>30.974598</v>
      </c>
      <c r="BT63" s="3">
        <v>30.021650000000001</v>
      </c>
      <c r="BU63" s="3">
        <v>31.009840000000001</v>
      </c>
      <c r="BV63" s="3">
        <v>30.153008</v>
      </c>
      <c r="BW63" s="3">
        <v>29.371310999999999</v>
      </c>
      <c r="BX63" s="3">
        <v>30.186371000000001</v>
      </c>
      <c r="BY63" s="3">
        <v>32.434688999999999</v>
      </c>
      <c r="BZ63" s="3">
        <v>30.471299999999999</v>
      </c>
      <c r="CA63" s="3">
        <v>33.848788999999996</v>
      </c>
      <c r="CB63" s="3">
        <v>34.913639000000003</v>
      </c>
      <c r="CC63" s="3">
        <v>30.738249</v>
      </c>
      <c r="CD63" s="3">
        <v>31.624932999999999</v>
      </c>
      <c r="CE63" s="3">
        <v>31.228702999999999</v>
      </c>
      <c r="CF63" s="3">
        <v>32.258235999999997</v>
      </c>
      <c r="CG63" s="3">
        <v>30.351786000000001</v>
      </c>
      <c r="CH63" s="3">
        <v>31.998767999999998</v>
      </c>
      <c r="CI63" s="3">
        <v>30.071567999999999</v>
      </c>
      <c r="CJ63" s="3">
        <v>29.930147000000002</v>
      </c>
      <c r="CK63" s="3">
        <v>34.810116000000001</v>
      </c>
      <c r="CL63" s="3">
        <v>30.622534000000002</v>
      </c>
      <c r="CM63" s="3">
        <v>30.183895</v>
      </c>
      <c r="CN63" s="3">
        <v>32.551181999999997</v>
      </c>
      <c r="CO63" s="3">
        <v>32.699406000000003</v>
      </c>
      <c r="CP63" s="3">
        <v>29.34177</v>
      </c>
      <c r="CQ63" s="3">
        <v>33.226913000000003</v>
      </c>
      <c r="CR63" s="3">
        <v>29.589908999999999</v>
      </c>
      <c r="CS63" s="3">
        <v>32.028216999999998</v>
      </c>
      <c r="CT63" s="3">
        <v>29.079360999999999</v>
      </c>
      <c r="CU63" s="3">
        <v>31.138276999999999</v>
      </c>
      <c r="CV63" s="3">
        <v>31.837164000000001</v>
      </c>
      <c r="CW63" s="3">
        <v>30.479568</v>
      </c>
      <c r="CX63" s="3">
        <v>32.267136000000001</v>
      </c>
      <c r="CY63" s="3">
        <v>31.263254</v>
      </c>
      <c r="CZ63" s="3">
        <v>33.229149</v>
      </c>
      <c r="DA63" s="3">
        <v>30.375710000000002</v>
      </c>
      <c r="DB63" s="3">
        <v>30.166096</v>
      </c>
      <c r="DC63" s="3">
        <v>29.567226000000002</v>
      </c>
      <c r="DD63" s="3">
        <v>32.243149000000003</v>
      </c>
      <c r="DE63" s="3">
        <v>31.621490000000001</v>
      </c>
      <c r="DF63" s="3">
        <v>32.445950000000003</v>
      </c>
      <c r="DG63" s="3">
        <v>30.256260000000001</v>
      </c>
      <c r="DH63" s="3">
        <v>29.509014000000001</v>
      </c>
      <c r="DI63" s="3"/>
      <c r="DJ63" s="3"/>
      <c r="DM63" s="3"/>
      <c r="DN63" s="3"/>
      <c r="DP63" s="3"/>
      <c r="DQ63" s="3"/>
      <c r="DR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</row>
    <row r="64" spans="2:207" x14ac:dyDescent="0.2">
      <c r="B64" s="2" t="s">
        <v>17</v>
      </c>
      <c r="G64" s="3"/>
      <c r="H64" s="3"/>
      <c r="I64" s="3"/>
      <c r="J64" s="3"/>
      <c r="K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M64" s="3"/>
      <c r="DN64" s="3"/>
      <c r="DP64" s="3"/>
      <c r="DQ64" s="3"/>
      <c r="DR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</row>
    <row r="65" spans="2:207" x14ac:dyDescent="0.2">
      <c r="B65" s="2" t="s">
        <v>18</v>
      </c>
      <c r="D65" t="s">
        <v>4</v>
      </c>
      <c r="E65" t="s">
        <v>1</v>
      </c>
      <c r="F65">
        <f>COUNT(M65:GJ65)</f>
        <v>100</v>
      </c>
      <c r="G65" s="3">
        <f>AVERAGE(M65:GJ65)</f>
        <v>35.439156530000012</v>
      </c>
      <c r="H65" s="3">
        <f>MAX(M65:GJ65)</f>
        <v>44.944777999999999</v>
      </c>
      <c r="I65" s="3">
        <f>MIN(M65:GJ65)</f>
        <v>27.245706999999999</v>
      </c>
      <c r="J65" s="3">
        <f>_xlfn.STDEV.P(M65:GJ65)</f>
        <v>3.4559228399247996</v>
      </c>
      <c r="K65" s="3">
        <f>_xlfn.VAR.S(M65:GJ65)</f>
        <v>12.064043106579689</v>
      </c>
      <c r="M65" s="3">
        <v>33.723087</v>
      </c>
      <c r="N65" s="3">
        <v>33.940502000000002</v>
      </c>
      <c r="O65" s="3">
        <v>35.419834000000002</v>
      </c>
      <c r="P65" s="3">
        <v>40.874488999999997</v>
      </c>
      <c r="Q65" s="3">
        <v>39.533501000000001</v>
      </c>
      <c r="R65" s="3">
        <v>38.525089000000001</v>
      </c>
      <c r="S65" s="3">
        <v>36.738377</v>
      </c>
      <c r="T65" s="3">
        <v>43.365406</v>
      </c>
      <c r="U65" s="3">
        <v>35.244247000000001</v>
      </c>
      <c r="V65" s="3">
        <v>32.137363000000001</v>
      </c>
      <c r="W65" s="3">
        <v>35.960971999999998</v>
      </c>
      <c r="X65" s="3">
        <v>44.944777999999999</v>
      </c>
      <c r="Y65" s="3">
        <v>33.260292</v>
      </c>
      <c r="Z65" s="3">
        <v>29.786058000000001</v>
      </c>
      <c r="AA65" s="3">
        <v>37.570438000000003</v>
      </c>
      <c r="AB65" s="3">
        <v>34.539363999999999</v>
      </c>
      <c r="AC65" s="3">
        <v>32.691921000000001</v>
      </c>
      <c r="AD65" s="3">
        <v>37.360087999999998</v>
      </c>
      <c r="AE65" s="3">
        <v>39.319439000000003</v>
      </c>
      <c r="AF65" s="3">
        <v>33.891365</v>
      </c>
      <c r="AG65" s="3">
        <v>35.168976000000001</v>
      </c>
      <c r="AH65" s="3">
        <v>38.404868999999998</v>
      </c>
      <c r="AI65" s="3">
        <v>43.332863000000003</v>
      </c>
      <c r="AJ65" s="3">
        <v>34.315539999999999</v>
      </c>
      <c r="AK65" s="3">
        <v>39.82452</v>
      </c>
      <c r="AL65" s="3">
        <v>34.379455999999998</v>
      </c>
      <c r="AM65" s="3">
        <v>35.823264999999999</v>
      </c>
      <c r="AN65" s="3">
        <v>35.889744</v>
      </c>
      <c r="AO65" s="3">
        <v>37.587111999999998</v>
      </c>
      <c r="AP65" s="3">
        <v>34.289695999999999</v>
      </c>
      <c r="AQ65" s="3">
        <v>34.249747999999997</v>
      </c>
      <c r="AR65" s="3">
        <v>34.120547999999999</v>
      </c>
      <c r="AS65" s="3">
        <v>40.190886999999996</v>
      </c>
      <c r="AT65" s="3">
        <v>36.608704000000003</v>
      </c>
      <c r="AU65" s="3">
        <v>32.118008000000003</v>
      </c>
      <c r="AV65" s="3">
        <v>33.706654</v>
      </c>
      <c r="AW65" s="3">
        <v>36.573295999999999</v>
      </c>
      <c r="AX65" s="3">
        <v>32.580401999999999</v>
      </c>
      <c r="AY65" s="3">
        <v>34.755828999999999</v>
      </c>
      <c r="AZ65" s="3">
        <v>41.376255</v>
      </c>
      <c r="BA65" s="3">
        <v>35.038150999999999</v>
      </c>
      <c r="BB65" s="3">
        <v>32.453586999999999</v>
      </c>
      <c r="BC65" s="3">
        <v>36.776299000000002</v>
      </c>
      <c r="BD65" s="3">
        <v>32.248748999999997</v>
      </c>
      <c r="BE65" s="3">
        <v>31.636709</v>
      </c>
      <c r="BF65" s="3">
        <v>32.486916000000001</v>
      </c>
      <c r="BG65" s="3">
        <v>36.396670999999998</v>
      </c>
      <c r="BH65" s="3">
        <v>34.504649999999998</v>
      </c>
      <c r="BI65" s="3">
        <v>31.959257000000001</v>
      </c>
      <c r="BJ65" s="3">
        <v>34.609580999999999</v>
      </c>
      <c r="BK65" s="3">
        <v>37.027985000000001</v>
      </c>
      <c r="BL65" s="3">
        <v>33.104346999999997</v>
      </c>
      <c r="BM65" s="3">
        <v>36.639336</v>
      </c>
      <c r="BN65" s="3">
        <v>30.743988000000002</v>
      </c>
      <c r="BO65" s="3">
        <v>43.524276999999998</v>
      </c>
      <c r="BP65" s="3">
        <v>41.017516999999998</v>
      </c>
      <c r="BQ65" s="3">
        <v>37.245541000000003</v>
      </c>
      <c r="BR65" s="3">
        <v>37.433070999999998</v>
      </c>
      <c r="BS65" s="3">
        <v>32.174706</v>
      </c>
      <c r="BT65" s="3">
        <v>35.384444999999999</v>
      </c>
      <c r="BU65" s="3">
        <v>39.696533000000002</v>
      </c>
      <c r="BV65" s="3">
        <v>29.759504</v>
      </c>
      <c r="BW65" s="3">
        <v>38.559345</v>
      </c>
      <c r="BX65" s="3">
        <v>33.974831000000002</v>
      </c>
      <c r="BY65" s="3">
        <v>36.029716000000001</v>
      </c>
      <c r="BZ65" s="3">
        <v>41.024075000000003</v>
      </c>
      <c r="CA65" s="3">
        <v>36.652611</v>
      </c>
      <c r="CB65" s="3">
        <v>40.100490999999998</v>
      </c>
      <c r="CC65" s="3">
        <v>37.874305999999997</v>
      </c>
      <c r="CD65" s="3">
        <v>31.796942000000001</v>
      </c>
      <c r="CE65" s="3">
        <v>29.472576</v>
      </c>
      <c r="CF65" s="3">
        <v>31.859808000000001</v>
      </c>
      <c r="CG65" s="3">
        <v>32.196049000000002</v>
      </c>
      <c r="CH65" s="3">
        <v>29.478646999999999</v>
      </c>
      <c r="CI65" s="3">
        <v>40.573256999999998</v>
      </c>
      <c r="CJ65" s="3">
        <v>35.422089</v>
      </c>
      <c r="CK65" s="3">
        <v>32.394435999999999</v>
      </c>
      <c r="CL65" s="3">
        <v>37.253661999999998</v>
      </c>
      <c r="CM65" s="3">
        <v>34.225760999999999</v>
      </c>
      <c r="CN65" s="3">
        <v>33.474818999999997</v>
      </c>
      <c r="CO65" s="3">
        <v>35.327517999999998</v>
      </c>
      <c r="CP65" s="3">
        <v>38.595131000000002</v>
      </c>
      <c r="CQ65" s="3">
        <v>38.294884000000003</v>
      </c>
      <c r="CR65" s="3">
        <v>28.819272999999999</v>
      </c>
      <c r="CS65" s="3">
        <v>30.832643999999998</v>
      </c>
      <c r="CT65" s="3">
        <v>32.068615000000001</v>
      </c>
      <c r="CU65" s="3">
        <v>35.761932000000002</v>
      </c>
      <c r="CV65" s="3">
        <v>35.135905999999999</v>
      </c>
      <c r="CW65" s="3">
        <v>31.761351000000001</v>
      </c>
      <c r="CX65" s="3">
        <v>36.810631000000001</v>
      </c>
      <c r="CY65" s="3">
        <v>36.052162000000003</v>
      </c>
      <c r="CZ65" s="3">
        <v>36.207619000000001</v>
      </c>
      <c r="DA65" s="3">
        <v>35.822678000000003</v>
      </c>
      <c r="DB65" s="3">
        <v>35.072178000000001</v>
      </c>
      <c r="DC65" s="3">
        <v>30.789767999999999</v>
      </c>
      <c r="DD65" s="3">
        <v>27.245706999999999</v>
      </c>
      <c r="DE65" s="3">
        <v>37.926349999999999</v>
      </c>
      <c r="DF65" s="3">
        <v>31.179817</v>
      </c>
      <c r="DG65" s="3">
        <v>34.115378999999997</v>
      </c>
      <c r="DH65" s="3">
        <v>37.747886999999999</v>
      </c>
      <c r="DI65" s="3"/>
      <c r="DJ65" s="3"/>
      <c r="DM65" s="3"/>
      <c r="DN65" s="3"/>
      <c r="DP65" s="3"/>
      <c r="DQ65" s="3"/>
      <c r="DR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</row>
    <row r="66" spans="2:207" x14ac:dyDescent="0.2">
      <c r="G66" s="3"/>
      <c r="H66" s="3"/>
      <c r="I66" s="3"/>
      <c r="J66" s="3"/>
      <c r="K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M66" s="3"/>
      <c r="DN66" s="3"/>
      <c r="DP66" s="3"/>
      <c r="DQ66" s="3"/>
      <c r="DR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</row>
    <row r="67" spans="2:207" x14ac:dyDescent="0.2">
      <c r="D67" t="s">
        <v>2</v>
      </c>
      <c r="E67" t="s">
        <v>1</v>
      </c>
      <c r="F67">
        <f>COUNT(M67:GJ67)</f>
        <v>100</v>
      </c>
      <c r="G67" s="3">
        <f>AVERAGE(M67:GJ67)</f>
        <v>39.066579630000007</v>
      </c>
      <c r="H67" s="3">
        <f>MAX(M67:GJ67)</f>
        <v>43.106777000000001</v>
      </c>
      <c r="I67" s="3">
        <f>MIN(M67:GJ67)</f>
        <v>34.377578999999997</v>
      </c>
      <c r="J67" s="3">
        <f>_xlfn.STDEV.P(M67:GJ67)</f>
        <v>1.6918616475001416</v>
      </c>
      <c r="K67" s="3">
        <f>_xlfn.VAR.S(M67:GJ67)</f>
        <v>2.8913089235170641</v>
      </c>
      <c r="M67" s="3">
        <v>39.033462999999998</v>
      </c>
      <c r="N67" s="3">
        <v>39.416190999999998</v>
      </c>
      <c r="O67" s="3">
        <v>39.619877000000002</v>
      </c>
      <c r="P67" s="3">
        <v>43.106777000000001</v>
      </c>
      <c r="Q67" s="3">
        <v>40.036045000000001</v>
      </c>
      <c r="R67" s="3">
        <v>40.316856000000001</v>
      </c>
      <c r="S67" s="3">
        <v>40.103706000000003</v>
      </c>
      <c r="T67" s="3">
        <v>38.835732</v>
      </c>
      <c r="U67" s="3">
        <v>40.506152999999998</v>
      </c>
      <c r="V67" s="3">
        <v>38.770302000000001</v>
      </c>
      <c r="W67" s="3">
        <v>38.801864999999999</v>
      </c>
      <c r="X67" s="3">
        <v>41.272368999999998</v>
      </c>
      <c r="Y67" s="3">
        <v>38.007491999999999</v>
      </c>
      <c r="Z67" s="3">
        <v>39.804825000000001</v>
      </c>
      <c r="AA67" s="3">
        <v>41.195374000000001</v>
      </c>
      <c r="AB67" s="3">
        <v>41.286757999999999</v>
      </c>
      <c r="AC67" s="3">
        <v>41.098820000000003</v>
      </c>
      <c r="AD67" s="3">
        <v>40.483302999999999</v>
      </c>
      <c r="AE67" s="3">
        <v>39.223258999999999</v>
      </c>
      <c r="AF67" s="3">
        <v>39.007998999999998</v>
      </c>
      <c r="AG67" s="3">
        <v>37.911098000000003</v>
      </c>
      <c r="AH67" s="3">
        <v>38.703873000000002</v>
      </c>
      <c r="AI67" s="3">
        <v>38.389068999999999</v>
      </c>
      <c r="AJ67" s="3">
        <v>41.941467000000003</v>
      </c>
      <c r="AK67" s="3">
        <v>39.456940000000003</v>
      </c>
      <c r="AL67" s="3">
        <v>40.401428000000003</v>
      </c>
      <c r="AM67" s="3">
        <v>39.692081000000002</v>
      </c>
      <c r="AN67" s="3">
        <v>40.653046000000003</v>
      </c>
      <c r="AO67" s="3">
        <v>41.228766999999998</v>
      </c>
      <c r="AP67" s="3">
        <v>40.714592000000003</v>
      </c>
      <c r="AQ67" s="3">
        <v>35.457332999999998</v>
      </c>
      <c r="AR67" s="3">
        <v>39.041820999999999</v>
      </c>
      <c r="AS67" s="3">
        <v>39.231887999999998</v>
      </c>
      <c r="AT67" s="3">
        <v>40.049689999999998</v>
      </c>
      <c r="AU67" s="3">
        <v>37.766224000000001</v>
      </c>
      <c r="AV67" s="3">
        <v>37.633808000000002</v>
      </c>
      <c r="AW67" s="3">
        <v>38.171551000000001</v>
      </c>
      <c r="AX67" s="3">
        <v>37.990257</v>
      </c>
      <c r="AY67" s="3">
        <v>37.417628999999998</v>
      </c>
      <c r="AZ67" s="3">
        <v>38.256413000000002</v>
      </c>
      <c r="BA67" s="3">
        <v>38.387000999999998</v>
      </c>
      <c r="BB67" s="3">
        <v>39.963264000000002</v>
      </c>
      <c r="BC67" s="3">
        <v>38.270077000000001</v>
      </c>
      <c r="BD67" s="3">
        <v>41.037598000000003</v>
      </c>
      <c r="BE67" s="3">
        <v>40.548530999999997</v>
      </c>
      <c r="BF67" s="3">
        <v>39.035530000000001</v>
      </c>
      <c r="BG67" s="3">
        <v>39.988002999999999</v>
      </c>
      <c r="BH67" s="3">
        <v>39.801479</v>
      </c>
      <c r="BI67" s="3">
        <v>39.723309</v>
      </c>
      <c r="BJ67" s="3">
        <v>40.512737000000001</v>
      </c>
      <c r="BK67" s="3">
        <v>36.876575000000003</v>
      </c>
      <c r="BL67" s="3">
        <v>39.845753000000002</v>
      </c>
      <c r="BM67" s="3">
        <v>36.638278999999997</v>
      </c>
      <c r="BN67" s="3">
        <v>37.544575000000002</v>
      </c>
      <c r="BO67" s="3">
        <v>38.992854999999999</v>
      </c>
      <c r="BP67" s="3">
        <v>38.422038999999998</v>
      </c>
      <c r="BQ67" s="3">
        <v>36.796790999999999</v>
      </c>
      <c r="BR67" s="3">
        <v>38.709964999999997</v>
      </c>
      <c r="BS67" s="3">
        <v>40.058734999999999</v>
      </c>
      <c r="BT67" s="3">
        <v>37.794803999999999</v>
      </c>
      <c r="BU67" s="3">
        <v>37.776004999999998</v>
      </c>
      <c r="BV67" s="3">
        <v>42.652842999999997</v>
      </c>
      <c r="BW67" s="3">
        <v>41.485129999999998</v>
      </c>
      <c r="BX67" s="3">
        <v>40.902023</v>
      </c>
      <c r="BY67" s="3">
        <v>38.012847999999998</v>
      </c>
      <c r="BZ67" s="3">
        <v>40.821914999999997</v>
      </c>
      <c r="CA67" s="3">
        <v>40.871510000000001</v>
      </c>
      <c r="CB67" s="3">
        <v>39.673748000000003</v>
      </c>
      <c r="CC67" s="3">
        <v>39.387970000000003</v>
      </c>
      <c r="CD67" s="3">
        <v>38.573307</v>
      </c>
      <c r="CE67" s="3">
        <v>36.021636999999998</v>
      </c>
      <c r="CF67" s="3">
        <v>38.248992999999999</v>
      </c>
      <c r="CG67" s="3">
        <v>39.013474000000002</v>
      </c>
      <c r="CH67" s="3">
        <v>37.255519999999997</v>
      </c>
      <c r="CI67" s="3">
        <v>36.406387000000002</v>
      </c>
      <c r="CJ67" s="3">
        <v>38.609341000000001</v>
      </c>
      <c r="CK67" s="3">
        <v>37.533946999999998</v>
      </c>
      <c r="CL67" s="3">
        <v>36.161113999999998</v>
      </c>
      <c r="CM67" s="3">
        <v>36.996651</v>
      </c>
      <c r="CN67" s="3">
        <v>35.191025000000003</v>
      </c>
      <c r="CO67" s="3">
        <v>34.377578999999997</v>
      </c>
      <c r="CP67" s="3">
        <v>39.446486999999998</v>
      </c>
      <c r="CQ67" s="3">
        <v>39.166522999999998</v>
      </c>
      <c r="CR67" s="3">
        <v>38.001038000000001</v>
      </c>
      <c r="CS67" s="3">
        <v>35.333218000000002</v>
      </c>
      <c r="CT67" s="3">
        <v>37.845374999999997</v>
      </c>
      <c r="CU67" s="3">
        <v>38.230891999999997</v>
      </c>
      <c r="CV67" s="3">
        <v>39.309406000000003</v>
      </c>
      <c r="CW67" s="3">
        <v>38.359603999999997</v>
      </c>
      <c r="CX67" s="3">
        <v>34.996181</v>
      </c>
      <c r="CY67" s="3">
        <v>40.212981999999997</v>
      </c>
      <c r="CZ67" s="3">
        <v>39.216197999999999</v>
      </c>
      <c r="DA67" s="3">
        <v>39.13279</v>
      </c>
      <c r="DB67" s="3">
        <v>41.428570000000001</v>
      </c>
      <c r="DC67" s="3">
        <v>39.112552999999998</v>
      </c>
      <c r="DD67" s="3">
        <v>40.646625999999998</v>
      </c>
      <c r="DE67" s="3">
        <v>41.229809000000003</v>
      </c>
      <c r="DF67" s="3">
        <v>42.062252000000001</v>
      </c>
      <c r="DG67" s="3">
        <v>38.998508000000001</v>
      </c>
      <c r="DH67" s="3">
        <v>38.971943000000003</v>
      </c>
      <c r="DI67" s="3"/>
      <c r="DJ67" s="3"/>
      <c r="DM67" s="3"/>
      <c r="DN67" s="3"/>
      <c r="DP67" s="3"/>
      <c r="DQ67" s="3"/>
      <c r="DR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</row>
    <row r="68" spans="2:207" x14ac:dyDescent="0.2">
      <c r="G68" s="3"/>
      <c r="H68" s="3"/>
      <c r="I68" s="3"/>
      <c r="J68" s="3"/>
      <c r="K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M68" s="3"/>
      <c r="DN68" s="3"/>
      <c r="DP68" s="3"/>
      <c r="DQ68" s="3"/>
      <c r="DR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</row>
    <row r="69" spans="2:207" x14ac:dyDescent="0.2">
      <c r="D69" t="s">
        <v>5</v>
      </c>
      <c r="E69" t="s">
        <v>1</v>
      </c>
      <c r="F69">
        <f>COUNT(M69:GJ69)</f>
        <v>100</v>
      </c>
      <c r="G69" s="3">
        <f>AVERAGE(M69:GJ69)</f>
        <v>27.961777730000009</v>
      </c>
      <c r="H69" s="3">
        <f>MAX(M69:GJ69)</f>
        <v>34.195751000000001</v>
      </c>
      <c r="I69" s="3">
        <f>MIN(M69:GJ69)</f>
        <v>22.998127</v>
      </c>
      <c r="J69" s="3">
        <f>_xlfn.STDEV.P(M69:GJ69)</f>
        <v>1.7329271269522781</v>
      </c>
      <c r="K69" s="3">
        <f>_xlfn.VAR.S(M69:GJ69)</f>
        <v>3.0333701286132091</v>
      </c>
      <c r="M69" s="3">
        <v>31.107116999999999</v>
      </c>
      <c r="N69" s="3">
        <v>27.650162000000002</v>
      </c>
      <c r="O69" s="3">
        <v>29.419326999999999</v>
      </c>
      <c r="P69" s="3">
        <v>30.500281999999999</v>
      </c>
      <c r="Q69" s="3">
        <v>27.080559000000001</v>
      </c>
      <c r="R69" s="3">
        <v>24.889572000000001</v>
      </c>
      <c r="S69" s="3">
        <v>29.834962999999998</v>
      </c>
      <c r="T69" s="3">
        <v>27.038591</v>
      </c>
      <c r="U69" s="3">
        <v>26.294256000000001</v>
      </c>
      <c r="V69" s="3">
        <v>28.853832000000001</v>
      </c>
      <c r="W69" s="3">
        <v>31.785267000000001</v>
      </c>
      <c r="X69" s="3">
        <v>27.818645</v>
      </c>
      <c r="Y69" s="3">
        <v>27.678652</v>
      </c>
      <c r="Z69" s="3">
        <v>28.690929000000001</v>
      </c>
      <c r="AA69" s="3">
        <v>28.978926000000001</v>
      </c>
      <c r="AB69" s="3">
        <v>26.833248000000001</v>
      </c>
      <c r="AC69" s="3">
        <v>26.236910000000002</v>
      </c>
      <c r="AD69" s="3">
        <v>27.016188</v>
      </c>
      <c r="AE69" s="3">
        <v>26.525354</v>
      </c>
      <c r="AF69" s="3">
        <v>28.030729000000001</v>
      </c>
      <c r="AG69" s="3">
        <v>28.855972000000001</v>
      </c>
      <c r="AH69" s="3">
        <v>27.926617</v>
      </c>
      <c r="AI69" s="3">
        <v>28.223676999999999</v>
      </c>
      <c r="AJ69" s="3">
        <v>28.775894000000001</v>
      </c>
      <c r="AK69" s="3">
        <v>29.106090999999999</v>
      </c>
      <c r="AL69" s="3">
        <v>28.033453000000002</v>
      </c>
      <c r="AM69" s="3">
        <v>29.734016</v>
      </c>
      <c r="AN69" s="3">
        <v>26.288387</v>
      </c>
      <c r="AO69" s="3">
        <v>26.53595</v>
      </c>
      <c r="AP69" s="3">
        <v>27.159459999999999</v>
      </c>
      <c r="AQ69" s="3">
        <v>27.138317000000001</v>
      </c>
      <c r="AR69" s="3">
        <v>26.823753</v>
      </c>
      <c r="AS69" s="3">
        <v>26.928263000000001</v>
      </c>
      <c r="AT69" s="3">
        <v>28.089464</v>
      </c>
      <c r="AU69" s="3">
        <v>28.738153000000001</v>
      </c>
      <c r="AV69" s="3">
        <v>22.998127</v>
      </c>
      <c r="AW69" s="3">
        <v>29.700752000000001</v>
      </c>
      <c r="AX69" s="3">
        <v>29.170618000000001</v>
      </c>
      <c r="AY69" s="3">
        <v>27.903836999999999</v>
      </c>
      <c r="AZ69" s="3">
        <v>27.998557999999999</v>
      </c>
      <c r="BA69" s="3">
        <v>28.507767000000001</v>
      </c>
      <c r="BB69" s="3">
        <v>28.894444</v>
      </c>
      <c r="BC69" s="3">
        <v>25.647907</v>
      </c>
      <c r="BD69" s="3">
        <v>29.118237000000001</v>
      </c>
      <c r="BE69" s="3">
        <v>27.772427</v>
      </c>
      <c r="BF69" s="3">
        <v>26.110216000000001</v>
      </c>
      <c r="BG69" s="3">
        <v>26.992317</v>
      </c>
      <c r="BH69" s="3">
        <v>29.366291</v>
      </c>
      <c r="BI69" s="3">
        <v>28.327271</v>
      </c>
      <c r="BJ69" s="3">
        <v>28.595282000000001</v>
      </c>
      <c r="BK69" s="3">
        <v>27.436073</v>
      </c>
      <c r="BL69" s="3">
        <v>28.168398</v>
      </c>
      <c r="BM69" s="3">
        <v>25.502893</v>
      </c>
      <c r="BN69" s="3">
        <v>28.072144000000002</v>
      </c>
      <c r="BO69" s="3">
        <v>29.024170000000002</v>
      </c>
      <c r="BP69" s="3">
        <v>29.294651000000002</v>
      </c>
      <c r="BQ69" s="3">
        <v>28.624051999999999</v>
      </c>
      <c r="BR69" s="3">
        <v>32.204109000000003</v>
      </c>
      <c r="BS69" s="3">
        <v>28.986101000000001</v>
      </c>
      <c r="BT69" s="3">
        <v>26.864943</v>
      </c>
      <c r="BU69" s="3">
        <v>26.917674999999999</v>
      </c>
      <c r="BV69" s="3">
        <v>28.377174</v>
      </c>
      <c r="BW69" s="3">
        <v>27.725109</v>
      </c>
      <c r="BX69" s="3">
        <v>25.977522</v>
      </c>
      <c r="BY69" s="3">
        <v>28.781787999999999</v>
      </c>
      <c r="BZ69" s="3">
        <v>26.783348</v>
      </c>
      <c r="CA69" s="3">
        <v>27.647656999999999</v>
      </c>
      <c r="CB69" s="3">
        <v>30.193311999999999</v>
      </c>
      <c r="CC69" s="3">
        <v>27.818287000000002</v>
      </c>
      <c r="CD69" s="3">
        <v>30.008044999999999</v>
      </c>
      <c r="CE69" s="3">
        <v>28.463958999999999</v>
      </c>
      <c r="CF69" s="3">
        <v>25.866827000000001</v>
      </c>
      <c r="CG69" s="3">
        <v>24.477499000000002</v>
      </c>
      <c r="CH69" s="3">
        <v>27.258262999999999</v>
      </c>
      <c r="CI69" s="3">
        <v>28.918061999999999</v>
      </c>
      <c r="CJ69" s="3">
        <v>23.970295</v>
      </c>
      <c r="CK69" s="3">
        <v>34.195751000000001</v>
      </c>
      <c r="CL69" s="3">
        <v>28.693847999999999</v>
      </c>
      <c r="CM69" s="3">
        <v>28.729413999999998</v>
      </c>
      <c r="CN69" s="3">
        <v>27.813005</v>
      </c>
      <c r="CO69" s="3">
        <v>27.263254</v>
      </c>
      <c r="CP69" s="3">
        <v>25.387287000000001</v>
      </c>
      <c r="CQ69" s="3">
        <v>27.602671000000001</v>
      </c>
      <c r="CR69" s="3">
        <v>25.74371</v>
      </c>
      <c r="CS69" s="3">
        <v>29.947422</v>
      </c>
      <c r="CT69" s="3">
        <v>26.525206000000001</v>
      </c>
      <c r="CU69" s="3">
        <v>30.396401999999998</v>
      </c>
      <c r="CV69" s="3">
        <v>29.927990000000001</v>
      </c>
      <c r="CW69" s="3">
        <v>26.994365999999999</v>
      </c>
      <c r="CX69" s="3">
        <v>26.761693999999999</v>
      </c>
      <c r="CY69" s="3">
        <v>26.830023000000001</v>
      </c>
      <c r="CZ69" s="3">
        <v>26.431501000000001</v>
      </c>
      <c r="DA69" s="3">
        <v>27.135614</v>
      </c>
      <c r="DB69" s="3">
        <v>29.314232000000001</v>
      </c>
      <c r="DC69" s="3">
        <v>32.285041999999997</v>
      </c>
      <c r="DD69" s="3">
        <v>28.252136</v>
      </c>
      <c r="DE69" s="3">
        <v>27.254942</v>
      </c>
      <c r="DF69" s="3">
        <v>27.348883000000001</v>
      </c>
      <c r="DG69" s="3">
        <v>28.321680000000001</v>
      </c>
      <c r="DH69" s="3">
        <v>25.934317</v>
      </c>
      <c r="DI69" s="3"/>
      <c r="DJ69" s="3"/>
      <c r="DM69" s="3"/>
      <c r="DN69" s="3"/>
      <c r="DP69" s="3"/>
      <c r="DQ69" s="3"/>
      <c r="DR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</row>
    <row r="70" spans="2:207" x14ac:dyDescent="0.2">
      <c r="G70" s="3"/>
      <c r="H70" s="3"/>
      <c r="I70" s="3"/>
      <c r="J70" s="3"/>
      <c r="K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M70" s="3"/>
      <c r="DN70" s="3"/>
      <c r="DP70" s="3"/>
      <c r="DQ70" s="3"/>
      <c r="DR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</row>
    <row r="71" spans="2:207" x14ac:dyDescent="0.2">
      <c r="D71" t="s">
        <v>6</v>
      </c>
      <c r="E71" t="s">
        <v>1</v>
      </c>
      <c r="F71">
        <f>COUNT(M71:GJ71)</f>
        <v>100</v>
      </c>
      <c r="G71" s="3">
        <f>AVERAGE(M71:GJ71)</f>
        <v>28.261406830000002</v>
      </c>
      <c r="H71" s="3">
        <f>MAX(M71:GJ71)</f>
        <v>34.439697000000002</v>
      </c>
      <c r="I71" s="3">
        <f>MIN(M71:GJ71)</f>
        <v>22.801268</v>
      </c>
      <c r="J71" s="3">
        <f>_xlfn.STDEV.P(M71:GJ71)</f>
        <v>2.3538277297137706</v>
      </c>
      <c r="K71" s="3">
        <f>_xlfn.VAR.S(M71:GJ71)</f>
        <v>5.5964696779489733</v>
      </c>
      <c r="M71" s="3">
        <v>27.237732000000001</v>
      </c>
      <c r="N71" s="3">
        <v>29.642216000000001</v>
      </c>
      <c r="O71" s="3">
        <v>31.486087999999999</v>
      </c>
      <c r="P71" s="3">
        <v>26.381744000000001</v>
      </c>
      <c r="Q71" s="3">
        <v>30.449179000000001</v>
      </c>
      <c r="R71" s="3">
        <v>32.244281999999998</v>
      </c>
      <c r="S71" s="3">
        <v>28.323839</v>
      </c>
      <c r="T71" s="3">
        <v>30.413796999999999</v>
      </c>
      <c r="U71" s="3">
        <v>24.046102999999999</v>
      </c>
      <c r="V71" s="3">
        <v>27.744432</v>
      </c>
      <c r="W71" s="3">
        <v>31.000515</v>
      </c>
      <c r="X71" s="3">
        <v>28.716393</v>
      </c>
      <c r="Y71" s="3">
        <v>30.597137</v>
      </c>
      <c r="Z71" s="3">
        <v>28.091801</v>
      </c>
      <c r="AA71" s="3">
        <v>25.728612999999999</v>
      </c>
      <c r="AB71" s="3">
        <v>25.776530999999999</v>
      </c>
      <c r="AC71" s="3">
        <v>27.716808</v>
      </c>
      <c r="AD71" s="3">
        <v>28.075932999999999</v>
      </c>
      <c r="AE71" s="3">
        <v>23.549410000000002</v>
      </c>
      <c r="AF71" s="3">
        <v>28.179314000000002</v>
      </c>
      <c r="AG71" s="3">
        <v>25.393177000000001</v>
      </c>
      <c r="AH71" s="3">
        <v>27.629125999999999</v>
      </c>
      <c r="AI71" s="3">
        <v>29.923397000000001</v>
      </c>
      <c r="AJ71" s="3">
        <v>31.160178999999999</v>
      </c>
      <c r="AK71" s="3">
        <v>29.630362000000002</v>
      </c>
      <c r="AL71" s="3">
        <v>32.219250000000002</v>
      </c>
      <c r="AM71" s="3">
        <v>30.705373999999999</v>
      </c>
      <c r="AN71" s="3">
        <v>33.263275</v>
      </c>
      <c r="AO71" s="3">
        <v>25.328880000000002</v>
      </c>
      <c r="AP71" s="3">
        <v>26.992785999999999</v>
      </c>
      <c r="AQ71" s="3">
        <v>29.083435000000001</v>
      </c>
      <c r="AR71" s="3">
        <v>27.600688999999999</v>
      </c>
      <c r="AS71" s="3">
        <v>27.058357000000001</v>
      </c>
      <c r="AT71" s="3">
        <v>27.022532999999999</v>
      </c>
      <c r="AU71" s="3">
        <v>30.824223</v>
      </c>
      <c r="AV71" s="3">
        <v>28.034803</v>
      </c>
      <c r="AW71" s="3">
        <v>26.558388000000001</v>
      </c>
      <c r="AX71" s="3">
        <v>27.382073999999999</v>
      </c>
      <c r="AY71" s="3">
        <v>28.159109000000001</v>
      </c>
      <c r="AZ71" s="3">
        <v>26.516151000000001</v>
      </c>
      <c r="BA71" s="3">
        <v>30.900048999999999</v>
      </c>
      <c r="BB71" s="3">
        <v>32.130370999999997</v>
      </c>
      <c r="BC71" s="3">
        <v>26.539207000000001</v>
      </c>
      <c r="BD71" s="3">
        <v>26.445387</v>
      </c>
      <c r="BE71" s="3">
        <v>26.642703999999998</v>
      </c>
      <c r="BF71" s="3">
        <v>28.656609</v>
      </c>
      <c r="BG71" s="3">
        <v>30.177586000000002</v>
      </c>
      <c r="BH71" s="3">
        <v>25.778649999999999</v>
      </c>
      <c r="BI71" s="3">
        <v>28.726483999999999</v>
      </c>
      <c r="BJ71" s="3">
        <v>30.489004000000001</v>
      </c>
      <c r="BK71" s="3">
        <v>29.987065999999999</v>
      </c>
      <c r="BL71" s="3">
        <v>28.934937000000001</v>
      </c>
      <c r="BM71" s="3">
        <v>28.368397000000002</v>
      </c>
      <c r="BN71" s="3">
        <v>26.824673000000001</v>
      </c>
      <c r="BO71" s="3">
        <v>32.923625999999999</v>
      </c>
      <c r="BP71" s="3">
        <v>23.144006999999998</v>
      </c>
      <c r="BQ71" s="3">
        <v>30.688189000000001</v>
      </c>
      <c r="BR71" s="3">
        <v>25.850052000000002</v>
      </c>
      <c r="BS71" s="3">
        <v>26.511288</v>
      </c>
      <c r="BT71" s="3">
        <v>23.316965</v>
      </c>
      <c r="BU71" s="3">
        <v>26.696795999999999</v>
      </c>
      <c r="BV71" s="3">
        <v>27.191593000000001</v>
      </c>
      <c r="BW71" s="3">
        <v>28.135283000000001</v>
      </c>
      <c r="BX71" s="3">
        <v>25.227626999999998</v>
      </c>
      <c r="BY71" s="3">
        <v>30.064259</v>
      </c>
      <c r="BZ71" s="3">
        <v>31.584022999999998</v>
      </c>
      <c r="CA71" s="3">
        <v>27.478127000000001</v>
      </c>
      <c r="CB71" s="3">
        <v>27.815521</v>
      </c>
      <c r="CC71" s="3">
        <v>22.801268</v>
      </c>
      <c r="CD71" s="3">
        <v>34.439697000000002</v>
      </c>
      <c r="CE71" s="3">
        <v>29.551138000000002</v>
      </c>
      <c r="CF71" s="3">
        <v>29.917738</v>
      </c>
      <c r="CG71" s="3">
        <v>26.017447000000001</v>
      </c>
      <c r="CH71" s="3">
        <v>28.093426000000001</v>
      </c>
      <c r="CI71" s="3">
        <v>27.174209999999999</v>
      </c>
      <c r="CJ71" s="3">
        <v>27.745049999999999</v>
      </c>
      <c r="CK71" s="3">
        <v>29.900351000000001</v>
      </c>
      <c r="CL71" s="3">
        <v>26.580743999999999</v>
      </c>
      <c r="CM71" s="3">
        <v>26.228594000000001</v>
      </c>
      <c r="CN71" s="3">
        <v>31.955698000000002</v>
      </c>
      <c r="CO71" s="3">
        <v>27.254866</v>
      </c>
      <c r="CP71" s="3">
        <v>26.847313</v>
      </c>
      <c r="CQ71" s="3">
        <v>25.680637000000001</v>
      </c>
      <c r="CR71" s="3">
        <v>29.786373000000001</v>
      </c>
      <c r="CS71" s="3">
        <v>25.055885</v>
      </c>
      <c r="CT71" s="3">
        <v>27.549282000000002</v>
      </c>
      <c r="CU71" s="3">
        <v>32.651164999999999</v>
      </c>
      <c r="CV71" s="3">
        <v>28.360427999999999</v>
      </c>
      <c r="CW71" s="3">
        <v>26.052530000000001</v>
      </c>
      <c r="CX71" s="3">
        <v>27.321204999999999</v>
      </c>
      <c r="CY71" s="3">
        <v>29.466536000000001</v>
      </c>
      <c r="CZ71" s="3">
        <v>27.566189000000001</v>
      </c>
      <c r="DA71" s="3">
        <v>30.904291000000001</v>
      </c>
      <c r="DB71" s="3">
        <v>26.515340999999999</v>
      </c>
      <c r="DC71" s="3">
        <v>31.170857999999999</v>
      </c>
      <c r="DD71" s="3">
        <v>28.283757999999999</v>
      </c>
      <c r="DE71" s="3">
        <v>28.607915999999999</v>
      </c>
      <c r="DF71" s="3">
        <v>30.421980000000001</v>
      </c>
      <c r="DG71" s="3">
        <v>27.555327999999999</v>
      </c>
      <c r="DH71" s="3">
        <v>25.567526000000001</v>
      </c>
      <c r="DI71" s="3"/>
      <c r="DJ71" s="3"/>
      <c r="DM71" s="3"/>
      <c r="DN71" s="3"/>
      <c r="DP71" s="3"/>
      <c r="DQ71" s="3"/>
      <c r="DR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</row>
    <row r="72" spans="2:207" x14ac:dyDescent="0.2">
      <c r="M72" s="3"/>
      <c r="N72" s="3"/>
    </row>
    <row r="73" spans="2:207" x14ac:dyDescent="0.2">
      <c r="M73" s="3"/>
      <c r="N73" s="3"/>
    </row>
    <row r="74" spans="2:207" x14ac:dyDescent="0.2">
      <c r="B74" t="s">
        <v>64</v>
      </c>
      <c r="D74" s="1" t="s">
        <v>46</v>
      </c>
    </row>
    <row r="75" spans="2:207" x14ac:dyDescent="0.2">
      <c r="B75" s="2" t="s">
        <v>43</v>
      </c>
      <c r="D75" t="s">
        <v>3</v>
      </c>
      <c r="E75" t="s">
        <v>1</v>
      </c>
      <c r="F75">
        <f>COUNT(M75:GJ75)</f>
        <v>100</v>
      </c>
      <c r="G75" s="3">
        <f>AVERAGE(M75:GJ75)</f>
        <v>46.613310780000013</v>
      </c>
      <c r="H75" s="3">
        <f>MAX(M75:GJ75)</f>
        <v>52.820830999999998</v>
      </c>
      <c r="I75" s="3">
        <f>MIN(M75:GJ75)</f>
        <v>41.419071000000002</v>
      </c>
      <c r="J75" s="3">
        <f>_xlfn.STDEV.P(M75:GJ75)</f>
        <v>2.2176672963356223</v>
      </c>
      <c r="K75" s="3">
        <f>_xlfn.VAR.S(M75:GJ75)</f>
        <v>4.9677254921581309</v>
      </c>
      <c r="M75" s="3">
        <v>45.624110999999999</v>
      </c>
      <c r="N75" s="3">
        <v>46.127845999999998</v>
      </c>
      <c r="O75" s="3">
        <v>46.296883000000001</v>
      </c>
      <c r="P75" s="3">
        <v>52.820830999999998</v>
      </c>
      <c r="Q75" s="3">
        <v>48.659184000000003</v>
      </c>
      <c r="R75" s="3">
        <v>45.173859</v>
      </c>
      <c r="S75" s="3">
        <v>47.837333999999998</v>
      </c>
      <c r="T75" s="3">
        <v>48.107303999999999</v>
      </c>
      <c r="U75" s="3">
        <v>44.662391999999997</v>
      </c>
      <c r="V75" s="3">
        <v>42.891010000000001</v>
      </c>
      <c r="W75" s="3">
        <v>46.578758000000001</v>
      </c>
      <c r="X75" s="3">
        <v>48.036354000000003</v>
      </c>
      <c r="Y75" s="3">
        <v>49.404525999999997</v>
      </c>
      <c r="Z75" s="3">
        <v>44.723263000000003</v>
      </c>
      <c r="AA75" s="3">
        <v>43.637104000000001</v>
      </c>
      <c r="AB75" s="3">
        <v>46.517085999999999</v>
      </c>
      <c r="AC75" s="3">
        <v>45.399543999999999</v>
      </c>
      <c r="AD75" s="3">
        <v>46.153973000000001</v>
      </c>
      <c r="AE75" s="3">
        <v>46.263263999999999</v>
      </c>
      <c r="AF75" s="3">
        <v>44.563175000000001</v>
      </c>
      <c r="AG75" s="3">
        <v>46.323771999999998</v>
      </c>
      <c r="AH75" s="3">
        <v>48.706043000000001</v>
      </c>
      <c r="AI75" s="3">
        <v>43.370296000000003</v>
      </c>
      <c r="AJ75" s="3">
        <v>45.886021</v>
      </c>
      <c r="AK75" s="3">
        <v>48.287627999999998</v>
      </c>
      <c r="AL75" s="3">
        <v>47.021275000000003</v>
      </c>
      <c r="AM75" s="3">
        <v>45.020809</v>
      </c>
      <c r="AN75" s="3">
        <v>43.704365000000003</v>
      </c>
      <c r="AO75" s="3">
        <v>49.538241999999997</v>
      </c>
      <c r="AP75" s="3">
        <v>48.158000999999999</v>
      </c>
      <c r="AQ75" s="3">
        <v>49.460518</v>
      </c>
      <c r="AR75" s="3">
        <v>44.377541000000001</v>
      </c>
      <c r="AS75" s="3">
        <v>48.186202999999999</v>
      </c>
      <c r="AT75" s="3">
        <v>49.290112000000001</v>
      </c>
      <c r="AU75" s="3">
        <v>43.872008999999998</v>
      </c>
      <c r="AV75" s="3">
        <v>45.138561000000003</v>
      </c>
      <c r="AW75" s="3">
        <v>47.68882</v>
      </c>
      <c r="AX75" s="3">
        <v>49.405807000000003</v>
      </c>
      <c r="AY75" s="3">
        <v>49.387141999999997</v>
      </c>
      <c r="AZ75" s="3">
        <v>48.674587000000002</v>
      </c>
      <c r="BA75" s="3">
        <v>47.643028000000001</v>
      </c>
      <c r="BB75" s="3">
        <v>46.421317999999999</v>
      </c>
      <c r="BC75" s="3">
        <v>44.355632999999997</v>
      </c>
      <c r="BD75" s="3">
        <v>43.626984</v>
      </c>
      <c r="BE75" s="3">
        <v>47.012962000000002</v>
      </c>
      <c r="BF75" s="3">
        <v>47.096423999999999</v>
      </c>
      <c r="BG75" s="3">
        <v>45.899357000000002</v>
      </c>
      <c r="BH75" s="3">
        <v>49.098156000000003</v>
      </c>
      <c r="BI75" s="3">
        <v>45.536487999999999</v>
      </c>
      <c r="BJ75" s="3">
        <v>45.871014000000002</v>
      </c>
      <c r="BK75" s="3">
        <v>48.952624999999998</v>
      </c>
      <c r="BL75" s="3">
        <v>50.766651000000003</v>
      </c>
      <c r="BM75" s="3">
        <v>46.790278999999998</v>
      </c>
      <c r="BN75" s="3">
        <v>47.206017000000003</v>
      </c>
      <c r="BO75" s="3">
        <v>47.162052000000003</v>
      </c>
      <c r="BP75" s="3">
        <v>46.093983000000001</v>
      </c>
      <c r="BQ75" s="3">
        <v>48.514702</v>
      </c>
      <c r="BR75" s="3">
        <v>48.576694000000003</v>
      </c>
      <c r="BS75" s="3">
        <v>43.389842999999999</v>
      </c>
      <c r="BT75" s="3">
        <v>43.183185999999999</v>
      </c>
      <c r="BU75" s="3">
        <v>44.300919</v>
      </c>
      <c r="BV75" s="3">
        <v>43.248283000000001</v>
      </c>
      <c r="BW75" s="3">
        <v>47.532688</v>
      </c>
      <c r="BX75" s="3">
        <v>44.445388999999999</v>
      </c>
      <c r="BY75" s="3">
        <v>47.028216999999998</v>
      </c>
      <c r="BZ75" s="3">
        <v>44.868533999999997</v>
      </c>
      <c r="CA75" s="3">
        <v>44.011828999999999</v>
      </c>
      <c r="CB75" s="3">
        <v>51.740577999999999</v>
      </c>
      <c r="CC75" s="3">
        <v>41.419071000000002</v>
      </c>
      <c r="CD75" s="3">
        <v>45.827679000000003</v>
      </c>
      <c r="CE75" s="3">
        <v>50.233077999999999</v>
      </c>
      <c r="CF75" s="3">
        <v>46.962536</v>
      </c>
      <c r="CG75" s="3">
        <v>44.713935999999997</v>
      </c>
      <c r="CH75" s="3">
        <v>48.265545000000003</v>
      </c>
      <c r="CI75" s="3">
        <v>44.103085</v>
      </c>
      <c r="CJ75" s="3">
        <v>43.272945</v>
      </c>
      <c r="CK75" s="3">
        <v>47.369621000000002</v>
      </c>
      <c r="CL75" s="3">
        <v>45.979728999999999</v>
      </c>
      <c r="CM75" s="3">
        <v>44.785136999999999</v>
      </c>
      <c r="CN75" s="3">
        <v>49.429927999999997</v>
      </c>
      <c r="CO75" s="3">
        <v>49.44059</v>
      </c>
      <c r="CP75" s="3">
        <v>46.628681</v>
      </c>
      <c r="CQ75" s="3">
        <v>51.355553</v>
      </c>
      <c r="CR75" s="3">
        <v>43.630527000000001</v>
      </c>
      <c r="CS75" s="3">
        <v>43.753287999999998</v>
      </c>
      <c r="CT75" s="3">
        <v>46.530982999999999</v>
      </c>
      <c r="CU75" s="3">
        <v>45.714615000000002</v>
      </c>
      <c r="CV75" s="3">
        <v>46.553341000000003</v>
      </c>
      <c r="CW75" s="3">
        <v>47.140942000000003</v>
      </c>
      <c r="CX75" s="3">
        <v>47.836559000000001</v>
      </c>
      <c r="CY75" s="3">
        <v>49.104697999999999</v>
      </c>
      <c r="CZ75" s="3">
        <v>50.053576999999997</v>
      </c>
      <c r="DA75" s="3">
        <v>47.659885000000003</v>
      </c>
      <c r="DB75" s="3">
        <v>47.048969</v>
      </c>
      <c r="DC75" s="3">
        <v>44.264290000000003</v>
      </c>
      <c r="DD75" s="3">
        <v>48.050556</v>
      </c>
      <c r="DE75" s="3">
        <v>46.152351000000003</v>
      </c>
      <c r="DF75" s="3">
        <v>47.912922000000002</v>
      </c>
      <c r="DG75" s="3">
        <v>43.718243000000001</v>
      </c>
      <c r="DH75" s="3">
        <v>45.068832</v>
      </c>
      <c r="DI75" s="3"/>
      <c r="DJ75" s="3"/>
      <c r="DM75" s="3"/>
      <c r="DN75" s="3"/>
      <c r="DP75" s="3"/>
      <c r="DQ75" s="3"/>
      <c r="DR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</row>
    <row r="76" spans="2:207" x14ac:dyDescent="0.2">
      <c r="B76" s="2" t="s">
        <v>47</v>
      </c>
      <c r="G76" s="3"/>
      <c r="H76" s="3"/>
      <c r="I76" s="3"/>
      <c r="J76" s="3"/>
      <c r="K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M76" s="3"/>
      <c r="DN76" s="3"/>
      <c r="DP76" s="3"/>
      <c r="DQ76" s="3"/>
      <c r="DR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</row>
    <row r="77" spans="2:207" x14ac:dyDescent="0.2">
      <c r="B77" s="2" t="s">
        <v>48</v>
      </c>
      <c r="D77" t="s">
        <v>4</v>
      </c>
      <c r="E77" t="s">
        <v>1</v>
      </c>
      <c r="F77">
        <f>COUNT(M77:GJ77)</f>
        <v>100</v>
      </c>
      <c r="G77" s="3">
        <f>AVERAGE(M77:GJ77)</f>
        <v>33.30909899000001</v>
      </c>
      <c r="H77" s="3">
        <f>MAX(M77:GJ77)</f>
        <v>41.085270000000001</v>
      </c>
      <c r="I77" s="3">
        <f>MIN(M77:GJ77)</f>
        <v>27.329229000000002</v>
      </c>
      <c r="J77" s="3">
        <f>_xlfn.STDEV.P(M77:GJ77)</f>
        <v>2.6127584856729662</v>
      </c>
      <c r="K77" s="3">
        <f>_xlfn.VAR.S(M77:GJ77)</f>
        <v>6.8954615196526179</v>
      </c>
      <c r="M77" s="3">
        <v>32.472591000000001</v>
      </c>
      <c r="N77" s="3">
        <v>30.051307999999999</v>
      </c>
      <c r="O77" s="3">
        <v>31.91367</v>
      </c>
      <c r="P77" s="3">
        <v>35.031891000000002</v>
      </c>
      <c r="Q77" s="3">
        <v>38.826641000000002</v>
      </c>
      <c r="R77" s="3">
        <v>32.295479</v>
      </c>
      <c r="S77" s="3">
        <v>32.685062000000002</v>
      </c>
      <c r="T77" s="3">
        <v>41.085270000000001</v>
      </c>
      <c r="U77" s="3">
        <v>31.679075000000001</v>
      </c>
      <c r="V77" s="3">
        <v>31.631443000000001</v>
      </c>
      <c r="W77" s="3">
        <v>35.565632000000001</v>
      </c>
      <c r="X77" s="3">
        <v>38.521667000000001</v>
      </c>
      <c r="Y77" s="3">
        <v>31.912572999999998</v>
      </c>
      <c r="Z77" s="3">
        <v>30.495802000000001</v>
      </c>
      <c r="AA77" s="3">
        <v>32.873199</v>
      </c>
      <c r="AB77" s="3">
        <v>33.174461000000001</v>
      </c>
      <c r="AC77" s="3">
        <v>30.941842999999999</v>
      </c>
      <c r="AD77" s="3">
        <v>33.314079</v>
      </c>
      <c r="AE77" s="3">
        <v>36.539763999999998</v>
      </c>
      <c r="AF77" s="3">
        <v>32.889873999999999</v>
      </c>
      <c r="AG77" s="3">
        <v>38.660148999999997</v>
      </c>
      <c r="AH77" s="3">
        <v>31.919492999999999</v>
      </c>
      <c r="AI77" s="3">
        <v>37.823303000000003</v>
      </c>
      <c r="AJ77" s="3">
        <v>34.598025999999997</v>
      </c>
      <c r="AK77" s="3">
        <v>31.683834000000001</v>
      </c>
      <c r="AL77" s="3">
        <v>31.177738000000002</v>
      </c>
      <c r="AM77" s="3">
        <v>29.616624999999999</v>
      </c>
      <c r="AN77" s="3">
        <v>31.608709000000001</v>
      </c>
      <c r="AO77" s="3">
        <v>31.023401</v>
      </c>
      <c r="AP77" s="3">
        <v>31.876315999999999</v>
      </c>
      <c r="AQ77" s="3">
        <v>32.385044000000001</v>
      </c>
      <c r="AR77" s="3">
        <v>30.522354</v>
      </c>
      <c r="AS77" s="3">
        <v>34.742756</v>
      </c>
      <c r="AT77" s="3">
        <v>32.146625999999998</v>
      </c>
      <c r="AU77" s="3">
        <v>31.117809000000001</v>
      </c>
      <c r="AV77" s="3">
        <v>32.903202</v>
      </c>
      <c r="AW77" s="3">
        <v>30.372404</v>
      </c>
      <c r="AX77" s="3">
        <v>31.625546</v>
      </c>
      <c r="AY77" s="3">
        <v>28.938669000000001</v>
      </c>
      <c r="AZ77" s="3">
        <v>39.118895999999999</v>
      </c>
      <c r="BA77" s="3">
        <v>31.886590999999999</v>
      </c>
      <c r="BB77" s="3">
        <v>31.111740000000001</v>
      </c>
      <c r="BC77" s="3">
        <v>36.016627999999997</v>
      </c>
      <c r="BD77" s="3">
        <v>36.019176000000002</v>
      </c>
      <c r="BE77" s="3">
        <v>30.085004999999999</v>
      </c>
      <c r="BF77" s="3">
        <v>35.825329000000004</v>
      </c>
      <c r="BG77" s="3">
        <v>35.191699999999997</v>
      </c>
      <c r="BH77" s="3">
        <v>30.577614000000001</v>
      </c>
      <c r="BI77" s="3">
        <v>31.929399</v>
      </c>
      <c r="BJ77" s="3">
        <v>28.285252</v>
      </c>
      <c r="BK77" s="3">
        <v>33.027343999999999</v>
      </c>
      <c r="BL77" s="3">
        <v>34.026718000000002</v>
      </c>
      <c r="BM77" s="3">
        <v>35.403525999999999</v>
      </c>
      <c r="BN77" s="3">
        <v>32.589725000000001</v>
      </c>
      <c r="BO77" s="3">
        <v>35.535232999999998</v>
      </c>
      <c r="BP77" s="3">
        <v>36.752589999999998</v>
      </c>
      <c r="BQ77" s="3">
        <v>35.396442</v>
      </c>
      <c r="BR77" s="3">
        <v>31.889561</v>
      </c>
      <c r="BS77" s="3">
        <v>32.515633000000001</v>
      </c>
      <c r="BT77" s="3">
        <v>35.366610999999999</v>
      </c>
      <c r="BU77" s="3">
        <v>38.839123000000001</v>
      </c>
      <c r="BV77" s="3">
        <v>33.969391000000002</v>
      </c>
      <c r="BW77" s="3">
        <v>34.630184</v>
      </c>
      <c r="BX77" s="3">
        <v>34.860740999999997</v>
      </c>
      <c r="BY77" s="3">
        <v>33.688637</v>
      </c>
      <c r="BZ77" s="3">
        <v>34.491717999999999</v>
      </c>
      <c r="CA77" s="3">
        <v>32.532783999999999</v>
      </c>
      <c r="CB77" s="3">
        <v>34.781269000000002</v>
      </c>
      <c r="CC77" s="3">
        <v>34.264229</v>
      </c>
      <c r="CD77" s="3">
        <v>32.497677000000003</v>
      </c>
      <c r="CE77" s="3">
        <v>34.131058000000003</v>
      </c>
      <c r="CF77" s="3">
        <v>32.81926</v>
      </c>
      <c r="CG77" s="3">
        <v>34.163353000000001</v>
      </c>
      <c r="CH77" s="3">
        <v>36.270924000000001</v>
      </c>
      <c r="CI77" s="3">
        <v>35.434361000000003</v>
      </c>
      <c r="CJ77" s="3">
        <v>30.532118000000001</v>
      </c>
      <c r="CK77" s="3">
        <v>27.329229000000002</v>
      </c>
      <c r="CL77" s="3">
        <v>37.981547999999997</v>
      </c>
      <c r="CM77" s="3">
        <v>34.158447000000002</v>
      </c>
      <c r="CN77" s="3">
        <v>29.260241000000001</v>
      </c>
      <c r="CO77" s="3">
        <v>30.038542</v>
      </c>
      <c r="CP77" s="3">
        <v>33.797977000000003</v>
      </c>
      <c r="CQ77" s="3">
        <v>35.394160999999997</v>
      </c>
      <c r="CR77" s="3">
        <v>30.335705000000001</v>
      </c>
      <c r="CS77" s="3">
        <v>31.876148000000001</v>
      </c>
      <c r="CT77" s="3">
        <v>33.754027999999998</v>
      </c>
      <c r="CU77" s="3">
        <v>30.558899</v>
      </c>
      <c r="CV77" s="3">
        <v>35.385559000000001</v>
      </c>
      <c r="CW77" s="3">
        <v>29.86721</v>
      </c>
      <c r="CX77" s="3">
        <v>32.067379000000003</v>
      </c>
      <c r="CY77" s="3">
        <v>33.182704999999999</v>
      </c>
      <c r="CZ77" s="3">
        <v>34.214706</v>
      </c>
      <c r="DA77" s="3">
        <v>35.509746999999997</v>
      </c>
      <c r="DB77" s="3">
        <v>33.553851999999999</v>
      </c>
      <c r="DC77" s="3">
        <v>30.929013999999999</v>
      </c>
      <c r="DD77" s="3">
        <v>32.429687999999999</v>
      </c>
      <c r="DE77" s="3">
        <v>38.390739000000004</v>
      </c>
      <c r="DF77" s="3">
        <v>30.940753999999998</v>
      </c>
      <c r="DG77" s="3">
        <v>32.346493000000002</v>
      </c>
      <c r="DH77" s="3">
        <v>32.506259999999997</v>
      </c>
      <c r="DI77" s="3"/>
      <c r="DJ77" s="3"/>
      <c r="DM77" s="3"/>
      <c r="DN77" s="3"/>
      <c r="DP77" s="3"/>
      <c r="DQ77" s="3"/>
      <c r="DR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</row>
    <row r="78" spans="2:207" x14ac:dyDescent="0.2">
      <c r="G78" s="3"/>
      <c r="H78" s="3"/>
      <c r="I78" s="3"/>
      <c r="J78" s="3"/>
      <c r="K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M78" s="3"/>
      <c r="DN78" s="3"/>
      <c r="DP78" s="3"/>
      <c r="DQ78" s="3"/>
      <c r="DR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</row>
    <row r="79" spans="2:207" x14ac:dyDescent="0.2">
      <c r="D79" t="s">
        <v>2</v>
      </c>
      <c r="E79" t="s">
        <v>1</v>
      </c>
      <c r="F79">
        <f>COUNT(M79:GJ79)</f>
        <v>100</v>
      </c>
      <c r="G79" s="3">
        <f>AVERAGE(M79:GJ79)</f>
        <v>37.453464820000008</v>
      </c>
      <c r="H79" s="3">
        <f>MAX(M79:GJ79)</f>
        <v>43.539841000000003</v>
      </c>
      <c r="I79" s="3">
        <f>MIN(M79:GJ79)</f>
        <v>33.469337000000003</v>
      </c>
      <c r="J79" s="3">
        <f>_xlfn.STDEV.P(M79:GJ79)</f>
        <v>2.1026465058139392</v>
      </c>
      <c r="K79" s="3">
        <f>_xlfn.VAR.S(M79:GJ79)</f>
        <v>4.4657801297086541</v>
      </c>
      <c r="M79" s="3">
        <v>33.704951999999999</v>
      </c>
      <c r="N79" s="3">
        <v>38.268169</v>
      </c>
      <c r="O79" s="3">
        <v>41.088036000000002</v>
      </c>
      <c r="P79" s="3">
        <v>43.495475999999996</v>
      </c>
      <c r="Q79" s="3">
        <v>38.944873999999999</v>
      </c>
      <c r="R79" s="3">
        <v>37.397922999999999</v>
      </c>
      <c r="S79" s="3">
        <v>36.239609000000002</v>
      </c>
      <c r="T79" s="3">
        <v>37.540184000000004</v>
      </c>
      <c r="U79" s="3">
        <v>40.153908000000001</v>
      </c>
      <c r="V79" s="3">
        <v>36.120398999999999</v>
      </c>
      <c r="W79" s="3">
        <v>35.177059</v>
      </c>
      <c r="X79" s="3">
        <v>42.258434000000001</v>
      </c>
      <c r="Y79" s="3">
        <v>38.411082999999998</v>
      </c>
      <c r="Z79" s="3">
        <v>38.648955999999998</v>
      </c>
      <c r="AA79" s="3">
        <v>39.419426000000001</v>
      </c>
      <c r="AB79" s="3">
        <v>38.468319000000001</v>
      </c>
      <c r="AC79" s="3">
        <v>37.525433</v>
      </c>
      <c r="AD79" s="3">
        <v>41.078899</v>
      </c>
      <c r="AE79" s="3">
        <v>40.683300000000003</v>
      </c>
      <c r="AF79" s="3">
        <v>35.80368</v>
      </c>
      <c r="AG79" s="3">
        <v>33.808169999999997</v>
      </c>
      <c r="AH79" s="3">
        <v>38.146014999999998</v>
      </c>
      <c r="AI79" s="3">
        <v>37.514454000000001</v>
      </c>
      <c r="AJ79" s="3">
        <v>39.322971000000003</v>
      </c>
      <c r="AK79" s="3">
        <v>37.705582</v>
      </c>
      <c r="AL79" s="3">
        <v>37.030223999999997</v>
      </c>
      <c r="AM79" s="3">
        <v>38.096069</v>
      </c>
      <c r="AN79" s="3">
        <v>35.341785000000002</v>
      </c>
      <c r="AO79" s="3">
        <v>36.243499999999997</v>
      </c>
      <c r="AP79" s="3">
        <v>38.650452000000001</v>
      </c>
      <c r="AQ79" s="3">
        <v>34.186934999999998</v>
      </c>
      <c r="AR79" s="3">
        <v>37.921630999999998</v>
      </c>
      <c r="AS79" s="3">
        <v>39.730904000000002</v>
      </c>
      <c r="AT79" s="3">
        <v>35.735992000000003</v>
      </c>
      <c r="AU79" s="3">
        <v>37.997494000000003</v>
      </c>
      <c r="AV79" s="3">
        <v>34.894176000000002</v>
      </c>
      <c r="AW79" s="3">
        <v>37.308337999999999</v>
      </c>
      <c r="AX79" s="3">
        <v>35.193928</v>
      </c>
      <c r="AY79" s="3">
        <v>34.931632999999998</v>
      </c>
      <c r="AZ79" s="3">
        <v>35.033454999999996</v>
      </c>
      <c r="BA79" s="3">
        <v>35.980808000000003</v>
      </c>
      <c r="BB79" s="3">
        <v>39.485886000000001</v>
      </c>
      <c r="BC79" s="3">
        <v>37.013053999999997</v>
      </c>
      <c r="BD79" s="3">
        <v>38.171612000000003</v>
      </c>
      <c r="BE79" s="3">
        <v>36.840153000000001</v>
      </c>
      <c r="BF79" s="3">
        <v>35.997993000000001</v>
      </c>
      <c r="BG79" s="3">
        <v>37.879398000000002</v>
      </c>
      <c r="BH79" s="3">
        <v>38.673363000000002</v>
      </c>
      <c r="BI79" s="3">
        <v>35.028216999999998</v>
      </c>
      <c r="BJ79" s="3">
        <v>38.949573999999998</v>
      </c>
      <c r="BK79" s="3">
        <v>36.637611</v>
      </c>
      <c r="BL79" s="3">
        <v>36.219695999999999</v>
      </c>
      <c r="BM79" s="3">
        <v>37.160564000000001</v>
      </c>
      <c r="BN79" s="3">
        <v>33.960743000000001</v>
      </c>
      <c r="BO79" s="3">
        <v>36.170807000000003</v>
      </c>
      <c r="BP79" s="3">
        <v>37.172691</v>
      </c>
      <c r="BQ79" s="3">
        <v>37.206944</v>
      </c>
      <c r="BR79" s="3">
        <v>37.975819000000001</v>
      </c>
      <c r="BS79" s="3">
        <v>37.309508999999998</v>
      </c>
      <c r="BT79" s="3">
        <v>36.237693999999998</v>
      </c>
      <c r="BU79" s="3">
        <v>35.771538</v>
      </c>
      <c r="BV79" s="3">
        <v>43.539841000000003</v>
      </c>
      <c r="BW79" s="3">
        <v>37.701771000000001</v>
      </c>
      <c r="BX79" s="3">
        <v>38.380324999999999</v>
      </c>
      <c r="BY79" s="3">
        <v>38.906531999999999</v>
      </c>
      <c r="BZ79" s="3">
        <v>38.016235000000002</v>
      </c>
      <c r="CA79" s="3">
        <v>37.699717999999997</v>
      </c>
      <c r="CB79" s="3">
        <v>40.000323999999999</v>
      </c>
      <c r="CC79" s="3">
        <v>41.38438</v>
      </c>
      <c r="CD79" s="3">
        <v>38.657496999999999</v>
      </c>
      <c r="CE79" s="3">
        <v>34.884140000000002</v>
      </c>
      <c r="CF79" s="3">
        <v>37.763939000000001</v>
      </c>
      <c r="CG79" s="3">
        <v>33.469337000000003</v>
      </c>
      <c r="CH79" s="3">
        <v>34.741283000000003</v>
      </c>
      <c r="CI79" s="3">
        <v>38.901749000000002</v>
      </c>
      <c r="CJ79" s="3">
        <v>34.560367999999997</v>
      </c>
      <c r="CK79" s="3">
        <v>35.964291000000003</v>
      </c>
      <c r="CL79" s="3">
        <v>35.646526000000001</v>
      </c>
      <c r="CM79" s="3">
        <v>35.145541999999999</v>
      </c>
      <c r="CN79" s="3">
        <v>35.075809</v>
      </c>
      <c r="CO79" s="3">
        <v>36.064796000000001</v>
      </c>
      <c r="CP79" s="3">
        <v>36.080871999999999</v>
      </c>
      <c r="CQ79" s="3">
        <v>38.306370000000001</v>
      </c>
      <c r="CR79" s="3">
        <v>35.419746000000004</v>
      </c>
      <c r="CS79" s="3">
        <v>36.154907000000001</v>
      </c>
      <c r="CT79" s="3">
        <v>38.075778999999997</v>
      </c>
      <c r="CU79" s="3">
        <v>35.697727</v>
      </c>
      <c r="CV79" s="3">
        <v>36.792003999999999</v>
      </c>
      <c r="CW79" s="3">
        <v>35.741931999999998</v>
      </c>
      <c r="CX79" s="3">
        <v>37.915005000000001</v>
      </c>
      <c r="CY79" s="3">
        <v>36.415374999999997</v>
      </c>
      <c r="CZ79" s="3">
        <v>37.976092999999999</v>
      </c>
      <c r="DA79" s="3">
        <v>41.958365999999998</v>
      </c>
      <c r="DB79" s="3">
        <v>41.183768999999998</v>
      </c>
      <c r="DC79" s="3">
        <v>41.088509000000002</v>
      </c>
      <c r="DD79" s="3">
        <v>37.712681000000003</v>
      </c>
      <c r="DE79" s="3">
        <v>37.762188000000002</v>
      </c>
      <c r="DF79" s="3">
        <v>37.475079000000001</v>
      </c>
      <c r="DG79" s="3">
        <v>39.851123999999999</v>
      </c>
      <c r="DH79" s="3">
        <v>36.169052000000001</v>
      </c>
      <c r="DI79" s="3"/>
      <c r="DJ79" s="3"/>
      <c r="DM79" s="3"/>
      <c r="DN79" s="3"/>
      <c r="DP79" s="3"/>
      <c r="DQ79" s="3"/>
      <c r="DR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</row>
    <row r="80" spans="2:207" x14ac:dyDescent="0.2">
      <c r="G80" s="3"/>
      <c r="H80" s="3"/>
      <c r="I80" s="3"/>
      <c r="J80" s="3"/>
      <c r="K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M80" s="3"/>
      <c r="DN80" s="3"/>
      <c r="DP80" s="3"/>
      <c r="DQ80" s="3"/>
      <c r="DR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</row>
    <row r="81" spans="2:207" x14ac:dyDescent="0.2">
      <c r="D81" t="s">
        <v>5</v>
      </c>
      <c r="E81" t="s">
        <v>1</v>
      </c>
      <c r="F81">
        <f>COUNT(M81:GJ81)</f>
        <v>100</v>
      </c>
      <c r="G81" s="3">
        <f>AVERAGE(M81:GJ81)</f>
        <v>34.604178670000003</v>
      </c>
      <c r="H81" s="3">
        <f>MAX(M81:GJ81)</f>
        <v>37.232909999999997</v>
      </c>
      <c r="I81" s="3">
        <f>MIN(M81:GJ81)</f>
        <v>31.822776999999999</v>
      </c>
      <c r="J81" s="3">
        <f>_xlfn.STDEV.P(M81:GJ81)</f>
        <v>1.1653488529116001</v>
      </c>
      <c r="K81" s="3">
        <f>_xlfn.VAR.S(M81:GJ81)</f>
        <v>1.3717555040226082</v>
      </c>
      <c r="M81" s="3">
        <v>32.925162999999998</v>
      </c>
      <c r="N81" s="3">
        <v>35.038764999999998</v>
      </c>
      <c r="O81" s="3">
        <v>35.343722999999997</v>
      </c>
      <c r="P81" s="3">
        <v>33.234070000000003</v>
      </c>
      <c r="Q81" s="3">
        <v>36.739258</v>
      </c>
      <c r="R81" s="3">
        <v>35.068736999999999</v>
      </c>
      <c r="S81" s="3">
        <v>33.622574</v>
      </c>
      <c r="T81" s="3">
        <v>33.318072999999998</v>
      </c>
      <c r="U81" s="3">
        <v>34.240265000000001</v>
      </c>
      <c r="V81" s="3">
        <v>32.395496000000001</v>
      </c>
      <c r="W81" s="3">
        <v>35.983803000000002</v>
      </c>
      <c r="X81" s="3">
        <v>34.614265000000003</v>
      </c>
      <c r="Y81" s="3">
        <v>33.987609999999997</v>
      </c>
      <c r="Z81" s="3">
        <v>33.207923999999998</v>
      </c>
      <c r="AA81" s="3">
        <v>36.024883000000003</v>
      </c>
      <c r="AB81" s="3">
        <v>35.504505000000002</v>
      </c>
      <c r="AC81" s="3">
        <v>33.857647</v>
      </c>
      <c r="AD81" s="3">
        <v>32.706417000000002</v>
      </c>
      <c r="AE81" s="3">
        <v>33.391753999999999</v>
      </c>
      <c r="AF81" s="3">
        <v>33.542155999999999</v>
      </c>
      <c r="AG81" s="3">
        <v>35.984893999999997</v>
      </c>
      <c r="AH81" s="3">
        <v>33.959347000000001</v>
      </c>
      <c r="AI81" s="3">
        <v>35.781219</v>
      </c>
      <c r="AJ81" s="3">
        <v>33.508972</v>
      </c>
      <c r="AK81" s="3">
        <v>36.182186000000002</v>
      </c>
      <c r="AL81" s="3">
        <v>35.001418999999999</v>
      </c>
      <c r="AM81" s="3">
        <v>34.209651999999998</v>
      </c>
      <c r="AN81" s="3">
        <v>35.111069000000001</v>
      </c>
      <c r="AO81" s="3">
        <v>33.519565999999998</v>
      </c>
      <c r="AP81" s="3">
        <v>35.044502000000001</v>
      </c>
      <c r="AQ81" s="3">
        <v>33.306904000000003</v>
      </c>
      <c r="AR81" s="3">
        <v>37.232909999999997</v>
      </c>
      <c r="AS81" s="3">
        <v>36.502903000000003</v>
      </c>
      <c r="AT81" s="3">
        <v>33.514111</v>
      </c>
      <c r="AU81" s="3">
        <v>35.252380000000002</v>
      </c>
      <c r="AV81" s="3">
        <v>35.034382000000001</v>
      </c>
      <c r="AW81" s="3">
        <v>36.880645999999999</v>
      </c>
      <c r="AX81" s="3">
        <v>34.918739000000002</v>
      </c>
      <c r="AY81" s="3">
        <v>35.193038999999999</v>
      </c>
      <c r="AZ81" s="3">
        <v>34.007140999999997</v>
      </c>
      <c r="BA81" s="3">
        <v>31.822776999999999</v>
      </c>
      <c r="BB81" s="3">
        <v>36.326340000000002</v>
      </c>
      <c r="BC81" s="3">
        <v>35.702705000000002</v>
      </c>
      <c r="BD81" s="3">
        <v>34.273975</v>
      </c>
      <c r="BE81" s="3">
        <v>33.686577</v>
      </c>
      <c r="BF81" s="3">
        <v>32.299232000000003</v>
      </c>
      <c r="BG81" s="3">
        <v>34.984966</v>
      </c>
      <c r="BH81" s="3">
        <v>34.205322000000002</v>
      </c>
      <c r="BI81" s="3">
        <v>35.987949</v>
      </c>
      <c r="BJ81" s="3">
        <v>34.134501999999998</v>
      </c>
      <c r="BK81" s="3">
        <v>34.94632</v>
      </c>
      <c r="BL81" s="3">
        <v>35.053268000000003</v>
      </c>
      <c r="BM81" s="3">
        <v>35.096111000000001</v>
      </c>
      <c r="BN81" s="3">
        <v>35.000155999999997</v>
      </c>
      <c r="BO81" s="3">
        <v>34.494225</v>
      </c>
      <c r="BP81" s="3">
        <v>35.327385</v>
      </c>
      <c r="BQ81" s="3">
        <v>33.257984</v>
      </c>
      <c r="BR81" s="3">
        <v>33.663756999999997</v>
      </c>
      <c r="BS81" s="3">
        <v>32.524836999999998</v>
      </c>
      <c r="BT81" s="3">
        <v>34.754322000000002</v>
      </c>
      <c r="BU81" s="3">
        <v>35.109290999999999</v>
      </c>
      <c r="BV81" s="3">
        <v>33.784793999999998</v>
      </c>
      <c r="BW81" s="3">
        <v>34.408172999999998</v>
      </c>
      <c r="BX81" s="3">
        <v>35.456985000000003</v>
      </c>
      <c r="BY81" s="3">
        <v>34.215260000000001</v>
      </c>
      <c r="BZ81" s="3">
        <v>33.451714000000003</v>
      </c>
      <c r="CA81" s="3">
        <v>34.341678999999999</v>
      </c>
      <c r="CB81" s="3">
        <v>33.315883999999997</v>
      </c>
      <c r="CC81" s="3">
        <v>31.993372000000001</v>
      </c>
      <c r="CD81" s="3">
        <v>33.600417999999998</v>
      </c>
      <c r="CE81" s="3">
        <v>34.723258999999999</v>
      </c>
      <c r="CF81" s="3">
        <v>35.106228000000002</v>
      </c>
      <c r="CG81" s="3">
        <v>35.931759</v>
      </c>
      <c r="CH81" s="3">
        <v>34.195625</v>
      </c>
      <c r="CI81" s="3">
        <v>37.219746000000001</v>
      </c>
      <c r="CJ81" s="3">
        <v>33.460442</v>
      </c>
      <c r="CK81" s="3">
        <v>33.970207000000002</v>
      </c>
      <c r="CL81" s="3">
        <v>35.088455000000003</v>
      </c>
      <c r="CM81" s="3">
        <v>34.353512000000002</v>
      </c>
      <c r="CN81" s="3">
        <v>35.755412999999997</v>
      </c>
      <c r="CO81" s="3">
        <v>35.098457000000003</v>
      </c>
      <c r="CP81" s="3">
        <v>34.185600000000001</v>
      </c>
      <c r="CQ81" s="3">
        <v>32.663857</v>
      </c>
      <c r="CR81" s="3">
        <v>33.865425000000002</v>
      </c>
      <c r="CS81" s="3">
        <v>34.785277999999998</v>
      </c>
      <c r="CT81" s="3">
        <v>33.662509999999997</v>
      </c>
      <c r="CU81" s="3">
        <v>35.093753999999997</v>
      </c>
      <c r="CV81" s="3">
        <v>35.241737000000001</v>
      </c>
      <c r="CW81" s="3">
        <v>34.237827000000003</v>
      </c>
      <c r="CX81" s="3">
        <v>34.591721</v>
      </c>
      <c r="CY81" s="3">
        <v>34.918433999999998</v>
      </c>
      <c r="CZ81" s="3">
        <v>35.436199000000002</v>
      </c>
      <c r="DA81" s="3">
        <v>35.798416000000003</v>
      </c>
      <c r="DB81" s="3">
        <v>36.360602999999998</v>
      </c>
      <c r="DC81" s="3">
        <v>33.788699999999999</v>
      </c>
      <c r="DD81" s="3">
        <v>36.465739999999997</v>
      </c>
      <c r="DE81" s="3">
        <v>35.954334000000003</v>
      </c>
      <c r="DF81" s="3">
        <v>35.953926000000003</v>
      </c>
      <c r="DG81" s="3">
        <v>35.755619000000003</v>
      </c>
      <c r="DH81" s="3">
        <v>34.641734999999997</v>
      </c>
      <c r="DI81" s="3"/>
      <c r="DJ81" s="3"/>
      <c r="DM81" s="3"/>
      <c r="DN81" s="3"/>
      <c r="DP81" s="3"/>
      <c r="DQ81" s="3"/>
      <c r="DR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</row>
    <row r="82" spans="2:207" x14ac:dyDescent="0.2">
      <c r="G82" s="3"/>
      <c r="H82" s="3"/>
      <c r="I82" s="3"/>
      <c r="J82" s="3"/>
      <c r="K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M82" s="3"/>
      <c r="DN82" s="3"/>
      <c r="DP82" s="3"/>
      <c r="DQ82" s="3"/>
      <c r="DR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</row>
    <row r="83" spans="2:207" x14ac:dyDescent="0.2">
      <c r="D83" t="s">
        <v>6</v>
      </c>
      <c r="E83" t="s">
        <v>1</v>
      </c>
      <c r="F83">
        <f>COUNT(M83:GJ83)</f>
        <v>100</v>
      </c>
      <c r="G83" s="3">
        <f>AVERAGE(M83:GJ83)</f>
        <v>40.211163150000004</v>
      </c>
      <c r="H83" s="3">
        <f>MAX(M83:GJ83)</f>
        <v>48.672234000000003</v>
      </c>
      <c r="I83" s="3">
        <f>MIN(M83:GJ83)</f>
        <v>32.107525000000003</v>
      </c>
      <c r="J83" s="3">
        <f>_xlfn.STDEV.P(M83:GJ83)</f>
        <v>3.4353450745432821</v>
      </c>
      <c r="K83" s="3">
        <f>_xlfn.VAR.S(M83:GJ83)</f>
        <v>11.920803819382613</v>
      </c>
      <c r="M83" s="3">
        <v>36.214703</v>
      </c>
      <c r="N83" s="3">
        <v>41.628768999999998</v>
      </c>
      <c r="O83" s="3">
        <v>42.526187999999998</v>
      </c>
      <c r="P83" s="3">
        <v>44.975020999999998</v>
      </c>
      <c r="Q83" s="3">
        <v>36.423248000000001</v>
      </c>
      <c r="R83" s="3">
        <v>37.052410000000002</v>
      </c>
      <c r="S83" s="3">
        <v>35.725650999999999</v>
      </c>
      <c r="T83" s="3">
        <v>39.800125000000001</v>
      </c>
      <c r="U83" s="3">
        <v>41.667427000000004</v>
      </c>
      <c r="V83" s="3">
        <v>35.680236999999998</v>
      </c>
      <c r="W83" s="3">
        <v>41.056595000000002</v>
      </c>
      <c r="X83" s="3">
        <v>38.565567000000001</v>
      </c>
      <c r="Y83" s="3">
        <v>37.475192999999997</v>
      </c>
      <c r="Z83" s="3">
        <v>43.385693000000003</v>
      </c>
      <c r="AA83" s="3">
        <v>37.035099000000002</v>
      </c>
      <c r="AB83" s="3">
        <v>40.844985999999999</v>
      </c>
      <c r="AC83" s="3">
        <v>39.23592</v>
      </c>
      <c r="AD83" s="3">
        <v>39.381554000000001</v>
      </c>
      <c r="AE83" s="3">
        <v>45.172587999999998</v>
      </c>
      <c r="AF83" s="3">
        <v>40.428192000000003</v>
      </c>
      <c r="AG83" s="3">
        <v>38.591652000000003</v>
      </c>
      <c r="AH83" s="3">
        <v>37.683723000000001</v>
      </c>
      <c r="AI83" s="3">
        <v>37.621841000000003</v>
      </c>
      <c r="AJ83" s="3">
        <v>44.802405999999998</v>
      </c>
      <c r="AK83" s="3">
        <v>37.671871000000003</v>
      </c>
      <c r="AL83" s="3">
        <v>34.934879000000002</v>
      </c>
      <c r="AM83" s="3">
        <v>41.908057999999997</v>
      </c>
      <c r="AN83" s="3">
        <v>43.349151999999997</v>
      </c>
      <c r="AO83" s="3">
        <v>35.693835999999997</v>
      </c>
      <c r="AP83" s="3">
        <v>32.107525000000003</v>
      </c>
      <c r="AQ83" s="3">
        <v>41.246479000000001</v>
      </c>
      <c r="AR83" s="3">
        <v>42.661911000000003</v>
      </c>
      <c r="AS83" s="3">
        <v>37.331603999999999</v>
      </c>
      <c r="AT83" s="3">
        <v>39.971908999999997</v>
      </c>
      <c r="AU83" s="3">
        <v>37.582152999999998</v>
      </c>
      <c r="AV83" s="3">
        <v>43.327927000000003</v>
      </c>
      <c r="AW83" s="3">
        <v>37.461407000000001</v>
      </c>
      <c r="AX83" s="3">
        <v>39.800220000000003</v>
      </c>
      <c r="AY83" s="3">
        <v>44.960490999999998</v>
      </c>
      <c r="AZ83" s="3">
        <v>38.159187000000003</v>
      </c>
      <c r="BA83" s="3">
        <v>41.837074000000001</v>
      </c>
      <c r="BB83" s="3">
        <v>39.213326000000002</v>
      </c>
      <c r="BC83" s="3">
        <v>35.638129999999997</v>
      </c>
      <c r="BD83" s="3">
        <v>39.230182999999997</v>
      </c>
      <c r="BE83" s="3">
        <v>45.232982999999997</v>
      </c>
      <c r="BF83" s="3">
        <v>37.998837000000002</v>
      </c>
      <c r="BG83" s="3">
        <v>37.025889999999997</v>
      </c>
      <c r="BH83" s="3">
        <v>38.203406999999999</v>
      </c>
      <c r="BI83" s="3">
        <v>35.678398000000001</v>
      </c>
      <c r="BJ83" s="3">
        <v>48.195903999999999</v>
      </c>
      <c r="BK83" s="3">
        <v>38.730193999999997</v>
      </c>
      <c r="BL83" s="3">
        <v>35.594878999999999</v>
      </c>
      <c r="BM83" s="3">
        <v>41.307789</v>
      </c>
      <c r="BN83" s="3">
        <v>43.331195999999998</v>
      </c>
      <c r="BO83" s="3">
        <v>38.957535</v>
      </c>
      <c r="BP83" s="3">
        <v>40.956612</v>
      </c>
      <c r="BQ83" s="3">
        <v>40.692141999999997</v>
      </c>
      <c r="BR83" s="3">
        <v>36.784900999999998</v>
      </c>
      <c r="BS83" s="3">
        <v>37.374240999999998</v>
      </c>
      <c r="BT83" s="3">
        <v>39.751010999999998</v>
      </c>
      <c r="BU83" s="3">
        <v>38.097983999999997</v>
      </c>
      <c r="BV83" s="3">
        <v>42.663817999999999</v>
      </c>
      <c r="BW83" s="3">
        <v>40.248753000000001</v>
      </c>
      <c r="BX83" s="3">
        <v>46.470295</v>
      </c>
      <c r="BY83" s="3">
        <v>46.699173000000002</v>
      </c>
      <c r="BZ83" s="3">
        <v>44.122025000000001</v>
      </c>
      <c r="CA83" s="3">
        <v>48.672234000000003</v>
      </c>
      <c r="CB83" s="3">
        <v>38.825878000000003</v>
      </c>
      <c r="CC83" s="3">
        <v>41.605766000000003</v>
      </c>
      <c r="CD83" s="3">
        <v>37.386153999999998</v>
      </c>
      <c r="CE83" s="3">
        <v>39.677321999999997</v>
      </c>
      <c r="CF83" s="3">
        <v>44.885773</v>
      </c>
      <c r="CG83" s="3">
        <v>41.171207000000003</v>
      </c>
      <c r="CH83" s="3">
        <v>45.515827000000002</v>
      </c>
      <c r="CI83" s="3">
        <v>35.176186000000001</v>
      </c>
      <c r="CJ83" s="3">
        <v>38.129669</v>
      </c>
      <c r="CK83" s="3">
        <v>36.079543999999999</v>
      </c>
      <c r="CL83" s="3">
        <v>46.244030000000002</v>
      </c>
      <c r="CM83" s="3">
        <v>42.957790000000003</v>
      </c>
      <c r="CN83" s="3">
        <v>38.473278000000001</v>
      </c>
      <c r="CO83" s="3">
        <v>43.359927999999996</v>
      </c>
      <c r="CP83" s="3">
        <v>36.756641000000002</v>
      </c>
      <c r="CQ83" s="3">
        <v>39.756821000000002</v>
      </c>
      <c r="CR83" s="3">
        <v>36.085006999999997</v>
      </c>
      <c r="CS83" s="3">
        <v>39.697426</v>
      </c>
      <c r="CT83" s="3">
        <v>41.652191000000002</v>
      </c>
      <c r="CU83" s="3">
        <v>42.457565000000002</v>
      </c>
      <c r="CV83" s="3">
        <v>39.340434999999999</v>
      </c>
      <c r="CW83" s="3">
        <v>47.239151</v>
      </c>
      <c r="CX83" s="3">
        <v>45.383324000000002</v>
      </c>
      <c r="CY83" s="3">
        <v>39.914551000000003</v>
      </c>
      <c r="CZ83" s="3">
        <v>47.395676000000002</v>
      </c>
      <c r="DA83" s="3">
        <v>38.968429999999998</v>
      </c>
      <c r="DB83" s="3">
        <v>43.884273999999998</v>
      </c>
      <c r="DC83" s="3">
        <v>38.075516</v>
      </c>
      <c r="DD83" s="3">
        <v>40.534793999999998</v>
      </c>
      <c r="DE83" s="3">
        <v>40.159328000000002</v>
      </c>
      <c r="DF83" s="3">
        <v>40.286147999999997</v>
      </c>
      <c r="DG83" s="3">
        <v>39.557395999999997</v>
      </c>
      <c r="DH83" s="3">
        <v>34.630977999999999</v>
      </c>
      <c r="DI83" s="3"/>
      <c r="DJ83" s="3"/>
      <c r="DM83" s="3"/>
      <c r="DN83" s="3"/>
      <c r="DP83" s="3"/>
      <c r="DQ83" s="3"/>
      <c r="DR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</row>
    <row r="84" spans="2:207" x14ac:dyDescent="0.2">
      <c r="M84" s="3"/>
      <c r="N84" s="3"/>
    </row>
    <row r="85" spans="2:207" x14ac:dyDescent="0.2">
      <c r="M85" s="3"/>
      <c r="N85" s="3"/>
    </row>
    <row r="86" spans="2:207" x14ac:dyDescent="0.2">
      <c r="B86" t="s">
        <v>64</v>
      </c>
      <c r="D86" s="1" t="s">
        <v>45</v>
      </c>
    </row>
    <row r="87" spans="2:207" x14ac:dyDescent="0.2">
      <c r="B87" s="2" t="s">
        <v>44</v>
      </c>
      <c r="D87" t="s">
        <v>3</v>
      </c>
      <c r="E87" t="s">
        <v>1</v>
      </c>
      <c r="F87">
        <f>COUNT(M87:GJ87)</f>
        <v>100</v>
      </c>
      <c r="G87" s="3">
        <f>AVERAGE(M87:GJ87)</f>
        <v>14.786654939999998</v>
      </c>
      <c r="H87" s="3">
        <f>MAX(M87:GJ87)</f>
        <v>19.502417000000001</v>
      </c>
      <c r="I87" s="3">
        <f>MIN(M87:GJ87)</f>
        <v>11.869844000000001</v>
      </c>
      <c r="J87" s="3">
        <f>_xlfn.STDEV.P(M87:GJ87)</f>
        <v>1.5322529947708834</v>
      </c>
      <c r="K87" s="3">
        <f>_xlfn.VAR.S(M87:GJ87)</f>
        <v>2.3715143838225683</v>
      </c>
      <c r="M87" s="3">
        <v>13.763569</v>
      </c>
      <c r="N87" s="3">
        <v>12.627694999999999</v>
      </c>
      <c r="O87" s="3">
        <v>18.521560999999998</v>
      </c>
      <c r="P87" s="3">
        <v>12.930501</v>
      </c>
      <c r="Q87" s="3">
        <v>18.989015999999999</v>
      </c>
      <c r="R87" s="3">
        <v>14.801194000000001</v>
      </c>
      <c r="S87" s="3">
        <v>18.704357000000002</v>
      </c>
      <c r="T87" s="3">
        <v>14.004343</v>
      </c>
      <c r="U87" s="3">
        <v>15.417313999999999</v>
      </c>
      <c r="V87" s="3">
        <v>16.061025999999998</v>
      </c>
      <c r="W87" s="3">
        <v>13.231526000000001</v>
      </c>
      <c r="X87" s="3">
        <v>13.509891</v>
      </c>
      <c r="Y87" s="3">
        <v>15.555192999999999</v>
      </c>
      <c r="Z87" s="3">
        <v>14.046925</v>
      </c>
      <c r="AA87" s="3">
        <v>13.839193</v>
      </c>
      <c r="AB87" s="3">
        <v>16.661987</v>
      </c>
      <c r="AC87" s="3">
        <v>15.632567999999999</v>
      </c>
      <c r="AD87" s="3">
        <v>13.855746</v>
      </c>
      <c r="AE87" s="3">
        <v>14.454369</v>
      </c>
      <c r="AF87" s="3">
        <v>14.374022</v>
      </c>
      <c r="AG87" s="3">
        <v>13.959394</v>
      </c>
      <c r="AH87" s="3">
        <v>13.876593</v>
      </c>
      <c r="AI87" s="3">
        <v>13.403731000000001</v>
      </c>
      <c r="AJ87" s="3">
        <v>13.441288</v>
      </c>
      <c r="AK87" s="3">
        <v>16.827770000000001</v>
      </c>
      <c r="AL87" s="3">
        <v>14.310591000000001</v>
      </c>
      <c r="AM87" s="3">
        <v>14.390539</v>
      </c>
      <c r="AN87" s="3">
        <v>13.830904</v>
      </c>
      <c r="AO87" s="3">
        <v>16.231107999999999</v>
      </c>
      <c r="AP87" s="3">
        <v>13.989053</v>
      </c>
      <c r="AQ87" s="3">
        <v>15.274062000000001</v>
      </c>
      <c r="AR87" s="3">
        <v>13.703488999999999</v>
      </c>
      <c r="AS87" s="3">
        <v>15.756366999999999</v>
      </c>
      <c r="AT87" s="3">
        <v>19.502417000000001</v>
      </c>
      <c r="AU87" s="3">
        <v>13.541585</v>
      </c>
      <c r="AV87" s="3">
        <v>13.885365999999999</v>
      </c>
      <c r="AW87" s="3">
        <v>13.909879</v>
      </c>
      <c r="AX87" s="3">
        <v>16.136710999999998</v>
      </c>
      <c r="AY87" s="3">
        <v>17.197766999999999</v>
      </c>
      <c r="AZ87" s="3">
        <v>16.560981999999999</v>
      </c>
      <c r="BA87" s="3">
        <v>13.268554</v>
      </c>
      <c r="BB87" s="3">
        <v>15.611081</v>
      </c>
      <c r="BC87" s="3">
        <v>13.127891</v>
      </c>
      <c r="BD87" s="3">
        <v>13.579573999999999</v>
      </c>
      <c r="BE87" s="3">
        <v>15.351327</v>
      </c>
      <c r="BF87" s="3">
        <v>13.778548000000001</v>
      </c>
      <c r="BG87" s="3">
        <v>13.844243000000001</v>
      </c>
      <c r="BH87" s="3">
        <v>16.87734</v>
      </c>
      <c r="BI87" s="3">
        <v>13.773059</v>
      </c>
      <c r="BJ87" s="3">
        <v>14.559525000000001</v>
      </c>
      <c r="BK87" s="3">
        <v>15.577828999999999</v>
      </c>
      <c r="BL87" s="3">
        <v>17.420321000000001</v>
      </c>
      <c r="BM87" s="3">
        <v>14.371494</v>
      </c>
      <c r="BN87" s="3">
        <v>13.110761</v>
      </c>
      <c r="BO87" s="3">
        <v>16.987123</v>
      </c>
      <c r="BP87" s="3">
        <v>17.340354999999999</v>
      </c>
      <c r="BQ87" s="3">
        <v>15.287255999999999</v>
      </c>
      <c r="BR87" s="3">
        <v>13.334467</v>
      </c>
      <c r="BS87" s="3">
        <v>14.516216</v>
      </c>
      <c r="BT87" s="3">
        <v>13.626943000000001</v>
      </c>
      <c r="BU87" s="3">
        <v>14.035297999999999</v>
      </c>
      <c r="BV87" s="3">
        <v>13.585197000000001</v>
      </c>
      <c r="BW87" s="3">
        <v>13.995490999999999</v>
      </c>
      <c r="BX87" s="3">
        <v>14.295210000000001</v>
      </c>
      <c r="BY87" s="3">
        <v>15.948888999999999</v>
      </c>
      <c r="BZ87" s="3">
        <v>11.869844000000001</v>
      </c>
      <c r="CA87" s="3">
        <v>17.071905000000001</v>
      </c>
      <c r="CB87" s="3">
        <v>16.953423999999998</v>
      </c>
      <c r="CC87" s="3">
        <v>14.292975</v>
      </c>
      <c r="CD87" s="3">
        <v>14.435098</v>
      </c>
      <c r="CE87" s="3">
        <v>13.575785</v>
      </c>
      <c r="CF87" s="3">
        <v>13.210748000000001</v>
      </c>
      <c r="CG87" s="3">
        <v>14.776686</v>
      </c>
      <c r="CH87" s="3">
        <v>16.323129999999999</v>
      </c>
      <c r="CI87" s="3">
        <v>13.303156</v>
      </c>
      <c r="CJ87" s="3">
        <v>14.322547</v>
      </c>
      <c r="CK87" s="3">
        <v>16.023721999999999</v>
      </c>
      <c r="CL87" s="3">
        <v>13.320061000000001</v>
      </c>
      <c r="CM87" s="3">
        <v>13.677961</v>
      </c>
      <c r="CN87" s="3">
        <v>15.971329000000001</v>
      </c>
      <c r="CO87" s="3">
        <v>15.746468999999999</v>
      </c>
      <c r="CP87" s="3">
        <v>13.047737</v>
      </c>
      <c r="CQ87" s="3">
        <v>17.349333000000001</v>
      </c>
      <c r="CR87" s="3">
        <v>13.003549</v>
      </c>
      <c r="CS87" s="3">
        <v>14.306487000000001</v>
      </c>
      <c r="CT87" s="3">
        <v>14.136782999999999</v>
      </c>
      <c r="CU87" s="3">
        <v>14.569900000000001</v>
      </c>
      <c r="CV87" s="3">
        <v>13.6614</v>
      </c>
      <c r="CW87" s="3">
        <v>15.872388000000001</v>
      </c>
      <c r="CX87" s="3">
        <v>14.218012</v>
      </c>
      <c r="CY87" s="3">
        <v>13.963589000000001</v>
      </c>
      <c r="CZ87" s="3">
        <v>16.223261000000001</v>
      </c>
      <c r="DA87" s="3">
        <v>13.879842999999999</v>
      </c>
      <c r="DB87" s="3">
        <v>13.720416999999999</v>
      </c>
      <c r="DC87" s="3">
        <v>12.958394999999999</v>
      </c>
      <c r="DD87" s="3">
        <v>17.2607</v>
      </c>
      <c r="DE87" s="3">
        <v>14.808515999999999</v>
      </c>
      <c r="DF87" s="3">
        <v>15.449627</v>
      </c>
      <c r="DG87" s="3">
        <v>13.662081000000001</v>
      </c>
      <c r="DH87" s="3">
        <v>13.783052</v>
      </c>
      <c r="DI87" s="3"/>
      <c r="DJ87" s="3"/>
      <c r="DM87" s="3"/>
      <c r="DN87" s="3"/>
      <c r="DP87" s="3"/>
      <c r="DQ87" s="3"/>
      <c r="DR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</row>
    <row r="88" spans="2:207" x14ac:dyDescent="0.2">
      <c r="B88" s="2" t="s">
        <v>27</v>
      </c>
      <c r="G88" s="3"/>
      <c r="H88" s="3"/>
      <c r="I88" s="3"/>
      <c r="J88" s="3"/>
      <c r="K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M88" s="3"/>
      <c r="DN88" s="3"/>
      <c r="DP88" s="3"/>
      <c r="DQ88" s="3"/>
      <c r="DR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</row>
    <row r="89" spans="2:207" x14ac:dyDescent="0.2">
      <c r="B89" s="2" t="s">
        <v>49</v>
      </c>
      <c r="D89" t="s">
        <v>4</v>
      </c>
      <c r="E89" t="s">
        <v>1</v>
      </c>
      <c r="F89">
        <f>COUNT(M89:GJ89)</f>
        <v>100</v>
      </c>
      <c r="G89" s="3">
        <f>AVERAGE(M89:GJ89)</f>
        <v>13.450556230000007</v>
      </c>
      <c r="H89" s="3">
        <f>MAX(M89:GJ89)</f>
        <v>18.560265000000001</v>
      </c>
      <c r="I89" s="3">
        <f>MIN(M89:GJ89)</f>
        <v>8.5016379999999998</v>
      </c>
      <c r="J89" s="3">
        <f>_xlfn.STDEV.P(M89:GJ89)</f>
        <v>2.2669290901588757</v>
      </c>
      <c r="K89" s="3">
        <f>_xlfn.VAR.S(M89:GJ89)</f>
        <v>5.1908762624328606</v>
      </c>
      <c r="M89" s="3">
        <v>12.898953000000001</v>
      </c>
      <c r="N89" s="3">
        <v>13.068365999999999</v>
      </c>
      <c r="O89" s="3">
        <v>11.26296</v>
      </c>
      <c r="P89" s="3">
        <v>15.525243</v>
      </c>
      <c r="Q89" s="3">
        <v>14.618869999999999</v>
      </c>
      <c r="R89" s="3">
        <v>16.290168999999999</v>
      </c>
      <c r="S89" s="3">
        <v>15.90122</v>
      </c>
      <c r="T89" s="3">
        <v>16.040396000000001</v>
      </c>
      <c r="U89" s="3">
        <v>9.793939</v>
      </c>
      <c r="V89" s="3">
        <v>10.368549</v>
      </c>
      <c r="W89" s="3">
        <v>13.674459000000001</v>
      </c>
      <c r="X89" s="3">
        <v>14.867773</v>
      </c>
      <c r="Y89" s="3">
        <v>12.883336</v>
      </c>
      <c r="Z89" s="3">
        <v>9.9502740000000003</v>
      </c>
      <c r="AA89" s="3">
        <v>14.284114000000001</v>
      </c>
      <c r="AB89" s="3">
        <v>9.6556960000000007</v>
      </c>
      <c r="AC89" s="3">
        <v>9.9460119999999996</v>
      </c>
      <c r="AD89" s="3">
        <v>16.764555000000001</v>
      </c>
      <c r="AE89" s="3">
        <v>16.792764999999999</v>
      </c>
      <c r="AF89" s="3">
        <v>13.63785</v>
      </c>
      <c r="AG89" s="3">
        <v>10.490118000000001</v>
      </c>
      <c r="AH89" s="3">
        <v>14.911963</v>
      </c>
      <c r="AI89" s="3">
        <v>17.881777</v>
      </c>
      <c r="AJ89" s="3">
        <v>15.20002</v>
      </c>
      <c r="AK89" s="3">
        <v>14.737550000000001</v>
      </c>
      <c r="AL89" s="3">
        <v>13.259582999999999</v>
      </c>
      <c r="AM89" s="3">
        <v>13.829983</v>
      </c>
      <c r="AN89" s="3">
        <v>13.593904999999999</v>
      </c>
      <c r="AO89" s="3">
        <v>12.695771000000001</v>
      </c>
      <c r="AP89" s="3">
        <v>14.801617</v>
      </c>
      <c r="AQ89" s="3">
        <v>15.391465999999999</v>
      </c>
      <c r="AR89" s="3">
        <v>12.425554</v>
      </c>
      <c r="AS89" s="3">
        <v>18.560265000000001</v>
      </c>
      <c r="AT89" s="3">
        <v>13.513242999999999</v>
      </c>
      <c r="AU89" s="3">
        <v>12.613272</v>
      </c>
      <c r="AV89" s="3">
        <v>13.719170999999999</v>
      </c>
      <c r="AW89" s="3">
        <v>13.706917000000001</v>
      </c>
      <c r="AX89" s="3">
        <v>11.573919999999999</v>
      </c>
      <c r="AY89" s="3">
        <v>9.3402309999999993</v>
      </c>
      <c r="AZ89" s="3">
        <v>17.030553999999999</v>
      </c>
      <c r="BA89" s="3">
        <v>9.6494759999999999</v>
      </c>
      <c r="BB89" s="3">
        <v>11.535548</v>
      </c>
      <c r="BC89" s="3">
        <v>13.92623</v>
      </c>
      <c r="BD89" s="3">
        <v>14.160734</v>
      </c>
      <c r="BE89" s="3">
        <v>12.931594</v>
      </c>
      <c r="BF89" s="3">
        <v>10.325082999999999</v>
      </c>
      <c r="BG89" s="3">
        <v>12.345388</v>
      </c>
      <c r="BH89" s="3">
        <v>15.801045999999999</v>
      </c>
      <c r="BI89" s="3">
        <v>13.584835</v>
      </c>
      <c r="BJ89" s="3">
        <v>12.432952999999999</v>
      </c>
      <c r="BK89" s="3">
        <v>12.483605000000001</v>
      </c>
      <c r="BL89" s="3">
        <v>16.439710999999999</v>
      </c>
      <c r="BM89" s="3">
        <v>12.89758</v>
      </c>
      <c r="BN89" s="3">
        <v>14.211536000000001</v>
      </c>
      <c r="BO89" s="3">
        <v>11.014434</v>
      </c>
      <c r="BP89" s="3">
        <v>17.904779000000001</v>
      </c>
      <c r="BQ89" s="3">
        <v>14.905996</v>
      </c>
      <c r="BR89" s="3">
        <v>15.919079999999999</v>
      </c>
      <c r="BS89" s="3">
        <v>12.373063</v>
      </c>
      <c r="BT89" s="3">
        <v>12.158329</v>
      </c>
      <c r="BU89" s="3">
        <v>16.904177000000001</v>
      </c>
      <c r="BV89" s="3">
        <v>11.755019000000001</v>
      </c>
      <c r="BW89" s="3">
        <v>14.073339000000001</v>
      </c>
      <c r="BX89" s="3">
        <v>12.262956000000001</v>
      </c>
      <c r="BY89" s="3">
        <v>15.188896</v>
      </c>
      <c r="BZ89" s="3">
        <v>15.156943</v>
      </c>
      <c r="CA89" s="3">
        <v>14.886746</v>
      </c>
      <c r="CB89" s="3">
        <v>15.478789000000001</v>
      </c>
      <c r="CC89" s="3">
        <v>14.2037</v>
      </c>
      <c r="CD89" s="3">
        <v>10.055828</v>
      </c>
      <c r="CE89" s="3">
        <v>10.264673999999999</v>
      </c>
      <c r="CF89" s="3">
        <v>12.180927000000001</v>
      </c>
      <c r="CG89" s="3">
        <v>12.198399</v>
      </c>
      <c r="CH89" s="3">
        <v>12.582205</v>
      </c>
      <c r="CI89" s="3">
        <v>15.743957</v>
      </c>
      <c r="CJ89" s="3">
        <v>12.490136</v>
      </c>
      <c r="CK89" s="3">
        <v>14.034459999999999</v>
      </c>
      <c r="CL89" s="3">
        <v>11.993340999999999</v>
      </c>
      <c r="CM89" s="3">
        <v>13.034214</v>
      </c>
      <c r="CN89" s="3">
        <v>13.776431000000001</v>
      </c>
      <c r="CO89" s="3">
        <v>13.737079</v>
      </c>
      <c r="CP89" s="3">
        <v>16.126021999999999</v>
      </c>
      <c r="CQ89" s="3">
        <v>17.069949999999999</v>
      </c>
      <c r="CR89" s="3">
        <v>11.448278</v>
      </c>
      <c r="CS89" s="3">
        <v>9.8361499999999999</v>
      </c>
      <c r="CT89" s="3">
        <v>11.831071</v>
      </c>
      <c r="CU89" s="3">
        <v>11.958634</v>
      </c>
      <c r="CV89" s="3">
        <v>15.664543999999999</v>
      </c>
      <c r="CW89" s="3">
        <v>14.462832000000001</v>
      </c>
      <c r="CX89" s="3">
        <v>16.384025999999999</v>
      </c>
      <c r="CY89" s="3">
        <v>16.440773</v>
      </c>
      <c r="CZ89" s="3">
        <v>13.246511</v>
      </c>
      <c r="DA89" s="3">
        <v>14.641014</v>
      </c>
      <c r="DB89" s="3">
        <v>10.274751999999999</v>
      </c>
      <c r="DC89" s="3">
        <v>9.2050699999999992</v>
      </c>
      <c r="DD89" s="3">
        <v>8.9357690000000005</v>
      </c>
      <c r="DE89" s="3">
        <v>12.896426</v>
      </c>
      <c r="DF89" s="3">
        <v>8.5016379999999998</v>
      </c>
      <c r="DG89" s="3">
        <v>14.932536000000001</v>
      </c>
      <c r="DH89" s="3">
        <v>14.694032</v>
      </c>
      <c r="DI89" s="3"/>
      <c r="DJ89" s="3"/>
      <c r="DM89" s="3"/>
      <c r="DN89" s="3"/>
      <c r="DP89" s="3"/>
      <c r="DQ89" s="3"/>
      <c r="DR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</row>
    <row r="90" spans="2:207" x14ac:dyDescent="0.2">
      <c r="G90" s="3"/>
      <c r="H90" s="3"/>
      <c r="I90" s="3"/>
      <c r="J90" s="3"/>
      <c r="K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M90" s="3"/>
      <c r="DN90" s="3"/>
      <c r="DP90" s="3"/>
      <c r="DQ90" s="3"/>
      <c r="DR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</row>
    <row r="91" spans="2:207" x14ac:dyDescent="0.2">
      <c r="D91" t="s">
        <v>2</v>
      </c>
      <c r="E91" t="s">
        <v>1</v>
      </c>
      <c r="F91">
        <f>COUNT(M91:GJ91)</f>
        <v>100</v>
      </c>
      <c r="G91" s="3">
        <f>AVERAGE(M91:GJ91)</f>
        <v>16.166205419999997</v>
      </c>
      <c r="H91" s="3">
        <f>MAX(M91:GJ91)</f>
        <v>18.241060000000001</v>
      </c>
      <c r="I91" s="3">
        <f>MIN(M91:GJ91)</f>
        <v>13.307263000000001</v>
      </c>
      <c r="J91" s="3">
        <f>_xlfn.STDEV.P(M91:GJ91)</f>
        <v>1.1115321767101678</v>
      </c>
      <c r="K91" s="3">
        <f>_xlfn.VAR.S(M91:GJ91)</f>
        <v>1.2479836160222662</v>
      </c>
      <c r="M91" s="3">
        <v>15.051579</v>
      </c>
      <c r="N91" s="3">
        <v>13.975045</v>
      </c>
      <c r="O91" s="3">
        <v>16.298276999999999</v>
      </c>
      <c r="P91" s="3">
        <v>17.735655000000001</v>
      </c>
      <c r="Q91" s="3">
        <v>14.97012</v>
      </c>
      <c r="R91" s="3">
        <v>16.896626999999999</v>
      </c>
      <c r="S91" s="3">
        <v>15.781681000000001</v>
      </c>
      <c r="T91" s="3">
        <v>15.161645</v>
      </c>
      <c r="U91" s="3">
        <v>15.559699999999999</v>
      </c>
      <c r="V91" s="3">
        <v>14.824626</v>
      </c>
      <c r="W91" s="3">
        <v>16.033826999999999</v>
      </c>
      <c r="X91" s="3">
        <v>15.708572</v>
      </c>
      <c r="Y91" s="3">
        <v>14.962816</v>
      </c>
      <c r="Z91" s="3">
        <v>15.156760999999999</v>
      </c>
      <c r="AA91" s="3">
        <v>16.371065000000002</v>
      </c>
      <c r="AB91" s="3">
        <v>17.567854000000001</v>
      </c>
      <c r="AC91" s="3">
        <v>16.464880000000001</v>
      </c>
      <c r="AD91" s="3">
        <v>16.044142000000001</v>
      </c>
      <c r="AE91" s="3">
        <v>14.137929</v>
      </c>
      <c r="AF91" s="3">
        <v>15.604578</v>
      </c>
      <c r="AG91" s="3">
        <v>15.718399</v>
      </c>
      <c r="AH91" s="3">
        <v>16.0853</v>
      </c>
      <c r="AI91" s="3">
        <v>13.707903</v>
      </c>
      <c r="AJ91" s="3">
        <v>17.736666</v>
      </c>
      <c r="AK91" s="3">
        <v>14.999036</v>
      </c>
      <c r="AL91" s="3">
        <v>16.583705999999999</v>
      </c>
      <c r="AM91" s="3">
        <v>16.528008</v>
      </c>
      <c r="AN91" s="3">
        <v>16.595023999999999</v>
      </c>
      <c r="AO91" s="3">
        <v>16.638667999999999</v>
      </c>
      <c r="AP91" s="3">
        <v>17.621331999999999</v>
      </c>
      <c r="AQ91" s="3">
        <v>16.365386999999998</v>
      </c>
      <c r="AR91" s="3">
        <v>16.800958999999999</v>
      </c>
      <c r="AS91" s="3">
        <v>16.069866000000001</v>
      </c>
      <c r="AT91" s="3">
        <v>16.888276999999999</v>
      </c>
      <c r="AU91" s="3">
        <v>15.006261</v>
      </c>
      <c r="AV91" s="3">
        <v>16.279575000000001</v>
      </c>
      <c r="AW91" s="3">
        <v>15.650195</v>
      </c>
      <c r="AX91" s="3">
        <v>16.771214000000001</v>
      </c>
      <c r="AY91" s="3">
        <v>16.551331000000001</v>
      </c>
      <c r="AZ91" s="3">
        <v>16.663919</v>
      </c>
      <c r="BA91" s="3">
        <v>15.960929</v>
      </c>
      <c r="BB91" s="3">
        <v>15.104464999999999</v>
      </c>
      <c r="BC91" s="3">
        <v>16.275722999999999</v>
      </c>
      <c r="BD91" s="3">
        <v>16.979937</v>
      </c>
      <c r="BE91" s="3">
        <v>15.903522000000001</v>
      </c>
      <c r="BF91" s="3">
        <v>15.969734000000001</v>
      </c>
      <c r="BG91" s="3">
        <v>16.647549000000001</v>
      </c>
      <c r="BH91" s="3">
        <v>13.543336</v>
      </c>
      <c r="BI91" s="3">
        <v>16.242177999999999</v>
      </c>
      <c r="BJ91" s="3">
        <v>18.033965999999999</v>
      </c>
      <c r="BK91" s="3">
        <v>17.264322</v>
      </c>
      <c r="BL91" s="3">
        <v>15.460209000000001</v>
      </c>
      <c r="BM91" s="3">
        <v>16.043113999999999</v>
      </c>
      <c r="BN91" s="3">
        <v>15.798341000000001</v>
      </c>
      <c r="BO91" s="3">
        <v>17.970541000000001</v>
      </c>
      <c r="BP91" s="3">
        <v>16.146723000000001</v>
      </c>
      <c r="BQ91" s="3">
        <v>16.777161</v>
      </c>
      <c r="BR91" s="3">
        <v>14.728847999999999</v>
      </c>
      <c r="BS91" s="3">
        <v>16.793576999999999</v>
      </c>
      <c r="BT91" s="3">
        <v>17.916350999999999</v>
      </c>
      <c r="BU91" s="3">
        <v>14.153058</v>
      </c>
      <c r="BV91" s="3">
        <v>17.416235</v>
      </c>
      <c r="BW91" s="3">
        <v>17.037189000000001</v>
      </c>
      <c r="BX91" s="3">
        <v>15.268784</v>
      </c>
      <c r="BY91" s="3">
        <v>13.307263000000001</v>
      </c>
      <c r="BZ91" s="3">
        <v>15.878633000000001</v>
      </c>
      <c r="CA91" s="3">
        <v>16.617245</v>
      </c>
      <c r="CB91" s="3">
        <v>15.735357</v>
      </c>
      <c r="CC91" s="3">
        <v>15.020493999999999</v>
      </c>
      <c r="CD91" s="3">
        <v>15.000669</v>
      </c>
      <c r="CE91" s="3">
        <v>17.366049</v>
      </c>
      <c r="CF91" s="3">
        <v>16.187152999999999</v>
      </c>
      <c r="CG91" s="3">
        <v>16.306775999999999</v>
      </c>
      <c r="CH91" s="3">
        <v>16.514552999999999</v>
      </c>
      <c r="CI91" s="3">
        <v>16.37105</v>
      </c>
      <c r="CJ91" s="3">
        <v>16.943878000000002</v>
      </c>
      <c r="CK91" s="3">
        <v>16.785098999999999</v>
      </c>
      <c r="CL91" s="3">
        <v>17.854759000000001</v>
      </c>
      <c r="CM91" s="3">
        <v>17.398568999999998</v>
      </c>
      <c r="CN91" s="3">
        <v>16.22588</v>
      </c>
      <c r="CO91" s="3">
        <v>18.039093000000001</v>
      </c>
      <c r="CP91" s="3">
        <v>16.410004000000001</v>
      </c>
      <c r="CQ91" s="3">
        <v>17.069344999999998</v>
      </c>
      <c r="CR91" s="3">
        <v>16.593395000000001</v>
      </c>
      <c r="CS91" s="3">
        <v>17.152062999999998</v>
      </c>
      <c r="CT91" s="3">
        <v>16.828861</v>
      </c>
      <c r="CU91" s="3">
        <v>17.338045000000001</v>
      </c>
      <c r="CV91" s="3">
        <v>17.381214</v>
      </c>
      <c r="CW91" s="3">
        <v>17.613116999999999</v>
      </c>
      <c r="CX91" s="3">
        <v>17.770202999999999</v>
      </c>
      <c r="CY91" s="3">
        <v>16.830994</v>
      </c>
      <c r="CZ91" s="3">
        <v>13.693562</v>
      </c>
      <c r="DA91" s="3">
        <v>14.196555999999999</v>
      </c>
      <c r="DB91" s="3">
        <v>15.531311000000001</v>
      </c>
      <c r="DC91" s="3">
        <v>15.486376</v>
      </c>
      <c r="DD91" s="3">
        <v>16.593132000000001</v>
      </c>
      <c r="DE91" s="3">
        <v>16.398575000000001</v>
      </c>
      <c r="DF91" s="3">
        <v>18.241060000000001</v>
      </c>
      <c r="DG91" s="3">
        <v>14.256639</v>
      </c>
      <c r="DH91" s="3">
        <v>14.679373</v>
      </c>
      <c r="DI91" s="3"/>
      <c r="DJ91" s="3"/>
      <c r="DM91" s="3"/>
      <c r="DN91" s="3"/>
      <c r="DP91" s="3"/>
      <c r="DQ91" s="3"/>
      <c r="DR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</row>
    <row r="92" spans="2:207" x14ac:dyDescent="0.2">
      <c r="G92" s="3"/>
      <c r="H92" s="3"/>
      <c r="I92" s="3"/>
      <c r="J92" s="3"/>
      <c r="K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M92" s="3"/>
      <c r="DN92" s="3"/>
      <c r="DP92" s="3"/>
      <c r="DQ92" s="3"/>
      <c r="DR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</row>
    <row r="93" spans="2:207" x14ac:dyDescent="0.2">
      <c r="D93" t="s">
        <v>5</v>
      </c>
      <c r="E93" t="s">
        <v>1</v>
      </c>
      <c r="F93">
        <f>COUNT(M93:GJ93)</f>
        <v>100</v>
      </c>
      <c r="G93" s="3">
        <f>AVERAGE(M93:GJ93)</f>
        <v>15.128069199999997</v>
      </c>
      <c r="H93" s="3">
        <f>MAX(M93:GJ93)</f>
        <v>17.885674000000002</v>
      </c>
      <c r="I93" s="3">
        <f>MIN(M93:GJ93)</f>
        <v>10.507885</v>
      </c>
      <c r="J93" s="3">
        <f>_xlfn.STDEV.P(M93:GJ93)</f>
        <v>1.6728598148250127</v>
      </c>
      <c r="K93" s="3">
        <f>_xlfn.VAR.S(M93:GJ93)</f>
        <v>2.8267272323801538</v>
      </c>
      <c r="M93" s="3">
        <v>16.651198999999998</v>
      </c>
      <c r="N93" s="3">
        <v>15.946</v>
      </c>
      <c r="O93" s="3">
        <v>16.847586</v>
      </c>
      <c r="P93" s="3">
        <v>10.911334999999999</v>
      </c>
      <c r="Q93" s="3">
        <v>15.593785</v>
      </c>
      <c r="R93" s="3">
        <v>14.448259999999999</v>
      </c>
      <c r="S93" s="3">
        <v>16.947527000000001</v>
      </c>
      <c r="T93" s="3">
        <v>14.831075999999999</v>
      </c>
      <c r="U93" s="3">
        <v>16.230111000000001</v>
      </c>
      <c r="V93" s="3">
        <v>16.71537</v>
      </c>
      <c r="W93" s="3">
        <v>16.443611000000001</v>
      </c>
      <c r="X93" s="3">
        <v>15.642811999999999</v>
      </c>
      <c r="Y93" s="3">
        <v>14.87745</v>
      </c>
      <c r="Z93" s="3">
        <v>14.508136</v>
      </c>
      <c r="AA93" s="3">
        <v>13.621098999999999</v>
      </c>
      <c r="AB93" s="3">
        <v>15.328923</v>
      </c>
      <c r="AC93" s="3">
        <v>16.607327999999999</v>
      </c>
      <c r="AD93" s="3">
        <v>16.087485999999998</v>
      </c>
      <c r="AE93" s="3">
        <v>14.718264</v>
      </c>
      <c r="AF93" s="3">
        <v>16.957163000000001</v>
      </c>
      <c r="AG93" s="3">
        <v>16.257959</v>
      </c>
      <c r="AH93" s="3">
        <v>16.267847</v>
      </c>
      <c r="AI93" s="3">
        <v>16.845690000000001</v>
      </c>
      <c r="AJ93" s="3">
        <v>15.067072</v>
      </c>
      <c r="AK93" s="3">
        <v>14.321414000000001</v>
      </c>
      <c r="AL93" s="3">
        <v>14.992549</v>
      </c>
      <c r="AM93" s="3">
        <v>16.902875999999999</v>
      </c>
      <c r="AN93" s="3">
        <v>16.590149</v>
      </c>
      <c r="AO93" s="3">
        <v>16.389185000000001</v>
      </c>
      <c r="AP93" s="3">
        <v>16.391195</v>
      </c>
      <c r="AQ93" s="3">
        <v>15.128000999999999</v>
      </c>
      <c r="AR93" s="3">
        <v>13.182601999999999</v>
      </c>
      <c r="AS93" s="3">
        <v>16.340688</v>
      </c>
      <c r="AT93" s="3">
        <v>16.414007000000002</v>
      </c>
      <c r="AU93" s="3">
        <v>16.074691999999999</v>
      </c>
      <c r="AV93" s="3">
        <v>15.366953000000001</v>
      </c>
      <c r="AW93" s="3">
        <v>15.175933000000001</v>
      </c>
      <c r="AX93" s="3">
        <v>15.687894</v>
      </c>
      <c r="AY93" s="3">
        <v>12.735643</v>
      </c>
      <c r="AZ93" s="3">
        <v>16.104700000000001</v>
      </c>
      <c r="BA93" s="3">
        <v>10.507885</v>
      </c>
      <c r="BB93" s="3">
        <v>14.434454000000001</v>
      </c>
      <c r="BC93" s="3">
        <v>13.617677</v>
      </c>
      <c r="BD93" s="3">
        <v>16.375243999999999</v>
      </c>
      <c r="BE93" s="3">
        <v>13.854661999999999</v>
      </c>
      <c r="BF93" s="3">
        <v>13.546447000000001</v>
      </c>
      <c r="BG93" s="3">
        <v>16.474644000000001</v>
      </c>
      <c r="BH93" s="3">
        <v>13.123100000000001</v>
      </c>
      <c r="BI93" s="3">
        <v>16.704674000000001</v>
      </c>
      <c r="BJ93" s="3">
        <v>16.458207999999999</v>
      </c>
      <c r="BK93" s="3">
        <v>10.556086000000001</v>
      </c>
      <c r="BL93" s="3">
        <v>14.348072999999999</v>
      </c>
      <c r="BM93" s="3">
        <v>12.589121</v>
      </c>
      <c r="BN93" s="3">
        <v>17.117802000000001</v>
      </c>
      <c r="BO93" s="3">
        <v>13.797238999999999</v>
      </c>
      <c r="BP93" s="3">
        <v>16.50807</v>
      </c>
      <c r="BQ93" s="3">
        <v>15.504652999999999</v>
      </c>
      <c r="BR93" s="3">
        <v>12.300094</v>
      </c>
      <c r="BS93" s="3">
        <v>10.560426</v>
      </c>
      <c r="BT93" s="3">
        <v>16.61957</v>
      </c>
      <c r="BU93" s="3">
        <v>11.24503</v>
      </c>
      <c r="BV93" s="3">
        <v>15.297329</v>
      </c>
      <c r="BW93" s="3">
        <v>16.030548</v>
      </c>
      <c r="BX93" s="3">
        <v>15.159484000000001</v>
      </c>
      <c r="BY93" s="3">
        <v>13.861881</v>
      </c>
      <c r="BZ93" s="3">
        <v>15.151771</v>
      </c>
      <c r="CA93" s="3">
        <v>15.757558</v>
      </c>
      <c r="CB93" s="3">
        <v>12.828939999999999</v>
      </c>
      <c r="CC93" s="3">
        <v>15.15732</v>
      </c>
      <c r="CD93" s="3">
        <v>16.240621999999998</v>
      </c>
      <c r="CE93" s="3">
        <v>16.800732</v>
      </c>
      <c r="CF93" s="3">
        <v>14.654769</v>
      </c>
      <c r="CG93" s="3">
        <v>10.839226999999999</v>
      </c>
      <c r="CH93" s="3">
        <v>16.714448000000001</v>
      </c>
      <c r="CI93" s="3">
        <v>16.486908</v>
      </c>
      <c r="CJ93" s="3">
        <v>15.318158</v>
      </c>
      <c r="CK93" s="3">
        <v>17.216816000000001</v>
      </c>
      <c r="CL93" s="3">
        <v>16.553467000000001</v>
      </c>
      <c r="CM93" s="3">
        <v>15.093159999999999</v>
      </c>
      <c r="CN93" s="3">
        <v>15.761298999999999</v>
      </c>
      <c r="CO93" s="3">
        <v>15.384645000000001</v>
      </c>
      <c r="CP93" s="3">
        <v>14.645060000000001</v>
      </c>
      <c r="CQ93" s="3">
        <v>14.316443</v>
      </c>
      <c r="CR93" s="3">
        <v>15.19932</v>
      </c>
      <c r="CS93" s="3">
        <v>16.003337999999999</v>
      </c>
      <c r="CT93" s="3">
        <v>15.661149</v>
      </c>
      <c r="CU93" s="3">
        <v>15.604212</v>
      </c>
      <c r="CV93" s="3">
        <v>17.194958</v>
      </c>
      <c r="CW93" s="3">
        <v>15.563155</v>
      </c>
      <c r="CX93" s="3">
        <v>16.708732999999999</v>
      </c>
      <c r="CY93" s="3">
        <v>15.935312</v>
      </c>
      <c r="CZ93" s="3">
        <v>11.446259</v>
      </c>
      <c r="DA93" s="3">
        <v>15.60149</v>
      </c>
      <c r="DB93" s="3">
        <v>17.885674000000002</v>
      </c>
      <c r="DC93" s="3">
        <v>13.457852000000001</v>
      </c>
      <c r="DD93" s="3">
        <v>16.623446000000001</v>
      </c>
      <c r="DE93" s="3">
        <v>14.602528</v>
      </c>
      <c r="DF93" s="3">
        <v>15.113896</v>
      </c>
      <c r="DG93" s="3">
        <v>13.593469000000001</v>
      </c>
      <c r="DH93" s="3">
        <v>12.946815000000001</v>
      </c>
      <c r="DI93" s="3"/>
      <c r="DJ93" s="3"/>
      <c r="DM93" s="3"/>
      <c r="DN93" s="3"/>
      <c r="DP93" s="3"/>
      <c r="DQ93" s="3"/>
      <c r="DR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</row>
    <row r="94" spans="2:207" x14ac:dyDescent="0.2">
      <c r="G94" s="3"/>
      <c r="H94" s="3"/>
      <c r="I94" s="3"/>
      <c r="J94" s="3"/>
      <c r="K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M94" s="3"/>
      <c r="DN94" s="3"/>
      <c r="DP94" s="3"/>
      <c r="DQ94" s="3"/>
      <c r="DR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</row>
    <row r="95" spans="2:207" x14ac:dyDescent="0.2">
      <c r="D95" t="s">
        <v>6</v>
      </c>
      <c r="E95" t="s">
        <v>1</v>
      </c>
      <c r="F95">
        <f>COUNT(M95:GJ95)</f>
        <v>100</v>
      </c>
      <c r="G95" s="3">
        <f>AVERAGE(M95:GJ95)</f>
        <v>15.553804380000001</v>
      </c>
      <c r="H95" s="3">
        <f>MAX(M95:GJ95)</f>
        <v>17.232514999999999</v>
      </c>
      <c r="I95" s="3">
        <f>MIN(M95:GJ95)</f>
        <v>11.790635</v>
      </c>
      <c r="J95" s="3">
        <f>_xlfn.STDEV.P(M95:GJ95)</f>
        <v>0.97664224439245717</v>
      </c>
      <c r="K95" s="3">
        <f>_xlfn.VAR.S(M95:GJ95)</f>
        <v>0.96346472073932921</v>
      </c>
      <c r="M95" s="3">
        <v>14.786458</v>
      </c>
      <c r="N95" s="3">
        <v>16.362465</v>
      </c>
      <c r="O95" s="3">
        <v>17.232514999999999</v>
      </c>
      <c r="P95" s="3">
        <v>15.771782999999999</v>
      </c>
      <c r="Q95" s="3">
        <v>15.975128</v>
      </c>
      <c r="R95" s="3">
        <v>14.082496000000001</v>
      </c>
      <c r="S95" s="3">
        <v>16.685925000000001</v>
      </c>
      <c r="T95" s="3">
        <v>14.040573999999999</v>
      </c>
      <c r="U95" s="3">
        <v>15.675105</v>
      </c>
      <c r="V95" s="3">
        <v>15.748227999999999</v>
      </c>
      <c r="W95" s="3">
        <v>15.594219000000001</v>
      </c>
      <c r="X95" s="3">
        <v>16.802541999999999</v>
      </c>
      <c r="Y95" s="3">
        <v>15.62316</v>
      </c>
      <c r="Z95" s="3">
        <v>16.774881000000001</v>
      </c>
      <c r="AA95" s="3">
        <v>16.334602</v>
      </c>
      <c r="AB95" s="3">
        <v>16.133150000000001</v>
      </c>
      <c r="AC95" s="3">
        <v>16.037191</v>
      </c>
      <c r="AD95" s="3">
        <v>15.407926</v>
      </c>
      <c r="AE95" s="3">
        <v>11.790635</v>
      </c>
      <c r="AF95" s="3">
        <v>16.200239</v>
      </c>
      <c r="AG95" s="3">
        <v>16.709811999999999</v>
      </c>
      <c r="AH95" s="3">
        <v>16.758147999999998</v>
      </c>
      <c r="AI95" s="3">
        <v>15.156141</v>
      </c>
      <c r="AJ95" s="3">
        <v>14.792040999999999</v>
      </c>
      <c r="AK95" s="3">
        <v>15.516719999999999</v>
      </c>
      <c r="AL95" s="3">
        <v>15.616220999999999</v>
      </c>
      <c r="AM95" s="3">
        <v>16.105211000000001</v>
      </c>
      <c r="AN95" s="3">
        <v>16.649913999999999</v>
      </c>
      <c r="AO95" s="3">
        <v>16.042406</v>
      </c>
      <c r="AP95" s="3">
        <v>15.401108000000001</v>
      </c>
      <c r="AQ95" s="3">
        <v>15.289645999999999</v>
      </c>
      <c r="AR95" s="3">
        <v>16.18017</v>
      </c>
      <c r="AS95" s="3">
        <v>16.387813999999999</v>
      </c>
      <c r="AT95" s="3">
        <v>15.504046000000001</v>
      </c>
      <c r="AU95" s="3">
        <v>16.549688</v>
      </c>
      <c r="AV95" s="3">
        <v>15.541399</v>
      </c>
      <c r="AW95" s="3">
        <v>16.468658000000001</v>
      </c>
      <c r="AX95" s="3">
        <v>16.675470000000001</v>
      </c>
      <c r="AY95" s="3">
        <v>13.997802</v>
      </c>
      <c r="AZ95" s="3">
        <v>16.418983000000001</v>
      </c>
      <c r="BA95" s="3">
        <v>16.081139</v>
      </c>
      <c r="BB95" s="3">
        <v>15.309944</v>
      </c>
      <c r="BC95" s="3">
        <v>15.482949</v>
      </c>
      <c r="BD95" s="3">
        <v>14.625397</v>
      </c>
      <c r="BE95" s="3">
        <v>15.82226</v>
      </c>
      <c r="BF95" s="3">
        <v>15.297381</v>
      </c>
      <c r="BG95" s="3">
        <v>15.169421</v>
      </c>
      <c r="BH95" s="3">
        <v>16.093992</v>
      </c>
      <c r="BI95" s="3">
        <v>16.095874999999999</v>
      </c>
      <c r="BJ95" s="3">
        <v>16.282319999999999</v>
      </c>
      <c r="BK95" s="3">
        <v>15.353591</v>
      </c>
      <c r="BL95" s="3">
        <v>14.186241000000001</v>
      </c>
      <c r="BM95" s="3">
        <v>15.496271999999999</v>
      </c>
      <c r="BN95" s="3">
        <v>15.377414999999999</v>
      </c>
      <c r="BO95" s="3">
        <v>16.697545999999999</v>
      </c>
      <c r="BP95" s="3">
        <v>15.688957</v>
      </c>
      <c r="BQ95" s="3">
        <v>17.051109</v>
      </c>
      <c r="BR95" s="3">
        <v>15.199278</v>
      </c>
      <c r="BS95" s="3">
        <v>15.883644</v>
      </c>
      <c r="BT95" s="3">
        <v>15.910558</v>
      </c>
      <c r="BU95" s="3">
        <v>15.676095</v>
      </c>
      <c r="BV95" s="3">
        <v>15.244852</v>
      </c>
      <c r="BW95" s="3">
        <v>15.199437</v>
      </c>
      <c r="BX95" s="3">
        <v>15.730001</v>
      </c>
      <c r="BY95" s="3">
        <v>16.141096000000001</v>
      </c>
      <c r="BZ95" s="3">
        <v>15.827256</v>
      </c>
      <c r="CA95" s="3">
        <v>13.159470000000001</v>
      </c>
      <c r="CB95" s="3">
        <v>15.243655</v>
      </c>
      <c r="CC95" s="3">
        <v>15.058069</v>
      </c>
      <c r="CD95" s="3">
        <v>15.720825</v>
      </c>
      <c r="CE95" s="3">
        <v>14.672048999999999</v>
      </c>
      <c r="CF95" s="3">
        <v>13.437851</v>
      </c>
      <c r="CG95" s="3">
        <v>16.550208999999999</v>
      </c>
      <c r="CH95" s="3">
        <v>13.533168</v>
      </c>
      <c r="CI95" s="3">
        <v>16.258103999999999</v>
      </c>
      <c r="CJ95" s="3">
        <v>15.872897</v>
      </c>
      <c r="CK95" s="3">
        <v>15.146969</v>
      </c>
      <c r="CL95" s="3">
        <v>13.629151</v>
      </c>
      <c r="CM95" s="3">
        <v>15.881112999999999</v>
      </c>
      <c r="CN95" s="3">
        <v>13.087266</v>
      </c>
      <c r="CO95" s="3">
        <v>17.098517999999999</v>
      </c>
      <c r="CP95" s="3">
        <v>16.025673000000001</v>
      </c>
      <c r="CQ95" s="3">
        <v>15.580589</v>
      </c>
      <c r="CR95" s="3">
        <v>16.458555</v>
      </c>
      <c r="CS95" s="3">
        <v>14.694019000000001</v>
      </c>
      <c r="CT95" s="3">
        <v>16.902073000000001</v>
      </c>
      <c r="CU95" s="3">
        <v>15.903171</v>
      </c>
      <c r="CV95" s="3">
        <v>15.985523000000001</v>
      </c>
      <c r="CW95" s="3">
        <v>16.244437999999999</v>
      </c>
      <c r="CX95" s="3">
        <v>14.492723</v>
      </c>
      <c r="CY95" s="3">
        <v>13.557036999999999</v>
      </c>
      <c r="CZ95" s="3">
        <v>13.898253</v>
      </c>
      <c r="DA95" s="3">
        <v>15.374294000000001</v>
      </c>
      <c r="DB95" s="3">
        <v>14.780949</v>
      </c>
      <c r="DC95" s="3">
        <v>16.466802999999999</v>
      </c>
      <c r="DD95" s="3">
        <v>14.892574</v>
      </c>
      <c r="DE95" s="3">
        <v>15.644761000000001</v>
      </c>
      <c r="DF95" s="3">
        <v>15.995161</v>
      </c>
      <c r="DG95" s="3">
        <v>15.700844999999999</v>
      </c>
      <c r="DH95" s="3">
        <v>14.689037000000001</v>
      </c>
      <c r="DI95" s="3"/>
      <c r="DJ95" s="3"/>
      <c r="DM95" s="3"/>
      <c r="DN95" s="3"/>
      <c r="DP95" s="3"/>
      <c r="DQ95" s="3"/>
      <c r="DR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Meiser</dc:creator>
  <cp:lastModifiedBy>Michael Meiser</cp:lastModifiedBy>
  <dcterms:created xsi:type="dcterms:W3CDTF">2022-05-13T08:47:45Z</dcterms:created>
  <dcterms:modified xsi:type="dcterms:W3CDTF">2026-03-05T17:13:57Z</dcterms:modified>
</cp:coreProperties>
</file>