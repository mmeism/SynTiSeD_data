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380" windowWidth="29040" windowHeight="1764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164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3"/>
  <sheetViews>
    <sheetView tabSelected="1" workbookViewId="0">
      <selection activeCell="D5" sqref="D5"/>
    </sheetView>
  </sheetViews>
  <sheetFormatPr baseColWidth="10" defaultRowHeight="15"/>
  <cols>
    <col width="36.83203125" customWidth="1" min="1" max="1"/>
    <col width="24.83203125" customWidth="1" min="2" max="2"/>
    <col width="24.5" customWidth="1" min="3" max="3"/>
    <col width="19.33203125" customWidth="1" min="4" max="4"/>
    <col width="10" customWidth="1" min="5" max="5"/>
    <col width="17.6640625" customWidth="1" min="6" max="6"/>
    <col width="18.1640625" customWidth="1" min="7" max="7"/>
    <col width="12.5" customWidth="1" min="8" max="8"/>
    <col width="12.6640625" customWidth="1" min="9" max="9"/>
    <col width="18.83203125" customWidth="1" min="10" max="10"/>
    <col width="14.83203125" customWidth="1" min="11" max="11"/>
    <col width="5.6640625" customWidth="1" min="12" max="12"/>
    <col width="13.33203125" customWidth="1" min="13" max="13"/>
  </cols>
  <sheetData>
    <row r="1">
      <c r="A1" s="1" t="inlineStr">
        <is>
          <t>Konfig:</t>
        </is>
      </c>
      <c r="D1" s="1" t="n"/>
    </row>
    <row r="2">
      <c r="A2" t="inlineStr">
        <is>
          <t>device: kettle</t>
        </is>
      </c>
    </row>
    <row r="3">
      <c r="A3" t="inlineStr">
        <is>
          <t>train: mUPC_run5_dataset.h5</t>
        </is>
      </c>
      <c r="B3" s="2" t="n"/>
      <c r="C3" s="2" t="n"/>
      <c r="E3" s="2" t="n"/>
      <c r="G3" s="2" t="n"/>
      <c r="H3" s="2" t="n"/>
      <c r="I3" s="2" t="n"/>
      <c r="J3" s="5" t="n"/>
      <c r="K3" s="2" t="n"/>
      <c r="L3" s="2" t="n"/>
    </row>
    <row r="4">
      <c r="A4" t="inlineStr">
        <is>
          <t>train_synth (hh_01):</t>
        </is>
      </c>
      <c r="B4" s="2" t="inlineStr">
        <is>
          <t>start_time': '2024-10-01'</t>
        </is>
      </c>
      <c r="C4" s="2" t="inlineStr">
        <is>
          <t>end_time': '2024-10-14'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t="inlineStr">
        <is>
          <t>train_synth (hh_04):</t>
        </is>
      </c>
      <c r="B5" s="2" t="inlineStr">
        <is>
          <t>start_time': '2024-10-01'</t>
        </is>
      </c>
      <c r="C5" s="2" t="inlineStr">
        <is>
          <t>end_time': '2024-10-14'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t="inlineStr">
        <is>
          <t>train_synth (hh_07):</t>
        </is>
      </c>
      <c r="B6" s="2" t="inlineStr">
        <is>
          <t>start_time': '2024-10-01'</t>
        </is>
      </c>
      <c r="C6" s="2" t="inlineStr">
        <is>
          <t>end_time': '2024-10-14'</t>
        </is>
      </c>
      <c r="E6" s="2" t="n"/>
      <c r="F6" s="2" t="n"/>
      <c r="G6" s="4" t="inlineStr">
        <is>
          <t>MAE_total</t>
        </is>
      </c>
      <c r="H6" s="2" t="n"/>
      <c r="I6" s="2" t="n"/>
      <c r="J6" s="2" t="n"/>
      <c r="K6" s="2" t="n"/>
      <c r="L6" s="2" t="n"/>
    </row>
    <row r="7">
      <c r="A7" t="inlineStr">
        <is>
          <t>train_synth (hh_14):</t>
        </is>
      </c>
      <c r="B7" s="2" t="inlineStr">
        <is>
          <t>start_time': '2024-10-01'</t>
        </is>
      </c>
      <c r="C7" s="2" t="inlineStr">
        <is>
          <t>end_time': '2024-10-14'</t>
        </is>
      </c>
      <c r="E7" s="2" t="n"/>
      <c r="F7" t="inlineStr">
        <is>
          <t>RNN_total</t>
        </is>
      </c>
      <c r="G7" s="5">
        <f>SUM(G15,G27,G39)/3</f>
        <v/>
      </c>
      <c r="H7" s="5" t="n"/>
    </row>
    <row r="8">
      <c r="A8" t="inlineStr">
        <is>
          <t>test_real: test_dataset.h5</t>
        </is>
      </c>
      <c r="E8" s="2" t="n"/>
      <c r="F8" t="inlineStr">
        <is>
          <t>WindowGRU_total</t>
        </is>
      </c>
      <c r="G8" s="5">
        <f>SUM(G17,G29,G41)/3</f>
        <v/>
      </c>
      <c r="H8" s="5" t="n"/>
    </row>
    <row r="9">
      <c r="A9" t="inlineStr">
        <is>
          <t>validierung: Validation from training data (15%)</t>
        </is>
      </c>
      <c r="B9" s="2" t="n"/>
      <c r="C9" s="2" t="n"/>
      <c r="F9" t="inlineStr">
        <is>
          <t>DAE_total</t>
        </is>
      </c>
      <c r="G9" s="5" t="inlineStr">
        <is>
          <t>n/a</t>
        </is>
      </c>
      <c r="H9" s="5" t="n"/>
    </row>
    <row r="10">
      <c r="A10" t="inlineStr">
        <is>
          <t>für alle Algorithmen stardart NILM settings</t>
        </is>
      </c>
      <c r="F10" t="inlineStr">
        <is>
          <t>Seq2Seq_total</t>
        </is>
      </c>
      <c r="G10" s="5" t="inlineStr">
        <is>
          <t>n/a</t>
        </is>
      </c>
      <c r="H10" s="5" t="n"/>
    </row>
    <row r="11">
      <c r="F11" t="inlineStr">
        <is>
          <t>Seq2Point_total</t>
        </is>
      </c>
      <c r="G11" s="5">
        <f>SUM(G23,G35,G47)/3</f>
        <v/>
      </c>
      <c r="H11" s="5" t="n"/>
    </row>
    <row r="12">
      <c r="G12" s="5" t="n"/>
      <c r="H12" s="5" t="n"/>
    </row>
    <row r="13">
      <c r="B13" t="inlineStr">
        <is>
          <t>test_dataset.h5</t>
        </is>
      </c>
      <c r="D13" s="1" t="inlineStr">
        <is>
          <t>reale Testdaten(hh_08):</t>
        </is>
      </c>
    </row>
    <row r="14">
      <c r="B14" s="2" t="inlineStr">
        <is>
          <t>buildings': 8</t>
        </is>
      </c>
      <c r="D14" s="1" t="inlineStr">
        <is>
          <t>NILM Algorithms:</t>
        </is>
      </c>
      <c r="E14" s="1" t="inlineStr">
        <is>
          <t>Metric</t>
        </is>
      </c>
      <c r="F14" s="1" t="inlineStr">
        <is>
          <t>Number of exp</t>
        </is>
      </c>
      <c r="G14" s="1" t="inlineStr">
        <is>
          <t>Mean</t>
        </is>
      </c>
      <c r="H14" s="1" t="inlineStr">
        <is>
          <t>Max</t>
        </is>
      </c>
      <c r="I14" s="1" t="inlineStr">
        <is>
          <t>Min</t>
        </is>
      </c>
      <c r="J14" s="1" t="inlineStr">
        <is>
          <t>Standart deviation</t>
        </is>
      </c>
      <c r="K14" s="1" t="inlineStr">
        <is>
          <t>Variance</t>
        </is>
      </c>
      <c r="L14" s="1" t="n"/>
      <c r="M14" s="1" t="inlineStr">
        <is>
          <t>Experiments</t>
        </is>
      </c>
    </row>
    <row r="15">
      <c r="B15" s="2" t="inlineStr">
        <is>
          <t>start_time': '2020-01-03'</t>
        </is>
      </c>
      <c r="D15" t="inlineStr">
        <is>
          <t>RNN</t>
        </is>
      </c>
      <c r="E15" t="inlineStr">
        <is>
          <t>MAE</t>
        </is>
      </c>
      <c r="F15">
        <f>COUNT(M15:GJ15)</f>
        <v/>
      </c>
      <c r="G15" s="5">
        <f>AVERAGE(M15:GJ15)</f>
        <v/>
      </c>
      <c r="H15" s="5">
        <f>MAX(M15:GJ15)</f>
        <v/>
      </c>
      <c r="I15" s="5">
        <f>MIN(M15:GJ15)</f>
        <v/>
      </c>
      <c r="J15" s="5">
        <f>_xlfn.STDEV.P(M15:GJ15)</f>
        <v/>
      </c>
      <c r="K15" s="5">
        <f>_xlfn.VAR.S(M15:GJ15)</f>
        <v/>
      </c>
      <c r="M15" s="5" t="n">
        <v>35.483391</v>
      </c>
      <c r="N15" s="5" t="n">
        <v>51.303314</v>
      </c>
      <c r="O15" s="5" t="n">
        <v>52.302353</v>
      </c>
      <c r="P15" s="5" t="n">
        <v>46.608017</v>
      </c>
      <c r="Q15" s="5" t="n">
        <v>43.847351</v>
      </c>
      <c r="R15" s="5" t="n">
        <v>52.354229</v>
      </c>
      <c r="S15" s="5" t="n">
        <v>51.138313</v>
      </c>
      <c r="T15" s="5" t="n">
        <v>54.727795</v>
      </c>
      <c r="U15" s="5" t="n">
        <v>47.841629</v>
      </c>
      <c r="V15" s="5" t="n">
        <v>44.145393</v>
      </c>
      <c r="W15" s="5" t="n">
        <v>52.613499</v>
      </c>
      <c r="X15" s="5" t="n">
        <v>55.686619</v>
      </c>
      <c r="Y15" s="5" t="n">
        <v>42.560223</v>
      </c>
      <c r="Z15" s="5" t="n">
        <v>56.385559</v>
      </c>
      <c r="AA15" s="5" t="n">
        <v>44.275215</v>
      </c>
      <c r="AB15" s="5" t="n">
        <v>60.72496</v>
      </c>
      <c r="AC15" s="5" t="n">
        <v>49.800293</v>
      </c>
      <c r="AD15" s="5" t="n">
        <v>39.605312</v>
      </c>
      <c r="AE15" s="5" t="n">
        <v>44.138004</v>
      </c>
      <c r="AF15" s="5" t="n">
        <v>36.484058</v>
      </c>
      <c r="AG15" s="5" t="n">
        <v>54.699963</v>
      </c>
      <c r="AH15" s="5" t="n">
        <v>50.251827</v>
      </c>
      <c r="AI15" s="5" t="n">
        <v>41.452419</v>
      </c>
      <c r="AJ15" s="5" t="n">
        <v>49.196522</v>
      </c>
      <c r="AK15" s="5" t="n">
        <v>51.037163</v>
      </c>
      <c r="AL15" s="5" t="n">
        <v>37.348633</v>
      </c>
      <c r="AM15" s="5" t="n">
        <v>35.190323</v>
      </c>
      <c r="AN15" s="5" t="n">
        <v>38.974991</v>
      </c>
      <c r="AO15" s="5" t="n">
        <v>40.679707</v>
      </c>
      <c r="AP15" s="5" t="n">
        <v>36.977612</v>
      </c>
      <c r="AQ15" s="5" t="n">
        <v>46.693707</v>
      </c>
      <c r="AR15" s="5" t="n">
        <v>44.597294</v>
      </c>
      <c r="AS15" s="5" t="n">
        <v>35.486141</v>
      </c>
      <c r="AT15" s="5" t="n">
        <v>46.42313</v>
      </c>
      <c r="AU15" s="5" t="n">
        <v>36.850212</v>
      </c>
      <c r="AV15" s="5" t="n">
        <v>33.826168</v>
      </c>
      <c r="AW15" s="5" t="n">
        <v>36.236332</v>
      </c>
      <c r="AX15" s="5" t="n">
        <v>38.254486</v>
      </c>
      <c r="AY15" s="5" t="n">
        <v>36.449711</v>
      </c>
      <c r="AZ15" s="5" t="n">
        <v>42.347496</v>
      </c>
      <c r="BA15" s="5" t="n">
        <v>37.901405</v>
      </c>
      <c r="BB15" s="5" t="n">
        <v>36.207134</v>
      </c>
      <c r="BC15" s="5" t="n">
        <v>33.94854</v>
      </c>
      <c r="BD15" s="5" t="n">
        <v>38.220707</v>
      </c>
      <c r="BE15" s="5" t="n">
        <v>36.383392</v>
      </c>
      <c r="BF15" s="5" t="n">
        <v>35.666386</v>
      </c>
      <c r="BG15" s="5" t="n">
        <v>38.812546</v>
      </c>
      <c r="BH15" s="5" t="n">
        <v>45.604591</v>
      </c>
      <c r="BI15" s="5" t="n">
        <v>33.034782</v>
      </c>
      <c r="BJ15" s="5" t="n">
        <v>34.115837</v>
      </c>
      <c r="BK15" s="5" t="n">
        <v>39.503597</v>
      </c>
      <c r="BL15" s="5" t="n">
        <v>30.242558</v>
      </c>
      <c r="BM15" s="5" t="n">
        <v>34.722042</v>
      </c>
      <c r="BN15" s="5" t="n">
        <v>41.320614</v>
      </c>
      <c r="BO15" s="5" t="n">
        <v>32.461773</v>
      </c>
      <c r="BP15" s="5" t="n">
        <v>42.745621</v>
      </c>
      <c r="BQ15" s="5" t="n">
        <v>35.382435</v>
      </c>
      <c r="BR15" s="5" t="n">
        <v>41.675652</v>
      </c>
      <c r="BS15" s="5" t="n">
        <v>32.380161</v>
      </c>
      <c r="BT15" s="5" t="n">
        <v>32.935551</v>
      </c>
      <c r="BU15" s="5" t="n">
        <v>38.274967</v>
      </c>
      <c r="BV15" s="5" t="n">
        <v>35.180717</v>
      </c>
      <c r="BW15" s="5" t="n">
        <v>32.919716</v>
      </c>
      <c r="BX15" s="5" t="n">
        <v>34.869545</v>
      </c>
      <c r="BY15" s="5" t="n">
        <v>38.480465</v>
      </c>
      <c r="BZ15" s="5" t="n">
        <v>33.911598</v>
      </c>
      <c r="CA15" s="5" t="n">
        <v>34.829872</v>
      </c>
      <c r="CB15" s="5" t="n">
        <v>35.463486</v>
      </c>
      <c r="CC15" s="5" t="n">
        <v>33.736233</v>
      </c>
      <c r="CD15" s="5" t="n">
        <v>39.869431</v>
      </c>
      <c r="CE15" s="5" t="n">
        <v>29.747322</v>
      </c>
      <c r="CF15" s="5" t="n">
        <v>36.838448</v>
      </c>
      <c r="CG15" s="5" t="n">
        <v>36.840546</v>
      </c>
      <c r="CH15" s="5" t="n">
        <v>38.609596</v>
      </c>
      <c r="CI15" s="5" t="n">
        <v>31.97138</v>
      </c>
      <c r="CJ15" s="5" t="n">
        <v>30.680407</v>
      </c>
      <c r="CK15" s="5" t="n">
        <v>33.824905</v>
      </c>
      <c r="CL15" s="5" t="n">
        <v>33.300747</v>
      </c>
      <c r="CM15" s="5" t="n">
        <v>32.585743</v>
      </c>
      <c r="CN15" s="5" t="n">
        <v>31.466808</v>
      </c>
      <c r="CO15" s="5" t="n">
        <v>33.582733</v>
      </c>
      <c r="CP15" s="5" t="n">
        <v>34.515663</v>
      </c>
      <c r="CQ15" s="5" t="n">
        <v>35.738365</v>
      </c>
      <c r="CR15" s="5" t="n">
        <v>37.949425</v>
      </c>
      <c r="CS15" s="5" t="n">
        <v>33.618034</v>
      </c>
      <c r="CT15" s="5" t="n">
        <v>34.389095</v>
      </c>
      <c r="CU15" s="5" t="n">
        <v>35.858879</v>
      </c>
      <c r="CV15" s="5" t="n">
        <v>32.298409</v>
      </c>
      <c r="CW15" s="5" t="n">
        <v>31.086058</v>
      </c>
      <c r="CX15" s="5" t="n">
        <v>35.012501</v>
      </c>
      <c r="CY15" s="5" t="n">
        <v>34.33868</v>
      </c>
      <c r="CZ15" s="5" t="n">
        <v>30.632336</v>
      </c>
      <c r="DA15" s="5" t="n">
        <v>30.753515</v>
      </c>
      <c r="DB15" s="5" t="n">
        <v>41.274986</v>
      </c>
      <c r="DC15" s="5" t="n">
        <v>39.616943</v>
      </c>
      <c r="DD15" s="5" t="n">
        <v>36.391357</v>
      </c>
      <c r="DE15" s="5" t="n">
        <v>32.977276</v>
      </c>
      <c r="DF15" s="5" t="n">
        <v>36.719727</v>
      </c>
      <c r="DG15" s="5" t="n">
        <v>35.898769</v>
      </c>
      <c r="DH15" s="5" t="n">
        <v>29.967289</v>
      </c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</row>
    <row r="16">
      <c r="B16" s="2" t="inlineStr">
        <is>
          <t>start_time': '2020-01-31'</t>
        </is>
      </c>
      <c r="G16" s="5" t="n"/>
      <c r="H16" s="5" t="n"/>
      <c r="I16" s="5" t="n"/>
      <c r="J16" s="5" t="n"/>
      <c r="K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</row>
    <row r="17">
      <c r="D17" t="inlineStr">
        <is>
          <t>WindowGRU</t>
        </is>
      </c>
      <c r="E17" t="inlineStr">
        <is>
          <t>MAE</t>
        </is>
      </c>
      <c r="F17">
        <f>COUNT(M17:GJ17)</f>
        <v/>
      </c>
      <c r="G17" s="5">
        <f>AVERAGE(M17:GJ17)</f>
        <v/>
      </c>
      <c r="H17" s="5">
        <f>MAX(M17:GJ17)</f>
        <v/>
      </c>
      <c r="I17" s="5">
        <f>MIN(M17:GJ17)</f>
        <v/>
      </c>
      <c r="J17" s="5">
        <f>_xlfn.STDEV.P(M17:GJ17)</f>
        <v/>
      </c>
      <c r="K17" s="5">
        <f>_xlfn.VAR.S(M17:GJ17)</f>
        <v/>
      </c>
      <c r="M17" s="5" t="n">
        <v>26.348196</v>
      </c>
      <c r="N17" s="5" t="n">
        <v>29.549322</v>
      </c>
      <c r="O17" s="5" t="n">
        <v>36.112774</v>
      </c>
      <c r="P17" s="5" t="n">
        <v>24.551424</v>
      </c>
      <c r="Q17" s="5" t="n">
        <v>32.964676</v>
      </c>
      <c r="R17" s="5" t="n">
        <v>29.016214</v>
      </c>
      <c r="S17" s="5" t="n">
        <v>24.458467</v>
      </c>
      <c r="T17" s="5" t="n">
        <v>29.731054</v>
      </c>
      <c r="U17" s="5" t="n">
        <v>26.034252</v>
      </c>
      <c r="V17" s="5" t="n">
        <v>41.105423</v>
      </c>
      <c r="W17" s="5" t="n">
        <v>24.369192</v>
      </c>
      <c r="X17" s="5" t="n">
        <v>25.463762</v>
      </c>
      <c r="Y17" s="5" t="n">
        <v>28.665276</v>
      </c>
      <c r="Z17" s="5" t="n">
        <v>25.009289</v>
      </c>
      <c r="AA17" s="5" t="n">
        <v>29.883892</v>
      </c>
      <c r="AB17" s="5" t="n">
        <v>26.708532</v>
      </c>
      <c r="AC17" s="5" t="n">
        <v>23.815054</v>
      </c>
      <c r="AD17" s="5" t="n">
        <v>29.473518</v>
      </c>
      <c r="AE17" s="5" t="n">
        <v>33.544651</v>
      </c>
      <c r="AF17" s="5" t="n">
        <v>27.777048</v>
      </c>
      <c r="AG17" s="5" t="n">
        <v>24.043226</v>
      </c>
      <c r="AH17" s="5" t="n">
        <v>28.674644</v>
      </c>
      <c r="AI17" s="5" t="n">
        <v>29.245256</v>
      </c>
      <c r="AJ17" s="5" t="n">
        <v>23.660072</v>
      </c>
      <c r="AK17" s="5" t="n">
        <v>25.850258</v>
      </c>
      <c r="AL17" s="5" t="n">
        <v>24.925495</v>
      </c>
      <c r="AM17" s="5" t="n">
        <v>34.782757</v>
      </c>
      <c r="AN17" s="5" t="n">
        <v>24.528784</v>
      </c>
      <c r="AO17" s="5" t="n">
        <v>25.573133</v>
      </c>
      <c r="AP17" s="5" t="n">
        <v>22.909922</v>
      </c>
      <c r="AQ17" s="5" t="n">
        <v>27.424093</v>
      </c>
      <c r="AR17" s="5" t="n">
        <v>30.276409</v>
      </c>
      <c r="AS17" s="5" t="n">
        <v>27.951384</v>
      </c>
      <c r="AT17" s="5" t="n">
        <v>24.36739</v>
      </c>
      <c r="AU17" s="5" t="n">
        <v>23.289347</v>
      </c>
      <c r="AV17" s="5" t="n">
        <v>21.728628</v>
      </c>
      <c r="AW17" s="5" t="n">
        <v>27.274223</v>
      </c>
      <c r="AX17" s="5" t="n">
        <v>27.932257</v>
      </c>
      <c r="AY17" s="5" t="n">
        <v>25.58099</v>
      </c>
      <c r="AZ17" s="5" t="n">
        <v>21.340641</v>
      </c>
      <c r="BA17" s="5" t="n">
        <v>27.598114</v>
      </c>
      <c r="BB17" s="5" t="n">
        <v>25.485437</v>
      </c>
      <c r="BC17" s="5" t="n">
        <v>28.210316</v>
      </c>
      <c r="BD17" s="5" t="n">
        <v>28.142094</v>
      </c>
      <c r="BE17" s="5" t="n">
        <v>28.841238</v>
      </c>
      <c r="BF17" s="5" t="n">
        <v>39.385525</v>
      </c>
      <c r="BG17" s="5" t="n">
        <v>24.092556</v>
      </c>
      <c r="BH17" s="5" t="n">
        <v>25.229067</v>
      </c>
      <c r="BI17" s="5" t="n">
        <v>30.133429</v>
      </c>
      <c r="BJ17" s="5" t="n">
        <v>21.077799</v>
      </c>
      <c r="BK17" s="5" t="n">
        <v>26.701895</v>
      </c>
      <c r="BL17" s="5" t="n">
        <v>29.325359</v>
      </c>
      <c r="BM17" s="5" t="n">
        <v>23.687943</v>
      </c>
      <c r="BN17" s="5" t="n">
        <v>22.900368</v>
      </c>
      <c r="BO17" s="5" t="n">
        <v>21.894321</v>
      </c>
      <c r="BP17" s="5" t="n">
        <v>23.11727</v>
      </c>
      <c r="BQ17" s="5" t="n">
        <v>25.232193</v>
      </c>
      <c r="BR17" s="5" t="n">
        <v>26.944592</v>
      </c>
      <c r="BS17" s="5" t="n">
        <v>18.970116</v>
      </c>
      <c r="BT17" s="5" t="n">
        <v>26.646349</v>
      </c>
      <c r="BU17" s="5" t="n">
        <v>22.513121</v>
      </c>
      <c r="BV17" s="5" t="n">
        <v>23.343477</v>
      </c>
      <c r="BW17" s="5" t="n">
        <v>29.357605</v>
      </c>
      <c r="BX17" s="5" t="n">
        <v>27.028393</v>
      </c>
      <c r="BY17" s="5" t="n">
        <v>22.144281</v>
      </c>
      <c r="BZ17" s="5" t="n">
        <v>25.734331</v>
      </c>
      <c r="CA17" s="5" t="n">
        <v>23.905205</v>
      </c>
      <c r="CB17" s="5" t="n">
        <v>30.471992</v>
      </c>
      <c r="CC17" s="5" t="n">
        <v>28.135086</v>
      </c>
      <c r="CD17" s="5" t="n">
        <v>23.541952</v>
      </c>
      <c r="CE17" s="5" t="n">
        <v>26.240093</v>
      </c>
      <c r="CF17" s="5" t="n">
        <v>22.193991</v>
      </c>
      <c r="CG17" s="5" t="n">
        <v>24.564814</v>
      </c>
      <c r="CH17" s="5" t="n">
        <v>24.18235</v>
      </c>
      <c r="CI17" s="5" t="n">
        <v>23.356277</v>
      </c>
      <c r="CJ17" s="5" t="n">
        <v>21.788004</v>
      </c>
      <c r="CK17" s="5" t="n">
        <v>25.149925</v>
      </c>
      <c r="CL17" s="5" t="n">
        <v>24.241581</v>
      </c>
      <c r="CM17" s="5" t="n">
        <v>22.195311</v>
      </c>
      <c r="CN17" s="5" t="n">
        <v>24.441013</v>
      </c>
      <c r="CO17" s="5" t="n">
        <v>26.20215</v>
      </c>
      <c r="CP17" s="5" t="n">
        <v>28.626829</v>
      </c>
      <c r="CQ17" s="5" t="n">
        <v>21.206312</v>
      </c>
      <c r="CR17" s="5" t="n">
        <v>23.525494</v>
      </c>
      <c r="CS17" s="5" t="n">
        <v>25.634457</v>
      </c>
      <c r="CT17" s="5" t="n">
        <v>25.300648</v>
      </c>
      <c r="CU17" s="5" t="n">
        <v>25.411732</v>
      </c>
      <c r="CV17" s="5" t="n">
        <v>30.094276</v>
      </c>
      <c r="CW17" s="5" t="n">
        <v>26.527103</v>
      </c>
      <c r="CX17" s="5" t="n">
        <v>23.504738</v>
      </c>
      <c r="CY17" s="5" t="n">
        <v>24.572523</v>
      </c>
      <c r="CZ17" s="5" t="n">
        <v>20.688704</v>
      </c>
      <c r="DA17" s="5" t="n">
        <v>26.429398</v>
      </c>
      <c r="DB17" s="5" t="n">
        <v>22.581638</v>
      </c>
      <c r="DC17" s="5" t="n">
        <v>25.132517</v>
      </c>
      <c r="DD17" s="5" t="n">
        <v>26.986364</v>
      </c>
      <c r="DE17" s="5" t="n">
        <v>24.816364</v>
      </c>
      <c r="DF17" s="5" t="n">
        <v>25.427326</v>
      </c>
      <c r="DG17" s="5" t="n">
        <v>21.572702</v>
      </c>
      <c r="DH17" s="5" t="n">
        <v>24.222942</v>
      </c>
      <c r="DI17" s="5" t="n"/>
      <c r="DJ17" s="5" t="n"/>
      <c r="DK17" s="5" t="n"/>
      <c r="DL17" s="5" t="n"/>
      <c r="DM17" s="5" t="n"/>
      <c r="DO17" s="5" t="n"/>
      <c r="DT17" s="5" t="n"/>
      <c r="DU17" s="5" t="n"/>
      <c r="DX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</row>
    <row r="18">
      <c r="G18" s="5" t="n"/>
      <c r="H18" s="5" t="n"/>
      <c r="I18" s="5" t="n"/>
      <c r="J18" s="5" t="n"/>
      <c r="K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</row>
    <row r="19">
      <c r="D19" t="inlineStr">
        <is>
          <t>DAE</t>
        </is>
      </c>
      <c r="E19" t="inlineStr">
        <is>
          <t>MAE</t>
        </is>
      </c>
      <c r="F19" t="n">
        <v>0</v>
      </c>
      <c r="G19" s="5" t="inlineStr">
        <is>
          <t>n/a</t>
        </is>
      </c>
      <c r="H19" s="5" t="inlineStr">
        <is>
          <t>n/a</t>
        </is>
      </c>
      <c r="I19" s="5" t="inlineStr">
        <is>
          <t>n/a</t>
        </is>
      </c>
      <c r="J19" s="5" t="inlineStr">
        <is>
          <t>n/a</t>
        </is>
      </c>
      <c r="K19" s="5" t="inlineStr">
        <is>
          <t>n/a</t>
        </is>
      </c>
      <c r="M19" s="5" t="inlineStr">
        <is>
          <t>not computed</t>
        </is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</row>
    <row r="20">
      <c r="G20" s="5" t="n"/>
      <c r="H20" s="5" t="n"/>
      <c r="I20" s="5" t="n"/>
      <c r="J20" s="5" t="n"/>
      <c r="K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</row>
    <row r="21">
      <c r="D21" t="inlineStr">
        <is>
          <t>Seq2Seq</t>
        </is>
      </c>
      <c r="E21" t="inlineStr">
        <is>
          <t>MAE</t>
        </is>
      </c>
      <c r="F21" t="n">
        <v>0</v>
      </c>
      <c r="G21" s="5" t="inlineStr">
        <is>
          <t>n/a</t>
        </is>
      </c>
      <c r="H21" s="5" t="inlineStr">
        <is>
          <t>n/a</t>
        </is>
      </c>
      <c r="I21" s="5" t="inlineStr">
        <is>
          <t>n/a</t>
        </is>
      </c>
      <c r="J21" s="5" t="inlineStr">
        <is>
          <t>n/a</t>
        </is>
      </c>
      <c r="K21" s="5" t="inlineStr">
        <is>
          <t>n/a</t>
        </is>
      </c>
      <c r="M21" s="5" t="inlineStr">
        <is>
          <t>not computed</t>
        </is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</row>
    <row r="22">
      <c r="G22" s="5" t="n"/>
      <c r="H22" s="5" t="n"/>
      <c r="I22" s="5" t="n"/>
      <c r="J22" s="5" t="n"/>
      <c r="K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</row>
    <row r="23">
      <c r="D23" t="inlineStr">
        <is>
          <t>Seq2Point</t>
        </is>
      </c>
      <c r="E23" t="inlineStr">
        <is>
          <t>MAE</t>
        </is>
      </c>
      <c r="F23">
        <f>COUNT(M23:GJ23)</f>
        <v/>
      </c>
      <c r="G23" s="5">
        <f>AVERAGE(M23:GJ23)</f>
        <v/>
      </c>
      <c r="H23" s="5">
        <f>MAX(M23:GJ23)</f>
        <v/>
      </c>
      <c r="I23" s="5">
        <f>MIN(M23:GJ23)</f>
        <v/>
      </c>
      <c r="J23" s="5">
        <f>_xlfn.STDEV.P(M23:GJ23)</f>
        <v/>
      </c>
      <c r="K23" s="5">
        <f>_xlfn.VAR.S(M23:GJ23)</f>
        <v/>
      </c>
      <c r="M23" s="5" t="n">
        <v>27.145452</v>
      </c>
      <c r="N23" s="5" t="n">
        <v>26.897518</v>
      </c>
      <c r="O23" s="5" t="n">
        <v>32.159206</v>
      </c>
      <c r="P23" s="5" t="n">
        <v>25.213707</v>
      </c>
      <c r="Q23" s="5" t="n">
        <v>27.877449</v>
      </c>
      <c r="R23" s="5" t="n">
        <v>31.848051</v>
      </c>
      <c r="S23" s="5" t="n">
        <v>27.645622</v>
      </c>
      <c r="T23" s="5" t="n">
        <v>23.313896</v>
      </c>
      <c r="U23" s="5" t="n">
        <v>28.057421</v>
      </c>
      <c r="V23" s="5" t="n">
        <v>26.03747</v>
      </c>
      <c r="W23" s="5" t="n">
        <v>31.568018</v>
      </c>
      <c r="X23" s="5" t="n">
        <v>29.065153</v>
      </c>
      <c r="Y23" s="5" t="n">
        <v>27.886024</v>
      </c>
      <c r="Z23" s="5" t="n">
        <v>30.139858</v>
      </c>
      <c r="AA23" s="5" t="n">
        <v>25.312389</v>
      </c>
      <c r="AB23" s="5" t="n">
        <v>24.814852</v>
      </c>
      <c r="AC23" s="5" t="n">
        <v>31.897993</v>
      </c>
      <c r="AD23" s="5" t="n">
        <v>23.304081</v>
      </c>
      <c r="AE23" s="5" t="n">
        <v>29.098391</v>
      </c>
      <c r="AF23" s="5" t="n">
        <v>31.842726</v>
      </c>
      <c r="AG23" s="5" t="n">
        <v>27.500559</v>
      </c>
      <c r="AH23" s="5" t="n">
        <v>28.74925</v>
      </c>
      <c r="AI23" s="5" t="n">
        <v>32.412136</v>
      </c>
      <c r="AJ23" s="5" t="n">
        <v>30.741785</v>
      </c>
      <c r="AK23" s="5" t="n">
        <v>27.065462</v>
      </c>
      <c r="AL23" s="5" t="n">
        <v>27.369192</v>
      </c>
      <c r="AM23" s="5" t="n">
        <v>27.727839</v>
      </c>
      <c r="AN23" s="5" t="n">
        <v>27.00778</v>
      </c>
      <c r="AO23" s="5" t="n">
        <v>31.212856</v>
      </c>
      <c r="AP23" s="5" t="n">
        <v>27.409283</v>
      </c>
      <c r="AQ23" s="5" t="n">
        <v>29.923428</v>
      </c>
      <c r="AR23" s="5" t="n">
        <v>30.177271</v>
      </c>
      <c r="AS23" s="5" t="n">
        <v>25.299894</v>
      </c>
      <c r="AT23" s="5" t="n">
        <v>25.057896</v>
      </c>
      <c r="AU23" s="5" t="n">
        <v>26.313295</v>
      </c>
      <c r="AV23" s="5" t="n">
        <v>26.133726</v>
      </c>
      <c r="AW23" s="5" t="n">
        <v>27.657785</v>
      </c>
      <c r="AX23" s="5" t="n">
        <v>28.801365</v>
      </c>
      <c r="AY23" s="5" t="n">
        <v>26.257509</v>
      </c>
      <c r="AZ23" s="5" t="n">
        <v>27.882561</v>
      </c>
      <c r="BA23" s="5" t="n">
        <v>27.514681</v>
      </c>
      <c r="BB23" s="5" t="n">
        <v>29.983139</v>
      </c>
      <c r="BC23" s="5" t="n">
        <v>29.746674</v>
      </c>
      <c r="BD23" s="5" t="n">
        <v>31.64447</v>
      </c>
      <c r="BE23" s="5" t="n">
        <v>28.751324</v>
      </c>
      <c r="BF23" s="5" t="n">
        <v>26.042425</v>
      </c>
      <c r="BG23" s="5" t="n">
        <v>31.077436</v>
      </c>
      <c r="BH23" s="5" t="n">
        <v>29.415751</v>
      </c>
      <c r="BI23" s="5" t="n">
        <v>30.167618</v>
      </c>
      <c r="BJ23" s="5" t="n">
        <v>27.364258</v>
      </c>
      <c r="BK23" s="5" t="n">
        <v>29.478376</v>
      </c>
      <c r="BL23" s="5" t="n">
        <v>24.624451</v>
      </c>
      <c r="BM23" s="5" t="n">
        <v>23.946272</v>
      </c>
      <c r="BN23" s="5" t="n">
        <v>28.311138</v>
      </c>
      <c r="BO23" s="5" t="n">
        <v>25.703203</v>
      </c>
      <c r="BP23" s="5" t="n">
        <v>27.452934</v>
      </c>
      <c r="BQ23" s="5" t="n">
        <v>26.120949</v>
      </c>
      <c r="BR23" s="5" t="n">
        <v>28.03685</v>
      </c>
      <c r="BS23" s="5" t="n">
        <v>27.581827</v>
      </c>
      <c r="BT23" s="5" t="n">
        <v>29.368668</v>
      </c>
      <c r="BU23" s="5" t="n">
        <v>23.24365</v>
      </c>
      <c r="BV23" s="5" t="n">
        <v>29.158215</v>
      </c>
      <c r="BW23" s="5" t="n">
        <v>27.71113</v>
      </c>
      <c r="BX23" s="5" t="n">
        <v>30.264948</v>
      </c>
      <c r="BY23" s="5" t="n">
        <v>29.521908</v>
      </c>
      <c r="BZ23" s="5" t="n">
        <v>25.794519</v>
      </c>
      <c r="CA23" s="5" t="n">
        <v>25.832127</v>
      </c>
      <c r="CB23" s="5" t="n">
        <v>32.465858</v>
      </c>
      <c r="CC23" s="5" t="n">
        <v>27.249735</v>
      </c>
      <c r="CD23" s="5" t="n">
        <v>29.372114</v>
      </c>
      <c r="CE23" s="5" t="n">
        <v>27.16094</v>
      </c>
      <c r="CF23" s="5" t="n">
        <v>27.116636</v>
      </c>
      <c r="CG23" s="5" t="n">
        <v>32.299213</v>
      </c>
      <c r="CH23" s="5" t="n">
        <v>25.725241</v>
      </c>
      <c r="CI23" s="5" t="n">
        <v>29.756474</v>
      </c>
      <c r="CJ23" s="5" t="n">
        <v>30.277884</v>
      </c>
      <c r="CK23" s="5" t="n">
        <v>25.397734</v>
      </c>
      <c r="CL23" s="5" t="n">
        <v>24.506651</v>
      </c>
      <c r="CM23" s="5" t="n">
        <v>26.382486</v>
      </c>
      <c r="CN23" s="5" t="n">
        <v>25.761662</v>
      </c>
      <c r="CO23" s="5" t="n">
        <v>24.956079</v>
      </c>
      <c r="CP23" s="5" t="n">
        <v>26.35914</v>
      </c>
      <c r="CQ23" s="5" t="n">
        <v>28.380938</v>
      </c>
      <c r="CR23" s="5" t="n">
        <v>25.901531</v>
      </c>
      <c r="CS23" s="5" t="n">
        <v>26.392595</v>
      </c>
      <c r="CT23" s="5" t="n">
        <v>24.12644</v>
      </c>
      <c r="CU23" s="5" t="n">
        <v>27.490908</v>
      </c>
      <c r="CV23" s="5" t="n">
        <v>33.971142</v>
      </c>
      <c r="CW23" s="5" t="n">
        <v>26.621466</v>
      </c>
      <c r="CX23" s="5" t="n">
        <v>25.538656</v>
      </c>
      <c r="CY23" s="5" t="n">
        <v>29.74684</v>
      </c>
      <c r="CZ23" s="5" t="n">
        <v>24.726215</v>
      </c>
      <c r="DA23" s="5" t="n">
        <v>25.877565</v>
      </c>
      <c r="DB23" s="5" t="n">
        <v>28.747282</v>
      </c>
      <c r="DC23" s="5" t="n">
        <v>29.647425</v>
      </c>
      <c r="DD23" s="5" t="n">
        <v>24.436026</v>
      </c>
      <c r="DE23" s="5" t="n">
        <v>27.15085</v>
      </c>
      <c r="DF23" s="5" t="n">
        <v>31.269814</v>
      </c>
      <c r="DG23" s="5" t="n">
        <v>34.631325</v>
      </c>
      <c r="DH23" s="5" t="n">
        <v>26.307129</v>
      </c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  <c r="GP23" s="5" t="n"/>
      <c r="GQ23" s="5" t="n"/>
      <c r="GR23" s="5" t="n"/>
      <c r="GS23" s="5" t="n"/>
      <c r="GT23" s="5" t="n"/>
      <c r="GU23" s="5" t="n"/>
      <c r="GV23" s="5" t="n"/>
      <c r="GW23" s="5" t="n"/>
      <c r="GX23" s="5" t="n"/>
      <c r="GY23" s="5" t="n"/>
    </row>
    <row r="24"/>
    <row r="25">
      <c r="D25" s="1" t="n"/>
    </row>
    <row r="26">
      <c r="B26" t="inlineStr">
        <is>
          <t>test_dataset.h5</t>
        </is>
      </c>
      <c r="D26" s="1" t="inlineStr">
        <is>
          <t>reale Testdaten(hh_11):</t>
        </is>
      </c>
    </row>
    <row r="27">
      <c r="B27" s="2" t="inlineStr">
        <is>
          <t>buildings': 11</t>
        </is>
      </c>
      <c r="D27" t="inlineStr">
        <is>
          <t>RNN</t>
        </is>
      </c>
      <c r="E27" t="inlineStr">
        <is>
          <t>MAE</t>
        </is>
      </c>
      <c r="F27">
        <f>COUNT(M27:GJ27)</f>
        <v/>
      </c>
      <c r="G27" s="5">
        <f>AVERAGE(M27:GJ27)</f>
        <v/>
      </c>
      <c r="H27" s="5">
        <f>MAX(M27:GJ27)</f>
        <v/>
      </c>
      <c r="I27" s="5">
        <f>MIN(M27:GJ27)</f>
        <v/>
      </c>
      <c r="J27" s="5">
        <f>_xlfn.STDEV.P(M27:GJ27)</f>
        <v/>
      </c>
      <c r="K27" s="5">
        <f>_xlfn.VAR.S(M27:GJ27)</f>
        <v/>
      </c>
      <c r="M27" s="5" t="n">
        <v>12.724343</v>
      </c>
      <c r="N27" s="5" t="n">
        <v>15.670832</v>
      </c>
      <c r="O27" s="5" t="n">
        <v>16.119505</v>
      </c>
      <c r="P27" s="5" t="n">
        <v>15.221758</v>
      </c>
      <c r="Q27" s="5" t="n">
        <v>16.338951</v>
      </c>
      <c r="R27" s="5" t="n">
        <v>24.262997</v>
      </c>
      <c r="S27" s="5" t="n">
        <v>16.172548</v>
      </c>
      <c r="T27" s="5" t="n">
        <v>18.411617</v>
      </c>
      <c r="U27" s="5" t="n">
        <v>15.635402</v>
      </c>
      <c r="V27" s="5" t="n">
        <v>16.044075</v>
      </c>
      <c r="W27" s="5" t="n">
        <v>15.697796</v>
      </c>
      <c r="X27" s="5" t="n">
        <v>18.644758</v>
      </c>
      <c r="Y27" s="5" t="n">
        <v>12.958412</v>
      </c>
      <c r="Z27" s="5" t="n">
        <v>18.740171</v>
      </c>
      <c r="AA27" s="5" t="n">
        <v>13.361562</v>
      </c>
      <c r="AB27" s="5" t="n">
        <v>17.062611</v>
      </c>
      <c r="AC27" s="5" t="n">
        <v>19.216181</v>
      </c>
      <c r="AD27" s="5" t="n">
        <v>10.219573</v>
      </c>
      <c r="AE27" s="5" t="n">
        <v>14.7</v>
      </c>
      <c r="AF27" s="5" t="n">
        <v>11.373419</v>
      </c>
      <c r="AG27" s="5" t="n">
        <v>15.924204</v>
      </c>
      <c r="AH27" s="5" t="n">
        <v>14.367704</v>
      </c>
      <c r="AI27" s="5" t="n">
        <v>14.402055</v>
      </c>
      <c r="AJ27" s="5" t="n">
        <v>15.074572</v>
      </c>
      <c r="AK27" s="5" t="n">
        <v>12.918209</v>
      </c>
      <c r="AL27" s="5" t="n">
        <v>16.908188</v>
      </c>
      <c r="AM27" s="5" t="n">
        <v>11.078417</v>
      </c>
      <c r="AN27" s="5" t="n">
        <v>11.610575</v>
      </c>
      <c r="AO27" s="5" t="n">
        <v>12.857292</v>
      </c>
      <c r="AP27" s="5" t="n">
        <v>11.86104</v>
      </c>
      <c r="AQ27" s="5" t="n">
        <v>13.590096</v>
      </c>
      <c r="AR27" s="5" t="n">
        <v>13.758001</v>
      </c>
      <c r="AS27" s="5" t="n">
        <v>12.120437</v>
      </c>
      <c r="AT27" s="5" t="n">
        <v>14.460764</v>
      </c>
      <c r="AU27" s="5" t="n">
        <v>13.45276</v>
      </c>
      <c r="AV27" s="5" t="n">
        <v>10.743627</v>
      </c>
      <c r="AW27" s="5" t="n">
        <v>12.228378</v>
      </c>
      <c r="AX27" s="5" t="n">
        <v>11.612885</v>
      </c>
      <c r="AY27" s="5" t="n">
        <v>10.416192</v>
      </c>
      <c r="AZ27" s="5" t="n">
        <v>12.074133</v>
      </c>
      <c r="BA27" s="5" t="n">
        <v>11.577645</v>
      </c>
      <c r="BB27" s="5" t="n">
        <v>11.742311</v>
      </c>
      <c r="BC27" s="5" t="n">
        <v>11.176451</v>
      </c>
      <c r="BD27" s="5" t="n">
        <v>12.903268</v>
      </c>
      <c r="BE27" s="5" t="n">
        <v>15.46944</v>
      </c>
      <c r="BF27" s="5" t="n">
        <v>11.647664</v>
      </c>
      <c r="BG27" s="5" t="n">
        <v>12.177511</v>
      </c>
      <c r="BH27" s="5" t="n">
        <v>16.181875</v>
      </c>
      <c r="BI27" s="5" t="n">
        <v>10.363537</v>
      </c>
      <c r="BJ27" s="5" t="n">
        <v>12.817023</v>
      </c>
      <c r="BK27" s="5" t="n">
        <v>20.494486</v>
      </c>
      <c r="BL27" s="5" t="n">
        <v>11.655622</v>
      </c>
      <c r="BM27" s="5" t="n">
        <v>14.48577</v>
      </c>
      <c r="BN27" s="5" t="n">
        <v>11.657475</v>
      </c>
      <c r="BO27" s="5" t="n">
        <v>11.164932</v>
      </c>
      <c r="BP27" s="5" t="n">
        <v>18.672628</v>
      </c>
      <c r="BQ27" s="5" t="n">
        <v>11.921792</v>
      </c>
      <c r="BR27" s="5" t="n">
        <v>14.861481</v>
      </c>
      <c r="BS27" s="5" t="n">
        <v>10.766344</v>
      </c>
      <c r="BT27" s="5" t="n">
        <v>14.806111</v>
      </c>
      <c r="BU27" s="5" t="n">
        <v>11.834121</v>
      </c>
      <c r="BV27" s="5" t="n">
        <v>11.372607</v>
      </c>
      <c r="BW27" s="5" t="n">
        <v>11.562124</v>
      </c>
      <c r="BX27" s="5" t="n">
        <v>13.208819</v>
      </c>
      <c r="BY27" s="5" t="n">
        <v>11.239489</v>
      </c>
      <c r="BZ27" s="5" t="n">
        <v>10.733601</v>
      </c>
      <c r="CA27" s="5" t="n">
        <v>11.232122</v>
      </c>
      <c r="CB27" s="5" t="n">
        <v>12.719074</v>
      </c>
      <c r="CC27" s="5" t="n">
        <v>11.058507</v>
      </c>
      <c r="CD27" s="5" t="n">
        <v>12.240722</v>
      </c>
      <c r="CE27" s="5" t="n">
        <v>10.579359</v>
      </c>
      <c r="CF27" s="5" t="n">
        <v>12.768728</v>
      </c>
      <c r="CG27" s="5" t="n">
        <v>13.569937</v>
      </c>
      <c r="CH27" s="5" t="n">
        <v>16.598734</v>
      </c>
      <c r="CI27" s="5" t="n">
        <v>10.547803</v>
      </c>
      <c r="CJ27" s="5" t="n">
        <v>11.719671</v>
      </c>
      <c r="CK27" s="5" t="n">
        <v>12.558334</v>
      </c>
      <c r="CL27" s="5" t="n">
        <v>11.564464</v>
      </c>
      <c r="CM27" s="5" t="n">
        <v>10.747143</v>
      </c>
      <c r="CN27" s="5" t="n">
        <v>10.852423</v>
      </c>
      <c r="CO27" s="5" t="n">
        <v>11.313621</v>
      </c>
      <c r="CP27" s="5" t="n">
        <v>11.588145</v>
      </c>
      <c r="CQ27" s="5" t="n">
        <v>11.026489</v>
      </c>
      <c r="CR27" s="5" t="n">
        <v>13.613392</v>
      </c>
      <c r="CS27" s="5" t="n">
        <v>10.928663</v>
      </c>
      <c r="CT27" s="5" t="n">
        <v>11.181723</v>
      </c>
      <c r="CU27" s="5" t="n">
        <v>12.769942</v>
      </c>
      <c r="CV27" s="5" t="n">
        <v>10.34293</v>
      </c>
      <c r="CW27" s="5" t="n">
        <v>11.443119</v>
      </c>
      <c r="CX27" s="5" t="n">
        <v>10.11062</v>
      </c>
      <c r="CY27" s="5" t="n">
        <v>10.179891</v>
      </c>
      <c r="CZ27" s="5" t="n">
        <v>10.113625</v>
      </c>
      <c r="DA27" s="5" t="n">
        <v>10.004999</v>
      </c>
      <c r="DB27" s="5" t="n">
        <v>14.306532</v>
      </c>
      <c r="DC27" s="5" t="n">
        <v>13.275803</v>
      </c>
      <c r="DD27" s="5" t="n">
        <v>11.259748</v>
      </c>
      <c r="DE27" s="5" t="n">
        <v>10.929909</v>
      </c>
      <c r="DF27" s="5" t="n">
        <v>13.971425</v>
      </c>
      <c r="DG27" s="5" t="n">
        <v>12.737354</v>
      </c>
      <c r="DH27" s="5" t="n">
        <v>10.93504</v>
      </c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</row>
    <row r="28">
      <c r="B28" s="2" t="inlineStr">
        <is>
          <t>start_time': '2019-12-12'</t>
        </is>
      </c>
      <c r="G28" s="5" t="n"/>
      <c r="H28" s="5" t="n"/>
      <c r="I28" s="5" t="n"/>
      <c r="J28" s="5" t="n"/>
      <c r="K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</row>
    <row r="29">
      <c r="B29" s="2" t="inlineStr">
        <is>
          <t>end_time': '2019-12-29'</t>
        </is>
      </c>
      <c r="D29" t="inlineStr">
        <is>
          <t>WindowGRU</t>
        </is>
      </c>
      <c r="E29" t="inlineStr">
        <is>
          <t>MAE</t>
        </is>
      </c>
      <c r="F29">
        <f>COUNT(M29:GJ29)</f>
        <v/>
      </c>
      <c r="G29" s="5">
        <f>AVERAGE(M29:GJ29)</f>
        <v/>
      </c>
      <c r="H29" s="5">
        <f>MAX(M29:GJ29)</f>
        <v/>
      </c>
      <c r="I29" s="5">
        <f>MIN(M29:GJ29)</f>
        <v/>
      </c>
      <c r="J29" s="5">
        <f>_xlfn.STDEV.P(M29:GJ29)</f>
        <v/>
      </c>
      <c r="K29" s="5">
        <f>_xlfn.VAR.S(M29:GJ29)</f>
        <v/>
      </c>
      <c r="M29" s="5" t="n">
        <v>6.796162</v>
      </c>
      <c r="N29" s="5" t="n">
        <v>9.382557</v>
      </c>
      <c r="O29" s="5" t="n">
        <v>10.892676</v>
      </c>
      <c r="P29" s="5" t="n">
        <v>6.901491</v>
      </c>
      <c r="Q29" s="5" t="n">
        <v>12.074747</v>
      </c>
      <c r="R29" s="5" t="n">
        <v>7.871052</v>
      </c>
      <c r="S29" s="5" t="n">
        <v>5.816018</v>
      </c>
      <c r="T29" s="5" t="n">
        <v>7.954745</v>
      </c>
      <c r="U29" s="5" t="n">
        <v>8.021775999999999</v>
      </c>
      <c r="V29" s="5" t="n">
        <v>12.700155</v>
      </c>
      <c r="W29" s="5" t="n">
        <v>7.204053</v>
      </c>
      <c r="X29" s="5" t="n">
        <v>5.841846</v>
      </c>
      <c r="Y29" s="5" t="n">
        <v>8.441075</v>
      </c>
      <c r="Z29" s="5" t="n">
        <v>6.402893</v>
      </c>
      <c r="AA29" s="5" t="n">
        <v>11.290633</v>
      </c>
      <c r="AB29" s="5" t="n">
        <v>8.210103999999999</v>
      </c>
      <c r="AC29" s="5" t="n">
        <v>7.331426</v>
      </c>
      <c r="AD29" s="5" t="n">
        <v>6.77039</v>
      </c>
      <c r="AE29" s="5" t="n">
        <v>8.641591999999999</v>
      </c>
      <c r="AF29" s="5" t="n">
        <v>8.289363</v>
      </c>
      <c r="AG29" s="5" t="n">
        <v>9.593795999999999</v>
      </c>
      <c r="AH29" s="5" t="n">
        <v>7.966462</v>
      </c>
      <c r="AI29" s="5" t="n">
        <v>8.641397</v>
      </c>
      <c r="AJ29" s="5" t="n">
        <v>6.48611</v>
      </c>
      <c r="AK29" s="5" t="n">
        <v>7.01152</v>
      </c>
      <c r="AL29" s="5" t="n">
        <v>8.576235</v>
      </c>
      <c r="AM29" s="5" t="n">
        <v>9.632236000000001</v>
      </c>
      <c r="AN29" s="5" t="n">
        <v>6.670201</v>
      </c>
      <c r="AO29" s="5" t="n">
        <v>7.05966</v>
      </c>
      <c r="AP29" s="5" t="n">
        <v>9.163648</v>
      </c>
      <c r="AQ29" s="5" t="n">
        <v>8.573905</v>
      </c>
      <c r="AR29" s="5" t="n">
        <v>13.622029</v>
      </c>
      <c r="AS29" s="5" t="n">
        <v>10.360014</v>
      </c>
      <c r="AT29" s="5" t="n">
        <v>7.343284</v>
      </c>
      <c r="AU29" s="5" t="n">
        <v>7.221951</v>
      </c>
      <c r="AV29" s="5" t="n">
        <v>6.409862</v>
      </c>
      <c r="AW29" s="5" t="n">
        <v>8.437044999999999</v>
      </c>
      <c r="AX29" s="5" t="n">
        <v>8.04706</v>
      </c>
      <c r="AY29" s="5" t="n">
        <v>6.812538</v>
      </c>
      <c r="AZ29" s="5" t="n">
        <v>6.048724</v>
      </c>
      <c r="BA29" s="5" t="n">
        <v>8.343387999999999</v>
      </c>
      <c r="BB29" s="5" t="n">
        <v>9.633156</v>
      </c>
      <c r="BC29" s="5" t="n">
        <v>7.052855</v>
      </c>
      <c r="BD29" s="5" t="n">
        <v>8.061821999999999</v>
      </c>
      <c r="BE29" s="5" t="n">
        <v>7.558301</v>
      </c>
      <c r="BF29" s="5" t="n">
        <v>9.330463</v>
      </c>
      <c r="BG29" s="5" t="n">
        <v>5.809351</v>
      </c>
      <c r="BH29" s="5" t="n">
        <v>9.239226</v>
      </c>
      <c r="BI29" s="5" t="n">
        <v>8.936852999999999</v>
      </c>
      <c r="BJ29" s="5" t="n">
        <v>6.059154</v>
      </c>
      <c r="BK29" s="5" t="n">
        <v>10.561419</v>
      </c>
      <c r="BL29" s="5" t="n">
        <v>9.183401</v>
      </c>
      <c r="BM29" s="5" t="n">
        <v>6.164054</v>
      </c>
      <c r="BN29" s="5" t="n">
        <v>6.874221</v>
      </c>
      <c r="BO29" s="5" t="n">
        <v>6.665943</v>
      </c>
      <c r="BP29" s="5" t="n">
        <v>7.130617</v>
      </c>
      <c r="BQ29" s="5" t="n">
        <v>9.209413</v>
      </c>
      <c r="BR29" s="5" t="n">
        <v>8.005838000000001</v>
      </c>
      <c r="BS29" s="5" t="n">
        <v>6.493518</v>
      </c>
      <c r="BT29" s="5" t="n">
        <v>9.124599999999999</v>
      </c>
      <c r="BU29" s="5" t="n">
        <v>7.674249</v>
      </c>
      <c r="BV29" s="5" t="n">
        <v>7.815544</v>
      </c>
      <c r="BW29" s="5" t="n">
        <v>9.190044</v>
      </c>
      <c r="BX29" s="5" t="n">
        <v>6.390044</v>
      </c>
      <c r="BY29" s="5" t="n">
        <v>5.886811</v>
      </c>
      <c r="BZ29" s="5" t="n">
        <v>11.039272</v>
      </c>
      <c r="CA29" s="5" t="n">
        <v>7.719718</v>
      </c>
      <c r="CB29" s="5" t="n">
        <v>9.067496</v>
      </c>
      <c r="CC29" s="5" t="n">
        <v>9.808839000000001</v>
      </c>
      <c r="CD29" s="5" t="n">
        <v>7.992088</v>
      </c>
      <c r="CE29" s="5" t="n">
        <v>6.965559</v>
      </c>
      <c r="CF29" s="5" t="n">
        <v>8.436203000000001</v>
      </c>
      <c r="CG29" s="5" t="n">
        <v>7.21538</v>
      </c>
      <c r="CH29" s="5" t="n">
        <v>5.832247</v>
      </c>
      <c r="CI29" s="5" t="n">
        <v>7.497914</v>
      </c>
      <c r="CJ29" s="5" t="n">
        <v>7.290152</v>
      </c>
      <c r="CK29" s="5" t="n">
        <v>8.271106</v>
      </c>
      <c r="CL29" s="5" t="n">
        <v>8.062982</v>
      </c>
      <c r="CM29" s="5" t="n">
        <v>6.78456</v>
      </c>
      <c r="CN29" s="5" t="n">
        <v>8.758995000000001</v>
      </c>
      <c r="CO29" s="5" t="n">
        <v>8.880833000000001</v>
      </c>
      <c r="CP29" s="5" t="n">
        <v>8.650302</v>
      </c>
      <c r="CQ29" s="5" t="n">
        <v>6.22216</v>
      </c>
      <c r="CR29" s="5" t="n">
        <v>7.254981</v>
      </c>
      <c r="CS29" s="5" t="n">
        <v>7.531521</v>
      </c>
      <c r="CT29" s="5" t="n">
        <v>9.073646</v>
      </c>
      <c r="CU29" s="5" t="n">
        <v>8.547139</v>
      </c>
      <c r="CV29" s="5" t="n">
        <v>9.130984</v>
      </c>
      <c r="CW29" s="5" t="n">
        <v>6.9666</v>
      </c>
      <c r="CX29" s="5" t="n">
        <v>8.452719</v>
      </c>
      <c r="CY29" s="5" t="n">
        <v>6.924946</v>
      </c>
      <c r="CZ29" s="5" t="n">
        <v>7.070955</v>
      </c>
      <c r="DA29" s="5" t="n">
        <v>8.527739</v>
      </c>
      <c r="DB29" s="5" t="n">
        <v>6.50925</v>
      </c>
      <c r="DC29" s="5" t="n">
        <v>8.317474000000001</v>
      </c>
      <c r="DD29" s="5" t="n">
        <v>7.28654</v>
      </c>
      <c r="DE29" s="5" t="n">
        <v>8.50525</v>
      </c>
      <c r="DF29" s="5" t="n">
        <v>9.642920999999999</v>
      </c>
      <c r="DG29" s="5" t="n">
        <v>6.671217</v>
      </c>
      <c r="DH29" s="5" t="n">
        <v>6.910807</v>
      </c>
      <c r="DI29" s="5" t="n"/>
      <c r="DJ29" s="5" t="n"/>
      <c r="DK29" s="5" t="n"/>
      <c r="DL29" s="5" t="n"/>
      <c r="DM29" s="5" t="n"/>
      <c r="DO29" s="5" t="n"/>
      <c r="DT29" s="5" t="n"/>
      <c r="DU29" s="5" t="n"/>
      <c r="DX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</row>
    <row r="30">
      <c r="G30" s="5" t="n"/>
      <c r="H30" s="5" t="n"/>
      <c r="I30" s="5" t="n"/>
      <c r="J30" s="5" t="n"/>
      <c r="K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</row>
    <row r="31">
      <c r="D31" t="inlineStr">
        <is>
          <t>DAE</t>
        </is>
      </c>
      <c r="E31" t="inlineStr">
        <is>
          <t>MAE</t>
        </is>
      </c>
      <c r="F31" t="n">
        <v>0</v>
      </c>
      <c r="G31" s="5" t="inlineStr">
        <is>
          <t>n/a</t>
        </is>
      </c>
      <c r="H31" s="5" t="inlineStr">
        <is>
          <t>n/a</t>
        </is>
      </c>
      <c r="I31" s="5" t="inlineStr">
        <is>
          <t>n/a</t>
        </is>
      </c>
      <c r="J31" s="5" t="inlineStr">
        <is>
          <t>n/a</t>
        </is>
      </c>
      <c r="K31" s="5" t="inlineStr">
        <is>
          <t>n/a</t>
        </is>
      </c>
      <c r="M31" s="5" t="inlineStr">
        <is>
          <t>not computed</t>
        </is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</row>
    <row r="32">
      <c r="G32" s="5" t="n"/>
      <c r="H32" s="5" t="n"/>
      <c r="I32" s="5" t="n"/>
      <c r="J32" s="5" t="n"/>
      <c r="K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</row>
    <row r="33">
      <c r="D33" t="inlineStr">
        <is>
          <t>Seq2Seq</t>
        </is>
      </c>
      <c r="E33" t="inlineStr">
        <is>
          <t>MAE</t>
        </is>
      </c>
      <c r="F33" t="n">
        <v>0</v>
      </c>
      <c r="G33" s="5" t="inlineStr">
        <is>
          <t>n/a</t>
        </is>
      </c>
      <c r="H33" s="5" t="inlineStr">
        <is>
          <t>n/a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n/a</t>
        </is>
      </c>
      <c r="M33" s="5" t="inlineStr">
        <is>
          <t>not computed</t>
        </is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</row>
    <row r="34">
      <c r="G34" s="5" t="n"/>
      <c r="H34" s="5" t="n"/>
      <c r="I34" s="5" t="n"/>
      <c r="J34" s="5" t="n"/>
      <c r="K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</row>
    <row r="35">
      <c r="D35" t="inlineStr">
        <is>
          <t>Seq2Point</t>
        </is>
      </c>
      <c r="E35" t="inlineStr">
        <is>
          <t>MAE</t>
        </is>
      </c>
      <c r="F35">
        <f>COUNT(M35:GJ35)</f>
        <v/>
      </c>
      <c r="G35" s="5">
        <f>AVERAGE(M35:GJ35)</f>
        <v/>
      </c>
      <c r="H35" s="5">
        <f>MAX(M35:GJ35)</f>
        <v/>
      </c>
      <c r="I35" s="5">
        <f>MIN(M35:GJ35)</f>
        <v/>
      </c>
      <c r="J35" s="5">
        <f>_xlfn.STDEV.P(M35:GJ35)</f>
        <v/>
      </c>
      <c r="K35" s="5">
        <f>_xlfn.VAR.S(M35:GJ35)</f>
        <v/>
      </c>
      <c r="M35" s="5" t="n">
        <v>10.949207</v>
      </c>
      <c r="N35" s="5" t="n">
        <v>9.476863</v>
      </c>
      <c r="O35" s="5" t="n">
        <v>9.474437999999999</v>
      </c>
      <c r="P35" s="5" t="n">
        <v>7.674518</v>
      </c>
      <c r="Q35" s="5" t="n">
        <v>8.677054999999999</v>
      </c>
      <c r="R35" s="5" t="n">
        <v>8.421355999999999</v>
      </c>
      <c r="S35" s="5" t="n">
        <v>8.855036</v>
      </c>
      <c r="T35" s="5" t="n">
        <v>7.068047</v>
      </c>
      <c r="U35" s="5" t="n">
        <v>8.342244000000001</v>
      </c>
      <c r="V35" s="5" t="n">
        <v>9.979450999999999</v>
      </c>
      <c r="W35" s="5" t="n">
        <v>12.638352</v>
      </c>
      <c r="X35" s="5" t="n">
        <v>9.617476</v>
      </c>
      <c r="Y35" s="5" t="n">
        <v>7.353756</v>
      </c>
      <c r="Z35" s="5" t="n">
        <v>7.521496</v>
      </c>
      <c r="AA35" s="5" t="n">
        <v>8.393796</v>
      </c>
      <c r="AB35" s="5" t="n">
        <v>7.545707</v>
      </c>
      <c r="AC35" s="5" t="n">
        <v>12.896483</v>
      </c>
      <c r="AD35" s="5" t="n">
        <v>9.336589</v>
      </c>
      <c r="AE35" s="5" t="n">
        <v>8.160542</v>
      </c>
      <c r="AF35" s="5" t="n">
        <v>10.148148</v>
      </c>
      <c r="AG35" s="5" t="n">
        <v>11.533549</v>
      </c>
      <c r="AH35" s="5" t="n">
        <v>9.834749</v>
      </c>
      <c r="AI35" s="5" t="n">
        <v>10.100566</v>
      </c>
      <c r="AJ35" s="5" t="n">
        <v>12.669965</v>
      </c>
      <c r="AK35" s="5" t="n">
        <v>8.429176999999999</v>
      </c>
      <c r="AL35" s="5" t="n">
        <v>8.143784999999999</v>
      </c>
      <c r="AM35" s="5" t="n">
        <v>7.157822</v>
      </c>
      <c r="AN35" s="5" t="n">
        <v>9.086463</v>
      </c>
      <c r="AO35" s="5" t="n">
        <v>9.538338</v>
      </c>
      <c r="AP35" s="5" t="n">
        <v>7.127427</v>
      </c>
      <c r="AQ35" s="5" t="n">
        <v>7.610229</v>
      </c>
      <c r="AR35" s="5" t="n">
        <v>7.2063</v>
      </c>
      <c r="AS35" s="5" t="n">
        <v>8.74119</v>
      </c>
      <c r="AT35" s="5" t="n">
        <v>7.968197</v>
      </c>
      <c r="AU35" s="5" t="n">
        <v>8.282945</v>
      </c>
      <c r="AV35" s="5" t="n">
        <v>9.957253</v>
      </c>
      <c r="AW35" s="5" t="n">
        <v>8.57471</v>
      </c>
      <c r="AX35" s="5" t="n">
        <v>9.619051000000001</v>
      </c>
      <c r="AY35" s="5" t="n">
        <v>7.624163</v>
      </c>
      <c r="AZ35" s="5" t="n">
        <v>10.999421</v>
      </c>
      <c r="BA35" s="5" t="n">
        <v>9.652457</v>
      </c>
      <c r="BB35" s="5" t="n">
        <v>8.541480999999999</v>
      </c>
      <c r="BC35" s="5" t="n">
        <v>10.524386</v>
      </c>
      <c r="BD35" s="5" t="n">
        <v>8.701249000000001</v>
      </c>
      <c r="BE35" s="5" t="n">
        <v>10.995901</v>
      </c>
      <c r="BF35" s="5" t="n">
        <v>10.647143</v>
      </c>
      <c r="BG35" s="5" t="n">
        <v>9.860870999999999</v>
      </c>
      <c r="BH35" s="5" t="n">
        <v>11.154383</v>
      </c>
      <c r="BI35" s="5" t="n">
        <v>10.598428</v>
      </c>
      <c r="BJ35" s="5" t="n">
        <v>9.396274</v>
      </c>
      <c r="BK35" s="5" t="n">
        <v>7.851854</v>
      </c>
      <c r="BL35" s="5" t="n">
        <v>7.854337</v>
      </c>
      <c r="BM35" s="5" t="n">
        <v>7.834128</v>
      </c>
      <c r="BN35" s="5" t="n">
        <v>9.502113</v>
      </c>
      <c r="BO35" s="5" t="n">
        <v>8.53417</v>
      </c>
      <c r="BP35" s="5" t="n">
        <v>7.950469</v>
      </c>
      <c r="BQ35" s="5" t="n">
        <v>7.259338</v>
      </c>
      <c r="BR35" s="5" t="n">
        <v>9.735991</v>
      </c>
      <c r="BS35" s="5" t="n">
        <v>9.103479999999999</v>
      </c>
      <c r="BT35" s="5" t="n">
        <v>7.227755</v>
      </c>
      <c r="BU35" s="5" t="n">
        <v>10.909161</v>
      </c>
      <c r="BV35" s="5" t="n">
        <v>9.607497</v>
      </c>
      <c r="BW35" s="5" t="n">
        <v>9.250048</v>
      </c>
      <c r="BX35" s="5" t="n">
        <v>8.962441999999999</v>
      </c>
      <c r="BY35" s="5" t="n">
        <v>10.564252</v>
      </c>
      <c r="BZ35" s="5" t="n">
        <v>9.508114000000001</v>
      </c>
      <c r="CA35" s="5" t="n">
        <v>8.349724</v>
      </c>
      <c r="CB35" s="5" t="n">
        <v>11.405878</v>
      </c>
      <c r="CC35" s="5" t="n">
        <v>6.784857</v>
      </c>
      <c r="CD35" s="5" t="n">
        <v>9.289657</v>
      </c>
      <c r="CE35" s="5" t="n">
        <v>10.271364</v>
      </c>
      <c r="CF35" s="5" t="n">
        <v>8.946002999999999</v>
      </c>
      <c r="CG35" s="5" t="n">
        <v>10.316313</v>
      </c>
      <c r="CH35" s="5" t="n">
        <v>8.126913999999999</v>
      </c>
      <c r="CI35" s="5" t="n">
        <v>9.342217</v>
      </c>
      <c r="CJ35" s="5" t="n">
        <v>8.281223000000001</v>
      </c>
      <c r="CK35" s="5" t="n">
        <v>8.67442</v>
      </c>
      <c r="CL35" s="5" t="n">
        <v>8.412330000000001</v>
      </c>
      <c r="CM35" s="5" t="n">
        <v>8.855992000000001</v>
      </c>
      <c r="CN35" s="5" t="n">
        <v>7.517044</v>
      </c>
      <c r="CO35" s="5" t="n">
        <v>6.893201</v>
      </c>
      <c r="CP35" s="5" t="n">
        <v>7.513178</v>
      </c>
      <c r="CQ35" s="5" t="n">
        <v>8.527597999999999</v>
      </c>
      <c r="CR35" s="5" t="n">
        <v>7.48457</v>
      </c>
      <c r="CS35" s="5" t="n">
        <v>9.095001</v>
      </c>
      <c r="CT35" s="5" t="n">
        <v>8.332644</v>
      </c>
      <c r="CU35" s="5" t="n">
        <v>11.138632</v>
      </c>
      <c r="CV35" s="5" t="n">
        <v>9.041473999999999</v>
      </c>
      <c r="CW35" s="5" t="n">
        <v>8.835144</v>
      </c>
      <c r="CX35" s="5" t="n">
        <v>7.711714</v>
      </c>
      <c r="CY35" s="5" t="n">
        <v>10.067774</v>
      </c>
      <c r="CZ35" s="5" t="n">
        <v>8.798551</v>
      </c>
      <c r="DA35" s="5" t="n">
        <v>10.244767</v>
      </c>
      <c r="DB35" s="5" t="n">
        <v>8.706137999999999</v>
      </c>
      <c r="DC35" s="5" t="n">
        <v>8.490855</v>
      </c>
      <c r="DD35" s="5" t="n">
        <v>7.786811</v>
      </c>
      <c r="DE35" s="5" t="n">
        <v>8.343346</v>
      </c>
      <c r="DF35" s="5" t="n">
        <v>9.441951</v>
      </c>
      <c r="DG35" s="5" t="n">
        <v>9.926971</v>
      </c>
      <c r="DH35" s="5" t="n">
        <v>8.340984000000001</v>
      </c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</row>
    <row r="36">
      <c r="G36" s="5" t="n"/>
      <c r="H36" s="5" t="n"/>
      <c r="I36" s="5" t="n"/>
      <c r="J36" s="5" t="n"/>
      <c r="K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  <c r="GP36" s="5" t="n"/>
      <c r="GQ36" s="5" t="n"/>
      <c r="GR36" s="5" t="n"/>
      <c r="GS36" s="5" t="n"/>
      <c r="GT36" s="5" t="n"/>
      <c r="GU36" s="5" t="n"/>
      <c r="GV36" s="5" t="n"/>
      <c r="GW36" s="5" t="n"/>
      <c r="GX36" s="5" t="n"/>
      <c r="GY36" s="5" t="n"/>
    </row>
    <row r="37"/>
    <row r="38">
      <c r="B38" t="inlineStr">
        <is>
          <t>test_dataset.h5</t>
        </is>
      </c>
      <c r="D38" s="1" t="inlineStr">
        <is>
          <t>reale Testdaten(hh_17):</t>
        </is>
      </c>
    </row>
    <row r="39">
      <c r="B39" s="2" t="inlineStr">
        <is>
          <t>buildings': 17</t>
        </is>
      </c>
      <c r="D39" t="inlineStr">
        <is>
          <t>RNN</t>
        </is>
      </c>
      <c r="E39" t="inlineStr">
        <is>
          <t>MAE</t>
        </is>
      </c>
      <c r="F39">
        <f>COUNT(M39:GJ39)</f>
        <v/>
      </c>
      <c r="G39" s="5">
        <f>AVERAGE(M39:GJ39)</f>
        <v/>
      </c>
      <c r="H39" s="5">
        <f>MAX(M39:GJ39)</f>
        <v/>
      </c>
      <c r="I39" s="5">
        <f>MIN(M39:GJ39)</f>
        <v/>
      </c>
      <c r="J39" s="5">
        <f>_xlfn.STDEV.P(M39:GJ39)</f>
        <v/>
      </c>
      <c r="K39" s="5">
        <f>_xlfn.VAR.S(M39:GJ39)</f>
        <v/>
      </c>
      <c r="M39" s="5" t="n">
        <v>9.421006999999999</v>
      </c>
      <c r="N39" s="5" t="n">
        <v>15.979983</v>
      </c>
      <c r="O39" s="5" t="n">
        <v>15.030301</v>
      </c>
      <c r="P39" s="5" t="n">
        <v>13.470504</v>
      </c>
      <c r="Q39" s="5" t="n">
        <v>13.160365</v>
      </c>
      <c r="R39" s="5" t="n">
        <v>21.490133</v>
      </c>
      <c r="S39" s="5" t="n">
        <v>15.177674</v>
      </c>
      <c r="T39" s="5" t="n">
        <v>17.583889</v>
      </c>
      <c r="U39" s="5" t="n">
        <v>13.827316</v>
      </c>
      <c r="V39" s="5" t="n">
        <v>13.350891</v>
      </c>
      <c r="W39" s="5" t="n">
        <v>12.322284</v>
      </c>
      <c r="X39" s="5" t="n">
        <v>15.978888</v>
      </c>
      <c r="Y39" s="5" t="n">
        <v>9.517664999999999</v>
      </c>
      <c r="Z39" s="5" t="n">
        <v>15.878707</v>
      </c>
      <c r="AA39" s="5" t="n">
        <v>11.683464</v>
      </c>
      <c r="AB39" s="5" t="n">
        <v>14.168111</v>
      </c>
      <c r="AC39" s="5" t="n">
        <v>18.297421</v>
      </c>
      <c r="AD39" s="5" t="n">
        <v>10.353035</v>
      </c>
      <c r="AE39" s="5" t="n">
        <v>11.998133</v>
      </c>
      <c r="AF39" s="5" t="n">
        <v>9.030924000000001</v>
      </c>
      <c r="AG39" s="5" t="n">
        <v>14.691859</v>
      </c>
      <c r="AH39" s="5" t="n">
        <v>11.640452</v>
      </c>
      <c r="AI39" s="5" t="n">
        <v>9.496171</v>
      </c>
      <c r="AJ39" s="5" t="n">
        <v>12.712093</v>
      </c>
      <c r="AK39" s="5" t="n">
        <v>11.569729</v>
      </c>
      <c r="AL39" s="5" t="n">
        <v>13.84968</v>
      </c>
      <c r="AM39" s="5" t="n">
        <v>8.332243999999999</v>
      </c>
      <c r="AN39" s="5" t="n">
        <v>11.090543</v>
      </c>
      <c r="AO39" s="5" t="n">
        <v>10.771087</v>
      </c>
      <c r="AP39" s="5" t="n">
        <v>9.091022000000001</v>
      </c>
      <c r="AQ39" s="5" t="n">
        <v>10.619632</v>
      </c>
      <c r="AR39" s="5" t="n">
        <v>10.231427</v>
      </c>
      <c r="AS39" s="5" t="n">
        <v>9.874943</v>
      </c>
      <c r="AT39" s="5" t="n">
        <v>12.236062</v>
      </c>
      <c r="AU39" s="5" t="n">
        <v>9.987924</v>
      </c>
      <c r="AV39" s="5" t="n">
        <v>8.322673</v>
      </c>
      <c r="AW39" s="5" t="n">
        <v>9.634492</v>
      </c>
      <c r="AX39" s="5" t="n">
        <v>8.737921</v>
      </c>
      <c r="AY39" s="5" t="n">
        <v>8.731579999999999</v>
      </c>
      <c r="AZ39" s="5" t="n">
        <v>9.434868</v>
      </c>
      <c r="BA39" s="5" t="n">
        <v>8.494842999999999</v>
      </c>
      <c r="BB39" s="5" t="n">
        <v>9.869198000000001</v>
      </c>
      <c r="BC39" s="5" t="n">
        <v>8.782157</v>
      </c>
      <c r="BD39" s="5" t="n">
        <v>9.132426000000001</v>
      </c>
      <c r="BE39" s="5" t="n">
        <v>12.596291</v>
      </c>
      <c r="BF39" s="5" t="n">
        <v>8.968242</v>
      </c>
      <c r="BG39" s="5" t="n">
        <v>8.944483999999999</v>
      </c>
      <c r="BH39" s="5" t="n">
        <v>10.992281</v>
      </c>
      <c r="BI39" s="5" t="n">
        <v>7.913661</v>
      </c>
      <c r="BJ39" s="5" t="n">
        <v>8.337543</v>
      </c>
      <c r="BK39" s="5" t="n">
        <v>16.540468</v>
      </c>
      <c r="BL39" s="5" t="n">
        <v>8.609735000000001</v>
      </c>
      <c r="BM39" s="5" t="n">
        <v>10.180252</v>
      </c>
      <c r="BN39" s="5" t="n">
        <v>9.203116</v>
      </c>
      <c r="BO39" s="5" t="n">
        <v>8.642545999999999</v>
      </c>
      <c r="BP39" s="5" t="n">
        <v>14.500339</v>
      </c>
      <c r="BQ39" s="5" t="n">
        <v>8.931823</v>
      </c>
      <c r="BR39" s="5" t="n">
        <v>13.334208</v>
      </c>
      <c r="BS39" s="5" t="n">
        <v>8.504118</v>
      </c>
      <c r="BT39" s="5" t="n">
        <v>10.967712</v>
      </c>
      <c r="BU39" s="5" t="n">
        <v>9.925565000000001</v>
      </c>
      <c r="BV39" s="5" t="n">
        <v>8.321877000000001</v>
      </c>
      <c r="BW39" s="5" t="n">
        <v>8.054596999999999</v>
      </c>
      <c r="BX39" s="5" t="n">
        <v>9.935324</v>
      </c>
      <c r="BY39" s="5" t="n">
        <v>8.924855000000001</v>
      </c>
      <c r="BZ39" s="5" t="n">
        <v>8.748832999999999</v>
      </c>
      <c r="CA39" s="5" t="n">
        <v>8.270491</v>
      </c>
      <c r="CB39" s="5" t="n">
        <v>8.627933000000001</v>
      </c>
      <c r="CC39" s="5" t="n">
        <v>8.562972</v>
      </c>
      <c r="CD39" s="5" t="n">
        <v>8.547178000000001</v>
      </c>
      <c r="CE39" s="5" t="n">
        <v>7.961951</v>
      </c>
      <c r="CF39" s="5" t="n">
        <v>8.648224000000001</v>
      </c>
      <c r="CG39" s="5" t="n">
        <v>9.260126</v>
      </c>
      <c r="CH39" s="5" t="n">
        <v>12.411098</v>
      </c>
      <c r="CI39" s="5" t="n">
        <v>7.910746</v>
      </c>
      <c r="CJ39" s="5" t="n">
        <v>8.333888</v>
      </c>
      <c r="CK39" s="5" t="n">
        <v>9.129194999999999</v>
      </c>
      <c r="CL39" s="5" t="n">
        <v>8.689292999999999</v>
      </c>
      <c r="CM39" s="5" t="n">
        <v>7.924859</v>
      </c>
      <c r="CN39" s="5" t="n">
        <v>8.440289999999999</v>
      </c>
      <c r="CO39" s="5" t="n">
        <v>8.444141</v>
      </c>
      <c r="CP39" s="5" t="n">
        <v>8.834756</v>
      </c>
      <c r="CQ39" s="5" t="n">
        <v>8.210993999999999</v>
      </c>
      <c r="CR39" s="5" t="n">
        <v>9.950187</v>
      </c>
      <c r="CS39" s="5" t="n">
        <v>8.193007</v>
      </c>
      <c r="CT39" s="5" t="n">
        <v>8.373224</v>
      </c>
      <c r="CU39" s="5" t="n">
        <v>10.103143</v>
      </c>
      <c r="CV39" s="5" t="n">
        <v>8.575274</v>
      </c>
      <c r="CW39" s="5" t="n">
        <v>8.318045</v>
      </c>
      <c r="CX39" s="5" t="n">
        <v>8.679650000000001</v>
      </c>
      <c r="CY39" s="5" t="n">
        <v>8.355472000000001</v>
      </c>
      <c r="CZ39" s="5" t="n">
        <v>7.815774</v>
      </c>
      <c r="DA39" s="5" t="n">
        <v>7.477705</v>
      </c>
      <c r="DB39" s="5" t="n">
        <v>11.710945</v>
      </c>
      <c r="DC39" s="5" t="n">
        <v>10.814661</v>
      </c>
      <c r="DD39" s="5" t="n">
        <v>9.014065</v>
      </c>
      <c r="DE39" s="5" t="n">
        <v>7.997316</v>
      </c>
      <c r="DF39" s="5" t="n">
        <v>9.967779999999999</v>
      </c>
      <c r="DG39" s="5" t="n">
        <v>11.086037</v>
      </c>
      <c r="DH39" s="5" t="n">
        <v>7.413841</v>
      </c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</row>
    <row r="40">
      <c r="B40" s="2" t="inlineStr">
        <is>
          <t>start_time': '2020-01-07'</t>
        </is>
      </c>
      <c r="G40" s="5" t="n"/>
      <c r="H40" s="5" t="n"/>
      <c r="I40" s="5" t="n"/>
      <c r="J40" s="5" t="n"/>
      <c r="K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</row>
    <row r="41">
      <c r="B41" s="2" t="inlineStr">
        <is>
          <t>end_time': '2020-01-31'</t>
        </is>
      </c>
      <c r="D41" t="inlineStr">
        <is>
          <t>WindowGRU</t>
        </is>
      </c>
      <c r="E41" t="inlineStr">
        <is>
          <t>MAE</t>
        </is>
      </c>
      <c r="F41">
        <f>COUNT(M41:GJ41)</f>
        <v/>
      </c>
      <c r="G41" s="5">
        <f>AVERAGE(M41:GJ41)</f>
        <v/>
      </c>
      <c r="H41" s="5">
        <f>MAX(M41:GJ41)</f>
        <v/>
      </c>
      <c r="I41" s="5">
        <f>MIN(M41:GJ41)</f>
        <v/>
      </c>
      <c r="J41" s="5">
        <f>_xlfn.STDEV.P(M41:GJ41)</f>
        <v/>
      </c>
      <c r="K41" s="5">
        <f>_xlfn.VAR.S(M41:GJ41)</f>
        <v/>
      </c>
      <c r="M41" s="5" t="n">
        <v>9.051463</v>
      </c>
      <c r="N41" s="5" t="n">
        <v>10.670365</v>
      </c>
      <c r="O41" s="5" t="n">
        <v>12.379891</v>
      </c>
      <c r="P41" s="5" t="n">
        <v>8.724102</v>
      </c>
      <c r="Q41" s="5" t="n">
        <v>14.11395</v>
      </c>
      <c r="R41" s="5" t="n">
        <v>9.922686000000001</v>
      </c>
      <c r="S41" s="5" t="n">
        <v>8.333802</v>
      </c>
      <c r="T41" s="5" t="n">
        <v>8.697267</v>
      </c>
      <c r="U41" s="5" t="n">
        <v>9.115643</v>
      </c>
      <c r="V41" s="5" t="n">
        <v>14.44389</v>
      </c>
      <c r="W41" s="5" t="n">
        <v>8.302070000000001</v>
      </c>
      <c r="X41" s="5" t="n">
        <v>7.781987</v>
      </c>
      <c r="Y41" s="5" t="n">
        <v>9.38584</v>
      </c>
      <c r="Z41" s="5" t="n">
        <v>7.870629</v>
      </c>
      <c r="AA41" s="5" t="n">
        <v>12.255686</v>
      </c>
      <c r="AB41" s="5" t="n">
        <v>9.249596</v>
      </c>
      <c r="AC41" s="5" t="n">
        <v>7.445703</v>
      </c>
      <c r="AD41" s="5" t="n">
        <v>9.691504</v>
      </c>
      <c r="AE41" s="5" t="n">
        <v>10.291886</v>
      </c>
      <c r="AF41" s="5" t="n">
        <v>8.343396</v>
      </c>
      <c r="AG41" s="5" t="n">
        <v>10.562316</v>
      </c>
      <c r="AH41" s="5" t="n">
        <v>10.58155</v>
      </c>
      <c r="AI41" s="5" t="n">
        <v>11.296066</v>
      </c>
      <c r="AJ41" s="5" t="n">
        <v>7.313573</v>
      </c>
      <c r="AK41" s="5" t="n">
        <v>8.151591</v>
      </c>
      <c r="AL41" s="5" t="n">
        <v>9.590199999999999</v>
      </c>
      <c r="AM41" s="5" t="n">
        <v>12.46145</v>
      </c>
      <c r="AN41" s="5" t="n">
        <v>7.788867</v>
      </c>
      <c r="AO41" s="5" t="n">
        <v>8.241956999999999</v>
      </c>
      <c r="AP41" s="5" t="n">
        <v>9.480059000000001</v>
      </c>
      <c r="AQ41" s="5" t="n">
        <v>11.10794</v>
      </c>
      <c r="AR41" s="5" t="n">
        <v>12.977618</v>
      </c>
      <c r="AS41" s="5" t="n">
        <v>10.43893</v>
      </c>
      <c r="AT41" s="5" t="n">
        <v>9.066295</v>
      </c>
      <c r="AU41" s="5" t="n">
        <v>7.589624</v>
      </c>
      <c r="AV41" s="5" t="n">
        <v>8.386519</v>
      </c>
      <c r="AW41" s="5" t="n">
        <v>8.971563</v>
      </c>
      <c r="AX41" s="5" t="n">
        <v>10.197321</v>
      </c>
      <c r="AY41" s="5" t="n">
        <v>8.139048000000001</v>
      </c>
      <c r="AZ41" s="5" t="n">
        <v>9.675204000000001</v>
      </c>
      <c r="BA41" s="5" t="n">
        <v>10.488455</v>
      </c>
      <c r="BB41" s="5" t="n">
        <v>10.283975</v>
      </c>
      <c r="BC41" s="5" t="n">
        <v>10.7998</v>
      </c>
      <c r="BD41" s="5" t="n">
        <v>9.284307999999999</v>
      </c>
      <c r="BE41" s="5" t="n">
        <v>9.313382000000001</v>
      </c>
      <c r="BF41" s="5" t="n">
        <v>9.684010000000001</v>
      </c>
      <c r="BG41" s="5" t="n">
        <v>8.174628</v>
      </c>
      <c r="BH41" s="5" t="n">
        <v>10.705414</v>
      </c>
      <c r="BI41" s="5" t="n">
        <v>11.241915</v>
      </c>
      <c r="BJ41" s="5" t="n">
        <v>9.121865</v>
      </c>
      <c r="BK41" s="5" t="n">
        <v>10.579263</v>
      </c>
      <c r="BL41" s="5" t="n">
        <v>9.229672000000001</v>
      </c>
      <c r="BM41" s="5" t="n">
        <v>8.168308</v>
      </c>
      <c r="BN41" s="5" t="n">
        <v>8.985393</v>
      </c>
      <c r="BO41" s="5" t="n">
        <v>7.614765</v>
      </c>
      <c r="BP41" s="5" t="n">
        <v>9.591150000000001</v>
      </c>
      <c r="BQ41" s="5" t="n">
        <v>9.189828</v>
      </c>
      <c r="BR41" s="5" t="n">
        <v>10.144439</v>
      </c>
      <c r="BS41" s="5" t="n">
        <v>7.601922</v>
      </c>
      <c r="BT41" s="5" t="n">
        <v>8.079661</v>
      </c>
      <c r="BU41" s="5" t="n">
        <v>8.130409</v>
      </c>
      <c r="BV41" s="5" t="n">
        <v>10.317483</v>
      </c>
      <c r="BW41" s="5" t="n">
        <v>9.363536</v>
      </c>
      <c r="BX41" s="5" t="n">
        <v>9.947564</v>
      </c>
      <c r="BY41" s="5" t="n">
        <v>8.14429</v>
      </c>
      <c r="BZ41" s="5" t="n">
        <v>10.656593</v>
      </c>
      <c r="CA41" s="5" t="n">
        <v>10.270316</v>
      </c>
      <c r="CB41" s="5" t="n">
        <v>10.9535</v>
      </c>
      <c r="CC41" s="5" t="n">
        <v>10.964396</v>
      </c>
      <c r="CD41" s="5" t="n">
        <v>11.533865</v>
      </c>
      <c r="CE41" s="5" t="n">
        <v>9.763096000000001</v>
      </c>
      <c r="CF41" s="5" t="n">
        <v>9.068232</v>
      </c>
      <c r="CG41" s="5" t="n">
        <v>9.178077</v>
      </c>
      <c r="CH41" s="5" t="n">
        <v>8.886958</v>
      </c>
      <c r="CI41" s="5" t="n">
        <v>9.160651</v>
      </c>
      <c r="CJ41" s="5" t="n">
        <v>8.142412999999999</v>
      </c>
      <c r="CK41" s="5" t="n">
        <v>9.679503</v>
      </c>
      <c r="CL41" s="5" t="n">
        <v>9.319531</v>
      </c>
      <c r="CM41" s="5" t="n">
        <v>8.797438</v>
      </c>
      <c r="CN41" s="5" t="n">
        <v>8.749790000000001</v>
      </c>
      <c r="CO41" s="5" t="n">
        <v>10.384162</v>
      </c>
      <c r="CP41" s="5" t="n">
        <v>8.921371000000001</v>
      </c>
      <c r="CQ41" s="5" t="n">
        <v>8.285802</v>
      </c>
      <c r="CR41" s="5" t="n">
        <v>8.186871</v>
      </c>
      <c r="CS41" s="5" t="n">
        <v>9.003444</v>
      </c>
      <c r="CT41" s="5" t="n">
        <v>10.113346</v>
      </c>
      <c r="CU41" s="5" t="n">
        <v>8.269551</v>
      </c>
      <c r="CV41" s="5" t="n">
        <v>11.2794</v>
      </c>
      <c r="CW41" s="5" t="n">
        <v>8.376284</v>
      </c>
      <c r="CX41" s="5" t="n">
        <v>10.052485</v>
      </c>
      <c r="CY41" s="5" t="n">
        <v>8.627204000000001</v>
      </c>
      <c r="CZ41" s="5" t="n">
        <v>7.42495</v>
      </c>
      <c r="DA41" s="5" t="n">
        <v>11.301424</v>
      </c>
      <c r="DB41" s="5" t="n">
        <v>8.959365</v>
      </c>
      <c r="DC41" s="5" t="n">
        <v>9.460073</v>
      </c>
      <c r="DD41" s="5" t="n">
        <v>10.419594</v>
      </c>
      <c r="DE41" s="5" t="n">
        <v>8.979098</v>
      </c>
      <c r="DF41" s="5" t="n">
        <v>11.173752</v>
      </c>
      <c r="DG41" s="5" t="n">
        <v>7.306255</v>
      </c>
      <c r="DH41" s="5" t="n">
        <v>10.458659</v>
      </c>
      <c r="DI41" s="5" t="n"/>
      <c r="DJ41" s="5" t="n"/>
      <c r="DK41" s="5" t="n"/>
      <c r="DL41" s="5" t="n"/>
      <c r="DM41" s="5" t="n"/>
      <c r="DO41" s="5" t="n"/>
      <c r="DT41" s="5" t="n"/>
      <c r="DU41" s="5" t="n"/>
      <c r="DX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</row>
    <row r="42">
      <c r="G42" s="5" t="n"/>
      <c r="H42" s="5" t="n"/>
      <c r="I42" s="5" t="n"/>
      <c r="J42" s="5" t="n"/>
      <c r="K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</row>
    <row r="43">
      <c r="D43" t="inlineStr">
        <is>
          <t>DAE</t>
        </is>
      </c>
      <c r="E43" t="inlineStr">
        <is>
          <t>MAE</t>
        </is>
      </c>
      <c r="F43" t="n">
        <v>0</v>
      </c>
      <c r="G43" s="5" t="inlineStr">
        <is>
          <t>n/a</t>
        </is>
      </c>
      <c r="H43" s="5" t="inlineStr">
        <is>
          <t>n/a</t>
        </is>
      </c>
      <c r="I43" s="5" t="inlineStr">
        <is>
          <t>n/a</t>
        </is>
      </c>
      <c r="J43" s="5" t="inlineStr">
        <is>
          <t>n/a</t>
        </is>
      </c>
      <c r="K43" s="5" t="inlineStr">
        <is>
          <t>n/a</t>
        </is>
      </c>
      <c r="M43" s="5" t="inlineStr">
        <is>
          <t>not computed</t>
        </is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</row>
    <row r="44">
      <c r="G44" s="5" t="n"/>
      <c r="H44" s="5" t="n"/>
      <c r="I44" s="5" t="n"/>
      <c r="J44" s="5" t="n"/>
      <c r="K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</row>
    <row r="45">
      <c r="D45" t="inlineStr">
        <is>
          <t>Seq2Seq</t>
        </is>
      </c>
      <c r="E45" t="inlineStr">
        <is>
          <t>MAE</t>
        </is>
      </c>
      <c r="F45" t="n">
        <v>0</v>
      </c>
      <c r="G45" s="5" t="inlineStr">
        <is>
          <t>n/a</t>
        </is>
      </c>
      <c r="H45" s="5" t="inlineStr">
        <is>
          <t>n/a</t>
        </is>
      </c>
      <c r="I45" s="5" t="inlineStr">
        <is>
          <t>n/a</t>
        </is>
      </c>
      <c r="J45" s="5" t="inlineStr">
        <is>
          <t>n/a</t>
        </is>
      </c>
      <c r="K45" s="5" t="inlineStr">
        <is>
          <t>n/a</t>
        </is>
      </c>
      <c r="M45" s="5" t="inlineStr">
        <is>
          <t>not computed</t>
        </is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</row>
    <row r="46">
      <c r="G46" s="5" t="n"/>
      <c r="H46" s="5" t="n"/>
      <c r="I46" s="5" t="n"/>
      <c r="J46" s="5" t="n"/>
      <c r="K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</row>
    <row r="47">
      <c r="D47" t="inlineStr">
        <is>
          <t>Seq2Point</t>
        </is>
      </c>
      <c r="E47" t="inlineStr">
        <is>
          <t>MAE</t>
        </is>
      </c>
      <c r="F47">
        <f>COUNT(M47:GJ47)</f>
        <v/>
      </c>
      <c r="G47" s="5">
        <f>AVERAGE(M47:GJ47)</f>
        <v/>
      </c>
      <c r="H47" s="5">
        <f>MAX(M47:GJ47)</f>
        <v/>
      </c>
      <c r="I47" s="5">
        <f>MIN(M47:GJ47)</f>
        <v/>
      </c>
      <c r="J47" s="5">
        <f>_xlfn.STDEV.P(M47:GJ47)</f>
        <v/>
      </c>
      <c r="K47" s="5">
        <f>_xlfn.VAR.S(M47:GJ47)</f>
        <v/>
      </c>
      <c r="M47" s="5" t="n">
        <v>10.327538</v>
      </c>
      <c r="N47" s="5" t="n">
        <v>9.491451</v>
      </c>
      <c r="O47" s="5" t="n">
        <v>9.332929999999999</v>
      </c>
      <c r="P47" s="5" t="n">
        <v>8.744726999999999</v>
      </c>
      <c r="Q47" s="5" t="n">
        <v>8.918202000000001</v>
      </c>
      <c r="R47" s="5" t="n">
        <v>9.469222</v>
      </c>
      <c r="S47" s="5" t="n">
        <v>9.316957</v>
      </c>
      <c r="T47" s="5" t="n">
        <v>8.566432000000001</v>
      </c>
      <c r="U47" s="5" t="n">
        <v>9.045738</v>
      </c>
      <c r="V47" s="5" t="n">
        <v>9.391928</v>
      </c>
      <c r="W47" s="5" t="n">
        <v>11.350348</v>
      </c>
      <c r="X47" s="5" t="n">
        <v>9.451012</v>
      </c>
      <c r="Y47" s="5" t="n">
        <v>8.701025</v>
      </c>
      <c r="Z47" s="5" t="n">
        <v>9.382545</v>
      </c>
      <c r="AA47" s="5" t="n">
        <v>8.603669</v>
      </c>
      <c r="AB47" s="5" t="n">
        <v>8.625299</v>
      </c>
      <c r="AC47" s="5" t="n">
        <v>12.56811</v>
      </c>
      <c r="AD47" s="5" t="n">
        <v>8.161462</v>
      </c>
      <c r="AE47" s="5" t="n">
        <v>10.002987</v>
      </c>
      <c r="AF47" s="5" t="n">
        <v>10.477184</v>
      </c>
      <c r="AG47" s="5" t="n">
        <v>9.960639</v>
      </c>
      <c r="AH47" s="5" t="n">
        <v>10.049253</v>
      </c>
      <c r="AI47" s="5" t="n">
        <v>9.870452</v>
      </c>
      <c r="AJ47" s="5" t="n">
        <v>10.736714</v>
      </c>
      <c r="AK47" s="5" t="n">
        <v>9.459056</v>
      </c>
      <c r="AL47" s="5" t="n">
        <v>8.839024999999999</v>
      </c>
      <c r="AM47" s="5" t="n">
        <v>9.122394</v>
      </c>
      <c r="AN47" s="5" t="n">
        <v>9.038247</v>
      </c>
      <c r="AO47" s="5" t="n">
        <v>10.523693</v>
      </c>
      <c r="AP47" s="5" t="n">
        <v>9.268475</v>
      </c>
      <c r="AQ47" s="5" t="n">
        <v>8.973806</v>
      </c>
      <c r="AR47" s="5" t="n">
        <v>9.326468999999999</v>
      </c>
      <c r="AS47" s="5" t="n">
        <v>9.047115</v>
      </c>
      <c r="AT47" s="5" t="n">
        <v>8.579090000000001</v>
      </c>
      <c r="AU47" s="5" t="n">
        <v>8.914783999999999</v>
      </c>
      <c r="AV47" s="5" t="n">
        <v>9.540582000000001</v>
      </c>
      <c r="AW47" s="5" t="n">
        <v>8.926671000000001</v>
      </c>
      <c r="AX47" s="5" t="n">
        <v>9.453222999999999</v>
      </c>
      <c r="AY47" s="5" t="n">
        <v>8.314247</v>
      </c>
      <c r="AZ47" s="5" t="n">
        <v>9.538233</v>
      </c>
      <c r="BA47" s="5" t="n">
        <v>10.477245</v>
      </c>
      <c r="BB47" s="5" t="n">
        <v>9.000451</v>
      </c>
      <c r="BC47" s="5" t="n">
        <v>10.237698</v>
      </c>
      <c r="BD47" s="5" t="n">
        <v>10.145402</v>
      </c>
      <c r="BE47" s="5" t="n">
        <v>9.261506000000001</v>
      </c>
      <c r="BF47" s="5" t="n">
        <v>8.913497</v>
      </c>
      <c r="BG47" s="5" t="n">
        <v>10.169538</v>
      </c>
      <c r="BH47" s="5" t="n">
        <v>9.969626</v>
      </c>
      <c r="BI47" s="5" t="n">
        <v>9.430523000000001</v>
      </c>
      <c r="BJ47" s="5" t="n">
        <v>9.732595</v>
      </c>
      <c r="BK47" s="5" t="n">
        <v>8.754045</v>
      </c>
      <c r="BL47" s="5" t="n">
        <v>8.822661999999999</v>
      </c>
      <c r="BM47" s="5" t="n">
        <v>9.045979000000001</v>
      </c>
      <c r="BN47" s="5" t="n">
        <v>10.095958</v>
      </c>
      <c r="BO47" s="5" t="n">
        <v>8.970135000000001</v>
      </c>
      <c r="BP47" s="5" t="n">
        <v>9.483506</v>
      </c>
      <c r="BQ47" s="5" t="n">
        <v>9.026341</v>
      </c>
      <c r="BR47" s="5" t="n">
        <v>9.877463000000001</v>
      </c>
      <c r="BS47" s="5" t="n">
        <v>9.832644999999999</v>
      </c>
      <c r="BT47" s="5" t="n">
        <v>9.869040999999999</v>
      </c>
      <c r="BU47" s="5" t="n">
        <v>8.426710999999999</v>
      </c>
      <c r="BV47" s="5" t="n">
        <v>10.229307</v>
      </c>
      <c r="BW47" s="5" t="n">
        <v>9.664505</v>
      </c>
      <c r="BX47" s="5" t="n">
        <v>9.608435</v>
      </c>
      <c r="BY47" s="5" t="n">
        <v>10.22443</v>
      </c>
      <c r="BZ47" s="5" t="n">
        <v>9.29162</v>
      </c>
      <c r="CA47" s="5" t="n">
        <v>9.375927000000001</v>
      </c>
      <c r="CB47" s="5" t="n">
        <v>9.553437000000001</v>
      </c>
      <c r="CC47" s="5" t="n">
        <v>8.311260000000001</v>
      </c>
      <c r="CD47" s="5" t="n">
        <v>9.649960999999999</v>
      </c>
      <c r="CE47" s="5" t="n">
        <v>10.054675</v>
      </c>
      <c r="CF47" s="5" t="n">
        <v>9.190530000000001</v>
      </c>
      <c r="CG47" s="5" t="n">
        <v>11.596822</v>
      </c>
      <c r="CH47" s="5" t="n">
        <v>8.865356999999999</v>
      </c>
      <c r="CI47" s="5" t="n">
        <v>9.834244999999999</v>
      </c>
      <c r="CJ47" s="5" t="n">
        <v>9.176532999999999</v>
      </c>
      <c r="CK47" s="5" t="n">
        <v>9.529749000000001</v>
      </c>
      <c r="CL47" s="5" t="n">
        <v>9.622093</v>
      </c>
      <c r="CM47" s="5" t="n">
        <v>9.374988999999999</v>
      </c>
      <c r="CN47" s="5" t="n">
        <v>9.613158</v>
      </c>
      <c r="CO47" s="5" t="n">
        <v>8.176277000000001</v>
      </c>
      <c r="CP47" s="5" t="n">
        <v>9.045503</v>
      </c>
      <c r="CQ47" s="5" t="n">
        <v>9.575469</v>
      </c>
      <c r="CR47" s="5" t="n">
        <v>8.859393000000001</v>
      </c>
      <c r="CS47" s="5" t="n">
        <v>9.939837000000001</v>
      </c>
      <c r="CT47" s="5" t="n">
        <v>8.036758000000001</v>
      </c>
      <c r="CU47" s="5" t="n">
        <v>10.079095</v>
      </c>
      <c r="CV47" s="5" t="n">
        <v>9.522031999999999</v>
      </c>
      <c r="CW47" s="5" t="n">
        <v>9.329208</v>
      </c>
      <c r="CX47" s="5" t="n">
        <v>9.287102000000001</v>
      </c>
      <c r="CY47" s="5" t="n">
        <v>10.383384</v>
      </c>
      <c r="CZ47" s="5" t="n">
        <v>9.089956000000001</v>
      </c>
      <c r="DA47" s="5" t="n">
        <v>8.150133</v>
      </c>
      <c r="DB47" s="5" t="n">
        <v>8.702185</v>
      </c>
      <c r="DC47" s="5" t="n">
        <v>9.58872</v>
      </c>
      <c r="DD47" s="5" t="n">
        <v>8.164021999999999</v>
      </c>
      <c r="DE47" s="5" t="n">
        <v>9.179038</v>
      </c>
      <c r="DF47" s="5" t="n">
        <v>8.969631</v>
      </c>
      <c r="DG47" s="5" t="n">
        <v>10.735651</v>
      </c>
      <c r="DH47" s="5" t="n">
        <v>8.500608</v>
      </c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  <c r="GP47" s="5" t="n"/>
      <c r="GQ47" s="5" t="n"/>
      <c r="GR47" s="5" t="n"/>
      <c r="GS47" s="5" t="n"/>
      <c r="GT47" s="5" t="n"/>
      <c r="GU47" s="5" t="n"/>
      <c r="GV47" s="5" t="n"/>
      <c r="GW47" s="5" t="n"/>
      <c r="GX47" s="5" t="n"/>
      <c r="GY47" s="5" t="n"/>
    </row>
    <row r="48"/>
    <row r="49">
      <c r="D49" s="1" t="n"/>
    </row>
    <row r="50">
      <c r="B50" s="2" t="n"/>
      <c r="G50" s="2" t="n"/>
      <c r="H50" s="5" t="n"/>
      <c r="I50" s="5" t="n"/>
      <c r="J50" s="5" t="n"/>
      <c r="K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</row>
    <row r="51">
      <c r="B51" s="2" t="n"/>
      <c r="G51" s="5" t="n"/>
      <c r="H51" s="5" t="n"/>
      <c r="I51" s="5" t="n"/>
      <c r="J51" s="5" t="n"/>
      <c r="K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</row>
    <row r="52">
      <c r="B52" s="2" t="n"/>
      <c r="G52" s="5" t="n"/>
      <c r="H52" s="5" t="n"/>
      <c r="I52" s="5" t="n"/>
      <c r="J52" s="5" t="n"/>
      <c r="K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</row>
    <row r="53">
      <c r="G53" s="5" t="n"/>
      <c r="H53" s="5" t="n"/>
      <c r="I53" s="5" t="n"/>
      <c r="J53" s="5" t="n"/>
      <c r="K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</row>
    <row r="54">
      <c r="G54" s="5" t="n"/>
      <c r="H54" s="5" t="n"/>
      <c r="I54" s="5" t="n"/>
      <c r="J54" s="5" t="n"/>
      <c r="K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</row>
    <row r="55">
      <c r="G55" s="5" t="n"/>
      <c r="H55" s="5" t="n"/>
      <c r="I55" s="5" t="n"/>
      <c r="J55" s="5" t="n"/>
      <c r="K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</row>
    <row r="56">
      <c r="G56" s="5" t="n"/>
      <c r="H56" s="5" t="n"/>
      <c r="I56" s="5" t="n"/>
      <c r="J56" s="5" t="n"/>
      <c r="K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</row>
    <row r="57">
      <c r="G57" s="5" t="n"/>
      <c r="H57" s="5" t="n"/>
      <c r="I57" s="5" t="n"/>
      <c r="J57" s="5" t="n"/>
      <c r="K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</row>
    <row r="58">
      <c r="G58" s="5" t="n"/>
      <c r="H58" s="5" t="n"/>
      <c r="I58" s="5" t="n"/>
      <c r="J58" s="5" t="n"/>
      <c r="K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</row>
    <row r="59">
      <c r="G59" s="5" t="n"/>
      <c r="H59" s="5" t="n"/>
      <c r="I59" s="5" t="n"/>
      <c r="J59" s="5" t="n"/>
      <c r="K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  <c r="GP59" s="5" t="n"/>
      <c r="GQ59" s="5" t="n"/>
      <c r="GR59" s="5" t="n"/>
      <c r="GS59" s="5" t="n"/>
      <c r="GT59" s="5" t="n"/>
      <c r="GU59" s="5" t="n"/>
      <c r="GV59" s="5" t="n"/>
      <c r="GW59" s="5" t="n"/>
      <c r="GX59" s="5" t="n"/>
      <c r="GY59" s="5" t="n"/>
    </row>
    <row r="60">
      <c r="G60" s="5" t="n"/>
      <c r="H60" s="5" t="n"/>
      <c r="I60" s="5" t="n"/>
      <c r="J60" s="5" t="n"/>
      <c r="K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  <c r="GP60" s="5" t="n"/>
      <c r="GQ60" s="5" t="n"/>
      <c r="GR60" s="5" t="n"/>
      <c r="GS60" s="5" t="n"/>
      <c r="GT60" s="5" t="n"/>
      <c r="GU60" s="5" t="n"/>
      <c r="GV60" s="5" t="n"/>
      <c r="GW60" s="5" t="n"/>
      <c r="GX60" s="5" t="n"/>
      <c r="GY60" s="5" t="n"/>
    </row>
    <row r="61">
      <c r="G61" s="5" t="n"/>
      <c r="H61" s="5" t="n"/>
      <c r="I61" s="5" t="n"/>
      <c r="J61" s="5" t="n"/>
      <c r="K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  <c r="GP61" s="5" t="n"/>
      <c r="GQ61" s="5" t="n"/>
      <c r="GR61" s="5" t="n"/>
      <c r="GS61" s="5" t="n"/>
      <c r="GT61" s="5" t="n"/>
      <c r="GU61" s="5" t="n"/>
      <c r="GV61" s="5" t="n"/>
      <c r="GW61" s="5" t="n"/>
      <c r="GX61" s="5" t="n"/>
      <c r="GY61" s="5" t="n"/>
    </row>
    <row r="62">
      <c r="G62" s="5" t="n"/>
      <c r="H62" s="5" t="n"/>
      <c r="I62" s="5" t="n"/>
      <c r="J62" s="5" t="n"/>
      <c r="K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</row>
    <row r="63">
      <c r="G63" s="5" t="n"/>
      <c r="H63" s="5" t="n"/>
      <c r="I63" s="5" t="n"/>
      <c r="J63" s="5" t="n"/>
      <c r="K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Meiser</dc:creator>
  <dcterms:created xsi:type="dcterms:W3CDTF">2022-05-13T08:47:45Z</dcterms:created>
  <dcterms:modified xsi:type="dcterms:W3CDTF">2026-10-26T12:37:00Z</dcterms:modified>
  <cp:lastModifiedBy>Michael Meiser</cp:lastModifiedBy>
</cp:coreProperties>
</file>