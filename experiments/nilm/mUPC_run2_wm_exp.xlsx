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764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164" fontId="0" fillId="0" borderId="0" pivotButton="0" quotePrefix="0" xfId="0"/>
    <xf numFmtId="164" fontId="0" fillId="0" borderId="0" pivotButton="0" quotePrefix="1" xfId="0"/>
    <xf numFmtId="164" fontId="0" fillId="0" borderId="0" pivotButton="0" quotePrefix="0" xfId="0"/>
    <xf numFmtId="0" fontId="0" fillId="0" borderId="0" applyAlignment="1" pivotButton="0" quotePrefix="1" xfId="0">
      <alignment horizontal="right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96"/>
  <sheetViews>
    <sheetView tabSelected="1" workbookViewId="0">
      <selection activeCell="B18" sqref="B18"/>
    </sheetView>
  </sheetViews>
  <sheetFormatPr baseColWidth="10" defaultRowHeight="15"/>
  <cols>
    <col width="36.83203125" customWidth="1" min="1" max="1"/>
    <col width="24.83203125" customWidth="1" min="2" max="2"/>
    <col width="24.5" customWidth="1" min="3" max="3"/>
    <col width="19.33203125" customWidth="1" min="4" max="4"/>
    <col width="10" customWidth="1" min="5" max="5"/>
    <col width="17.6640625" customWidth="1" min="6" max="6"/>
    <col width="18.1640625" customWidth="1" min="7" max="7"/>
    <col width="12.5" customWidth="1" min="8" max="8"/>
    <col width="12.6640625" customWidth="1" min="9" max="9"/>
    <col width="18.83203125" customWidth="1" min="10" max="10"/>
    <col width="14.83203125" customWidth="1" min="11" max="11"/>
    <col width="5.6640625" customWidth="1" min="12" max="12"/>
    <col width="13.33203125" customWidth="1" min="13" max="13"/>
  </cols>
  <sheetData>
    <row r="1">
      <c r="A1" s="1" t="inlineStr">
        <is>
          <t>Konfig:</t>
        </is>
      </c>
      <c r="D1" s="1" t="n"/>
    </row>
    <row r="2">
      <c r="A2" t="inlineStr">
        <is>
          <t>device: washing machine</t>
        </is>
      </c>
    </row>
    <row r="3">
      <c r="A3" t="inlineStr">
        <is>
          <t>train: mUPC_run2_dataset.h5</t>
        </is>
      </c>
      <c r="B3" s="2" t="n"/>
      <c r="C3" s="2" t="n"/>
      <c r="E3" s="2" t="n"/>
      <c r="G3" s="2" t="n"/>
      <c r="H3" s="2" t="n"/>
      <c r="I3" s="2" t="n"/>
      <c r="J3" s="5" t="n"/>
      <c r="K3" s="2" t="n"/>
      <c r="L3" s="2" t="n"/>
    </row>
    <row r="4">
      <c r="A4" t="inlineStr">
        <is>
          <t>train_synth: (hh_01)</t>
        </is>
      </c>
      <c r="B4" s="2" t="inlineStr">
        <is>
          <t>start_time': '2024-08-01'</t>
        </is>
      </c>
      <c r="C4" s="2" t="inlineStr">
        <is>
          <t>end_time': '2024-08-14'</t>
        </is>
      </c>
      <c r="E4" s="2" t="n"/>
      <c r="G4" s="2" t="n"/>
      <c r="H4" s="2" t="n"/>
      <c r="I4" s="2" t="n"/>
      <c r="J4" s="5" t="n"/>
      <c r="K4" s="2" t="n"/>
      <c r="L4" s="2" t="n"/>
    </row>
    <row r="5">
      <c r="A5" t="inlineStr">
        <is>
          <t>train_synth: (hh_04)</t>
        </is>
      </c>
      <c r="B5" s="2" t="inlineStr">
        <is>
          <t>start_time': '2024-08-01'</t>
        </is>
      </c>
      <c r="C5" s="2" t="inlineStr">
        <is>
          <t>end_time': '2024-08-14'</t>
        </is>
      </c>
      <c r="E5" s="2" t="n"/>
      <c r="G5" s="6" t="inlineStr">
        <is>
          <t>MAE_total</t>
        </is>
      </c>
      <c r="H5" s="2" t="n"/>
      <c r="I5" s="2" t="n"/>
      <c r="J5" s="5" t="n"/>
      <c r="K5" s="2" t="n"/>
      <c r="L5" s="2" t="n"/>
    </row>
    <row r="6">
      <c r="A6" t="inlineStr">
        <is>
          <t>train_synth: (hh_14)</t>
        </is>
      </c>
      <c r="B6" s="2" t="inlineStr">
        <is>
          <t>start_time': '2024-08-01'</t>
        </is>
      </c>
      <c r="C6" s="2" t="inlineStr">
        <is>
          <t>end_time': '2024-08-14'</t>
        </is>
      </c>
      <c r="E6" s="2" t="n"/>
      <c r="F6" t="inlineStr">
        <is>
          <t>RNN_total</t>
        </is>
      </c>
      <c r="G6" s="5">
        <f>SUM(G14,G26,G38,G50,G62,G74,G86)/7</f>
        <v/>
      </c>
      <c r="H6" s="4" t="n"/>
      <c r="I6" s="5" t="n"/>
      <c r="J6" s="5" t="n"/>
      <c r="K6" s="5" t="n"/>
      <c r="L6" s="2" t="n"/>
    </row>
    <row r="7">
      <c r="A7" t="inlineStr">
        <is>
          <t>train_synth: (hh_15)</t>
        </is>
      </c>
      <c r="B7" s="2" t="inlineStr">
        <is>
          <t>start_time': '2024-08-01'</t>
        </is>
      </c>
      <c r="C7" s="2" t="inlineStr">
        <is>
          <t>end_time': '2024-08-14'</t>
        </is>
      </c>
      <c r="E7" s="2" t="n"/>
      <c r="F7" t="inlineStr">
        <is>
          <t>WindowGRU_total</t>
        </is>
      </c>
      <c r="G7" s="5">
        <f>SUM(G16,G28,G40,G52,G64,G76,G88)/7</f>
        <v/>
      </c>
      <c r="H7" s="4" t="n"/>
      <c r="I7" s="5" t="n"/>
      <c r="J7" s="5" t="n"/>
      <c r="K7" s="5" t="n"/>
      <c r="L7" s="2" t="n"/>
    </row>
    <row r="8">
      <c r="A8" t="inlineStr">
        <is>
          <t>test_real: test_dataset.h5</t>
        </is>
      </c>
      <c r="E8" s="2" t="n"/>
      <c r="F8" t="inlineStr">
        <is>
          <t>DAE_total</t>
        </is>
      </c>
      <c r="G8" s="5">
        <f>SUM(G18,G30,G42,G54,G66,G78,G90)/7</f>
        <v/>
      </c>
      <c r="H8" s="4" t="n"/>
      <c r="I8" s="5" t="n"/>
      <c r="J8" s="5" t="n"/>
      <c r="K8" s="5" t="n"/>
    </row>
    <row r="9">
      <c r="A9" t="inlineStr">
        <is>
          <t>validierung: Validation from training data (15%)</t>
        </is>
      </c>
      <c r="B9" s="2" t="n"/>
      <c r="C9" s="2" t="n"/>
      <c r="D9" s="2" t="n"/>
      <c r="E9" s="2" t="n"/>
      <c r="F9" t="inlineStr">
        <is>
          <t>Seq2Seq_total</t>
        </is>
      </c>
      <c r="G9" s="5">
        <f>SUM(G20,G32,G44,G56,G68,G80,G92)/7</f>
        <v/>
      </c>
      <c r="H9" s="4" t="n"/>
      <c r="I9" s="5" t="n"/>
      <c r="J9" s="5" t="n"/>
      <c r="K9" s="5" t="n"/>
    </row>
    <row r="10">
      <c r="A10" t="inlineStr">
        <is>
          <t>für alle Algorithmen stardart NILM settings</t>
        </is>
      </c>
      <c r="F10" t="inlineStr">
        <is>
          <t>Seq2Point_total</t>
        </is>
      </c>
      <c r="G10" s="5">
        <f>SUM(G22,G34,G46,G58,G70,G82,G94)/7</f>
        <v/>
      </c>
      <c r="H10" s="4" t="n"/>
      <c r="I10" s="5" t="n"/>
      <c r="J10" s="5" t="n"/>
      <c r="K10" s="5" t="n"/>
    </row>
    <row r="11">
      <c r="G11" s="5" t="n"/>
      <c r="H11" s="5" t="n"/>
    </row>
    <row r="12">
      <c r="B12" t="inlineStr">
        <is>
          <t>test_dataset.h5</t>
        </is>
      </c>
      <c r="D12" s="1" t="inlineStr">
        <is>
          <t>reale Testdaten(hh_03):</t>
        </is>
      </c>
    </row>
    <row r="13">
      <c r="B13" s="2" t="inlineStr">
        <is>
          <t>buildings': 3</t>
        </is>
      </c>
      <c r="D13" s="1" t="inlineStr">
        <is>
          <t>NILM Algorithms:</t>
        </is>
      </c>
      <c r="E13" s="1" t="inlineStr">
        <is>
          <t>Metric</t>
        </is>
      </c>
      <c r="F13" s="1" t="inlineStr">
        <is>
          <t>Number of exp</t>
        </is>
      </c>
      <c r="G13" s="1" t="inlineStr">
        <is>
          <t>Mean</t>
        </is>
      </c>
      <c r="H13" s="1" t="inlineStr">
        <is>
          <t>Max</t>
        </is>
      </c>
      <c r="I13" s="1" t="inlineStr">
        <is>
          <t>Min</t>
        </is>
      </c>
      <c r="J13" s="1" t="inlineStr">
        <is>
          <t>Standart deviation</t>
        </is>
      </c>
      <c r="K13" s="1" t="inlineStr">
        <is>
          <t>Variance</t>
        </is>
      </c>
      <c r="L13" s="1" t="n"/>
      <c r="M13" s="1" t="inlineStr">
        <is>
          <t>Experiments</t>
        </is>
      </c>
    </row>
    <row r="14">
      <c r="B14" s="2" t="inlineStr">
        <is>
          <t>start_time': '2019-12-04'</t>
        </is>
      </c>
      <c r="D14" t="inlineStr">
        <is>
          <t>RNN</t>
        </is>
      </c>
      <c r="E14" t="inlineStr">
        <is>
          <t>MAE</t>
        </is>
      </c>
      <c r="F14">
        <f>COUNT(M14:GJ14)</f>
        <v/>
      </c>
      <c r="G14" s="5">
        <f>AVERAGE(M14:GJ14)</f>
        <v/>
      </c>
      <c r="H14" s="5">
        <f>MAX(M14:GJ14)</f>
        <v/>
      </c>
      <c r="I14" s="5">
        <f>MIN(M14:GJ14)</f>
        <v/>
      </c>
      <c r="J14" s="5">
        <f>_xlfn.STDEV.P(M14:GJ14)</f>
        <v/>
      </c>
      <c r="K14" s="5">
        <f>_xlfn.VAR.S(M14:GJ14)</f>
        <v/>
      </c>
      <c r="M14" s="5" t="n">
        <v>15.250324</v>
      </c>
      <c r="N14" s="5" t="n">
        <v>14.165037</v>
      </c>
      <c r="O14" s="5" t="n">
        <v>14.839971</v>
      </c>
      <c r="P14" s="5" t="n">
        <v>20.445482</v>
      </c>
      <c r="Q14" s="5" t="n">
        <v>13.931141</v>
      </c>
      <c r="R14" s="5" t="n">
        <v>13.910094</v>
      </c>
      <c r="S14" s="5" t="n">
        <v>18.048485</v>
      </c>
      <c r="T14" s="5" t="n">
        <v>14.306978</v>
      </c>
      <c r="U14" s="5" t="n">
        <v>12.392717</v>
      </c>
      <c r="V14" s="5" t="n">
        <v>14.994246</v>
      </c>
      <c r="W14" s="5" t="n">
        <v>13.877929</v>
      </c>
      <c r="X14" s="5" t="n">
        <v>20.369129</v>
      </c>
      <c r="Y14" s="5" t="n">
        <v>17.628376</v>
      </c>
      <c r="Z14" s="5" t="n">
        <v>12.08744</v>
      </c>
      <c r="AA14" s="5" t="n">
        <v>21.283037</v>
      </c>
      <c r="AB14" s="5" t="n">
        <v>15.788329</v>
      </c>
      <c r="AC14" s="5" t="n">
        <v>17.313063</v>
      </c>
      <c r="AD14" s="5" t="n">
        <v>14.989307</v>
      </c>
      <c r="AE14" s="5" t="n">
        <v>19.939337</v>
      </c>
      <c r="AF14" s="5" t="n">
        <v>21.00972</v>
      </c>
      <c r="AG14" s="5" t="n">
        <v>13.794661</v>
      </c>
      <c r="AH14" s="5" t="n">
        <v>16.756907</v>
      </c>
      <c r="AI14" s="5" t="n">
        <v>17.430523</v>
      </c>
      <c r="AJ14" s="5" t="n">
        <v>15.659583</v>
      </c>
      <c r="AK14" s="5" t="n">
        <v>17.049564</v>
      </c>
      <c r="AL14" s="5" t="n">
        <v>14.516375</v>
      </c>
      <c r="AM14" s="5" t="n">
        <v>12.310292</v>
      </c>
      <c r="AN14" s="5" t="n">
        <v>14.438781</v>
      </c>
      <c r="AO14" s="5" t="n">
        <v>19.794865</v>
      </c>
      <c r="AP14" s="5" t="n">
        <v>17.901907</v>
      </c>
      <c r="AQ14" s="5" t="n">
        <v>17.029552</v>
      </c>
      <c r="AR14" s="5" t="n">
        <v>14.838535</v>
      </c>
      <c r="AS14" s="5" t="n">
        <v>14.995055</v>
      </c>
      <c r="AT14" s="5" t="n">
        <v>14.023996</v>
      </c>
      <c r="AU14" s="5" t="n">
        <v>16.56912</v>
      </c>
      <c r="AV14" s="5" t="n">
        <v>14.854001</v>
      </c>
      <c r="AW14" s="5" t="n">
        <v>18.320883</v>
      </c>
      <c r="AX14" s="5" t="n">
        <v>17.372232</v>
      </c>
      <c r="AY14" s="5" t="n">
        <v>19.177708</v>
      </c>
      <c r="AZ14" s="5" t="n">
        <v>13.077666</v>
      </c>
      <c r="BA14" s="5" t="n">
        <v>19.0546</v>
      </c>
      <c r="BB14" s="5" t="n">
        <v>14.525414</v>
      </c>
      <c r="BC14" s="5" t="n">
        <v>13.627528</v>
      </c>
      <c r="BD14" s="5" t="n">
        <v>17.870678</v>
      </c>
      <c r="BE14" s="5" t="n">
        <v>21.408857</v>
      </c>
      <c r="BF14" s="5" t="n">
        <v>16.381676</v>
      </c>
      <c r="BG14" s="5" t="n">
        <v>19.194937</v>
      </c>
      <c r="BH14" s="5" t="n">
        <v>17.691668</v>
      </c>
      <c r="BI14" s="5" t="n">
        <v>17.058756</v>
      </c>
      <c r="BJ14" s="5" t="n">
        <v>14.222875</v>
      </c>
      <c r="BK14" s="5" t="n">
        <v>14.863567</v>
      </c>
      <c r="BL14" s="5" t="n">
        <v>15.883471</v>
      </c>
      <c r="BM14" s="5" t="n">
        <v>16.612713</v>
      </c>
      <c r="BN14" s="5" t="n">
        <v>18.751505</v>
      </c>
      <c r="BO14" s="5" t="n">
        <v>13.395491</v>
      </c>
      <c r="BP14" s="5" t="n">
        <v>16.589836</v>
      </c>
      <c r="BQ14" s="5" t="n">
        <v>17.849329</v>
      </c>
      <c r="BR14" s="5" t="n">
        <v>16.608223</v>
      </c>
      <c r="BS14" s="5" t="n">
        <v>13.808769</v>
      </c>
      <c r="BT14" s="5" t="n">
        <v>13.782558</v>
      </c>
      <c r="BU14" s="5" t="n">
        <v>15.069365</v>
      </c>
      <c r="BV14" s="5" t="n">
        <v>20.853918</v>
      </c>
      <c r="BW14" s="5" t="n">
        <v>13.290433</v>
      </c>
      <c r="BX14" s="5" t="n">
        <v>12.857709</v>
      </c>
      <c r="BY14" s="5" t="n">
        <v>15.968386</v>
      </c>
      <c r="BZ14" s="5" t="n">
        <v>13.366519</v>
      </c>
      <c r="CA14" s="5" t="n">
        <v>17.708891</v>
      </c>
      <c r="CB14" s="5" t="n">
        <v>15.829155</v>
      </c>
      <c r="CC14" s="5" t="n">
        <v>20.355515</v>
      </c>
      <c r="CD14" s="5" t="n">
        <v>19.580523</v>
      </c>
      <c r="CE14" s="5" t="n">
        <v>14.385855</v>
      </c>
      <c r="CF14" s="5" t="n">
        <v>16.885834</v>
      </c>
      <c r="CG14" s="5" t="n">
        <v>13.688961</v>
      </c>
      <c r="CH14" s="5" t="n">
        <v>17.986197</v>
      </c>
      <c r="CI14" s="5" t="n">
        <v>16.681398</v>
      </c>
      <c r="CJ14" s="5" t="n">
        <v>15.440617</v>
      </c>
      <c r="CK14" s="5" t="n">
        <v>14.71151</v>
      </c>
      <c r="CL14" s="5" t="n">
        <v>14.313301</v>
      </c>
      <c r="CM14" s="5" t="n">
        <v>15.706634</v>
      </c>
      <c r="CN14" s="5" t="n">
        <v>18.740313</v>
      </c>
      <c r="CO14" s="5" t="n">
        <v>18.258202</v>
      </c>
      <c r="CP14" s="5" t="n">
        <v>17.710716</v>
      </c>
      <c r="CQ14" s="5" t="n">
        <v>15.378284</v>
      </c>
      <c r="CR14" s="5" t="n">
        <v>13.51675</v>
      </c>
      <c r="CS14" s="5" t="n">
        <v>14.040367</v>
      </c>
      <c r="CT14" s="5" t="n">
        <v>13.579073</v>
      </c>
      <c r="CU14" s="5" t="n">
        <v>22.097797</v>
      </c>
      <c r="CV14" s="5" t="n">
        <v>14.468475</v>
      </c>
      <c r="CW14" s="5" t="n">
        <v>11.805114</v>
      </c>
      <c r="CX14" s="5" t="n">
        <v>13.674283</v>
      </c>
      <c r="CY14" s="5" t="n">
        <v>12.925426</v>
      </c>
      <c r="CZ14" s="5" t="n">
        <v>18.624332</v>
      </c>
      <c r="DA14" s="5" t="n">
        <v>15.508626</v>
      </c>
      <c r="DB14" s="5" t="n">
        <v>19.204113</v>
      </c>
      <c r="DC14" s="5" t="n">
        <v>18.726042</v>
      </c>
      <c r="DD14" s="5" t="n">
        <v>17.81773</v>
      </c>
      <c r="DE14" s="5" t="n">
        <v>21.43347</v>
      </c>
      <c r="DF14" s="5" t="n">
        <v>16.056421</v>
      </c>
      <c r="DG14" s="5" t="n">
        <v>17.355993</v>
      </c>
      <c r="DH14" s="5" t="n">
        <v>15.902964</v>
      </c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  <c r="GP14" s="5" t="n"/>
      <c r="GQ14" s="5" t="n"/>
      <c r="GR14" s="5" t="n"/>
      <c r="GS14" s="5" t="n"/>
      <c r="GT14" s="5" t="n"/>
      <c r="GU14" s="5" t="n"/>
      <c r="GV14" s="5" t="n"/>
      <c r="GW14" s="5" t="n"/>
      <c r="GX14" s="5" t="n"/>
      <c r="GY14" s="5" t="n"/>
    </row>
    <row r="15">
      <c r="B15" s="2" t="inlineStr">
        <is>
          <t>start_time': '2019-12-17'</t>
        </is>
      </c>
      <c r="G15" s="5" t="n"/>
      <c r="H15" s="5" t="n"/>
      <c r="I15" s="5" t="n"/>
      <c r="J15" s="5" t="n"/>
      <c r="K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</row>
    <row r="16">
      <c r="D16" t="inlineStr">
        <is>
          <t>WindowGRU</t>
        </is>
      </c>
      <c r="E16" t="inlineStr">
        <is>
          <t>MAE</t>
        </is>
      </c>
      <c r="F16">
        <f>COUNT(M16:GJ16)</f>
        <v/>
      </c>
      <c r="G16" s="5">
        <f>AVERAGE(M16:GJ16)</f>
        <v/>
      </c>
      <c r="H16" s="5">
        <f>MAX(M16:GJ16)</f>
        <v/>
      </c>
      <c r="I16" s="5">
        <f>MIN(M16:GJ16)</f>
        <v/>
      </c>
      <c r="J16" s="5">
        <f>_xlfn.STDEV.P(M16:GJ16)</f>
        <v/>
      </c>
      <c r="K16" s="5">
        <f>_xlfn.VAR.S(M16:GJ16)</f>
        <v/>
      </c>
      <c r="M16" s="5" t="n">
        <v>14.990317</v>
      </c>
      <c r="N16" s="5" t="n">
        <v>22.201969</v>
      </c>
      <c r="O16" s="5" t="n">
        <v>25.088339</v>
      </c>
      <c r="P16" s="5" t="n">
        <v>29.492687</v>
      </c>
      <c r="Q16" s="5" t="n">
        <v>24.53027</v>
      </c>
      <c r="R16" s="5" t="n">
        <v>25.22835</v>
      </c>
      <c r="S16" s="5" t="n">
        <v>15.866322</v>
      </c>
      <c r="T16" s="5" t="n">
        <v>25.936502</v>
      </c>
      <c r="U16" s="5" t="n">
        <v>17.855652</v>
      </c>
      <c r="V16" s="5" t="n">
        <v>20.676582</v>
      </c>
      <c r="W16" s="5" t="n">
        <v>17.96636</v>
      </c>
      <c r="X16" s="5" t="n">
        <v>15.106274</v>
      </c>
      <c r="Y16" s="5" t="n">
        <v>25.260853</v>
      </c>
      <c r="Z16" s="5" t="n">
        <v>24.806305</v>
      </c>
      <c r="AA16" s="5" t="n">
        <v>16.455555</v>
      </c>
      <c r="AB16" s="5" t="n">
        <v>18.355213</v>
      </c>
      <c r="AC16" s="5" t="n">
        <v>16.310171</v>
      </c>
      <c r="AD16" s="5" t="n">
        <v>23.032742</v>
      </c>
      <c r="AE16" s="5" t="n">
        <v>24.079447</v>
      </c>
      <c r="AF16" s="5" t="n">
        <v>23.467667</v>
      </c>
      <c r="AG16" s="5" t="n">
        <v>28.417162</v>
      </c>
      <c r="AH16" s="5" t="n">
        <v>22.961514</v>
      </c>
      <c r="AI16" s="5" t="n">
        <v>14.634372</v>
      </c>
      <c r="AJ16" s="5" t="n">
        <v>17.619143</v>
      </c>
      <c r="AK16" s="5" t="n">
        <v>27.092907</v>
      </c>
      <c r="AL16" s="5" t="n">
        <v>17.262524</v>
      </c>
      <c r="AM16" s="5" t="n">
        <v>18.309465</v>
      </c>
      <c r="AN16" s="5" t="n">
        <v>19.784466</v>
      </c>
      <c r="AO16" s="5" t="n">
        <v>18.231155</v>
      </c>
      <c r="AP16" s="5" t="n">
        <v>24.81426</v>
      </c>
      <c r="AQ16" s="5" t="n">
        <v>23.97328</v>
      </c>
      <c r="AR16" s="5" t="n">
        <v>10.301235</v>
      </c>
      <c r="AS16" s="5" t="n">
        <v>23.003662</v>
      </c>
      <c r="AT16" s="5" t="n">
        <v>15.129457</v>
      </c>
      <c r="AU16" s="5" t="n">
        <v>16.060469</v>
      </c>
      <c r="AV16" s="5" t="n">
        <v>15.888685</v>
      </c>
      <c r="AW16" s="5" t="n">
        <v>14.211308</v>
      </c>
      <c r="AX16" s="5" t="n">
        <v>22.781906</v>
      </c>
      <c r="AY16" s="5" t="n">
        <v>25.757778</v>
      </c>
      <c r="AZ16" s="5" t="n">
        <v>12.912308</v>
      </c>
      <c r="BA16" s="5" t="n">
        <v>16.907471</v>
      </c>
      <c r="BB16" s="5" t="n">
        <v>13.836426</v>
      </c>
      <c r="BC16" s="5" t="n">
        <v>22.512922</v>
      </c>
      <c r="BD16" s="5" t="n">
        <v>20.561348</v>
      </c>
      <c r="BE16" s="5" t="n">
        <v>21.133383</v>
      </c>
      <c r="BF16" s="5" t="n">
        <v>15.585845</v>
      </c>
      <c r="BG16" s="5" t="n">
        <v>24.865644</v>
      </c>
      <c r="BH16" s="5" t="n">
        <v>17.995502</v>
      </c>
      <c r="BI16" s="5" t="n">
        <v>17.082855</v>
      </c>
      <c r="BJ16" s="5" t="n">
        <v>13.391758</v>
      </c>
      <c r="BK16" s="5" t="n">
        <v>16.530054</v>
      </c>
      <c r="BL16" s="5" t="n">
        <v>13.552699</v>
      </c>
      <c r="BM16" s="5" t="n">
        <v>18.783611</v>
      </c>
      <c r="BN16" s="5" t="n">
        <v>12.467072</v>
      </c>
      <c r="BO16" s="5" t="n">
        <v>23.795809</v>
      </c>
      <c r="BP16" s="5" t="n">
        <v>22.793163</v>
      </c>
      <c r="BQ16" s="5" t="n">
        <v>14.110405</v>
      </c>
      <c r="BR16" s="5" t="n">
        <v>25.153316</v>
      </c>
      <c r="BS16" s="5" t="n">
        <v>15.89187</v>
      </c>
      <c r="BT16" s="5" t="n">
        <v>13.540425</v>
      </c>
      <c r="BU16" s="5" t="n">
        <v>14.214862</v>
      </c>
      <c r="BV16" s="5" t="n">
        <v>14.994901</v>
      </c>
      <c r="BW16" s="5" t="n">
        <v>22.527729</v>
      </c>
      <c r="BX16" s="5" t="n">
        <v>24.941608</v>
      </c>
      <c r="BY16" s="5" t="n">
        <v>13.795588</v>
      </c>
      <c r="BZ16" s="5" t="n">
        <v>14.787224</v>
      </c>
      <c r="CA16" s="5" t="n">
        <v>12.806585</v>
      </c>
      <c r="CB16" s="5" t="n">
        <v>23.159555</v>
      </c>
      <c r="CC16" s="5" t="n">
        <v>23.338593</v>
      </c>
      <c r="CD16" s="5" t="n">
        <v>26.001215</v>
      </c>
      <c r="CE16" s="5" t="n">
        <v>18.683102</v>
      </c>
      <c r="CF16" s="5" t="n">
        <v>22.172983</v>
      </c>
      <c r="CG16" s="5" t="n">
        <v>15.019407</v>
      </c>
      <c r="CH16" s="5" t="n">
        <v>11.822149</v>
      </c>
      <c r="CI16" s="5" t="n">
        <v>12.772842</v>
      </c>
      <c r="CJ16" s="5" t="n">
        <v>18.428406</v>
      </c>
      <c r="CK16" s="5" t="n">
        <v>13.367092</v>
      </c>
      <c r="CL16" s="5" t="n">
        <v>18.072163</v>
      </c>
      <c r="CM16" s="5" t="n">
        <v>16.032578</v>
      </c>
      <c r="CN16" s="5" t="n">
        <v>24.708279</v>
      </c>
      <c r="CO16" s="5" t="n">
        <v>17.247545</v>
      </c>
      <c r="CP16" s="5" t="n">
        <v>12.991413</v>
      </c>
      <c r="CQ16" s="5" t="n">
        <v>27.631639</v>
      </c>
      <c r="CR16" s="5" t="n">
        <v>16.961582</v>
      </c>
      <c r="CS16" s="5" t="n">
        <v>17.324585</v>
      </c>
      <c r="CT16" s="5" t="n">
        <v>16.245712</v>
      </c>
      <c r="CU16" s="5" t="n">
        <v>17.98884</v>
      </c>
      <c r="CV16" s="5" t="n">
        <v>22.563284</v>
      </c>
      <c r="CW16" s="5" t="n">
        <v>22.732157</v>
      </c>
      <c r="CX16" s="5" t="n">
        <v>10.844825</v>
      </c>
      <c r="CY16" s="5" t="n">
        <v>15.43969</v>
      </c>
      <c r="CZ16" s="5" t="n">
        <v>13.228688</v>
      </c>
      <c r="DA16" s="5" t="n">
        <v>23.864252</v>
      </c>
      <c r="DB16" s="5" t="n">
        <v>22.040339</v>
      </c>
      <c r="DC16" s="5" t="n">
        <v>22.410805</v>
      </c>
      <c r="DD16" s="5" t="n">
        <v>17.410458</v>
      </c>
      <c r="DE16" s="5" t="n">
        <v>21.393919</v>
      </c>
      <c r="DF16" s="5" t="n">
        <v>17.156267</v>
      </c>
      <c r="DG16" s="5" t="n">
        <v>15.178191</v>
      </c>
      <c r="DH16" s="5" t="n">
        <v>15.889588</v>
      </c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</row>
    <row r="17">
      <c r="G17" s="5" t="n"/>
      <c r="H17" s="5" t="n"/>
      <c r="I17" s="5" t="n"/>
      <c r="J17" s="5" t="n"/>
      <c r="K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  <c r="DX17" s="5" t="n"/>
      <c r="DY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</row>
    <row r="18">
      <c r="D18" t="inlineStr">
        <is>
          <t>DAE</t>
        </is>
      </c>
      <c r="E18" t="inlineStr">
        <is>
          <t>MAE</t>
        </is>
      </c>
      <c r="F18">
        <f>COUNT(M18:GJ18)</f>
        <v/>
      </c>
      <c r="G18" s="5">
        <f>AVERAGE(M18:GJ18)</f>
        <v/>
      </c>
      <c r="H18" s="5">
        <f>MAX(M18:GJ18)</f>
        <v/>
      </c>
      <c r="I18" s="5">
        <f>MIN(M18:GJ18)</f>
        <v/>
      </c>
      <c r="J18" s="5">
        <f>_xlfn.STDEV.P(M18:GJ18)</f>
        <v/>
      </c>
      <c r="K18" s="5">
        <f>_xlfn.VAR.S(M18:GJ18)</f>
        <v/>
      </c>
      <c r="M18" s="5" t="n">
        <v>25.620399</v>
      </c>
      <c r="N18" s="5" t="n">
        <v>23.924568</v>
      </c>
      <c r="O18" s="5" t="n">
        <v>23.855108</v>
      </c>
      <c r="P18" s="5" t="n">
        <v>24.048874</v>
      </c>
      <c r="Q18" s="5" t="n">
        <v>27.021221</v>
      </c>
      <c r="R18" s="5" t="n">
        <v>23.728386</v>
      </c>
      <c r="S18" s="5" t="n">
        <v>24.121815</v>
      </c>
      <c r="T18" s="5" t="n">
        <v>24.891527</v>
      </c>
      <c r="U18" s="5" t="n">
        <v>25.451994</v>
      </c>
      <c r="V18" s="5" t="n">
        <v>24.922487</v>
      </c>
      <c r="W18" s="5" t="n">
        <v>24.803278</v>
      </c>
      <c r="X18" s="5" t="n">
        <v>29.228064</v>
      </c>
      <c r="Y18" s="5" t="n">
        <v>25.199821</v>
      </c>
      <c r="Z18" s="5" t="n">
        <v>24.692558</v>
      </c>
      <c r="AA18" s="5" t="n">
        <v>24.286018</v>
      </c>
      <c r="AB18" s="5" t="n">
        <v>28.893724</v>
      </c>
      <c r="AC18" s="5" t="n">
        <v>26.389475</v>
      </c>
      <c r="AD18" s="5" t="n">
        <v>22.991541</v>
      </c>
      <c r="AE18" s="5" t="n">
        <v>26.409016</v>
      </c>
      <c r="AF18" s="5" t="n">
        <v>24.633472</v>
      </c>
      <c r="AG18" s="5" t="n">
        <v>24.265539</v>
      </c>
      <c r="AH18" s="5" t="n">
        <v>25.302555</v>
      </c>
      <c r="AI18" s="5" t="n">
        <v>23.696743</v>
      </c>
      <c r="AJ18" s="5" t="n">
        <v>24.280239</v>
      </c>
      <c r="AK18" s="5" t="n">
        <v>25.279303</v>
      </c>
      <c r="AL18" s="5" t="n">
        <v>24.926409</v>
      </c>
      <c r="AM18" s="5" t="n">
        <v>23.947371</v>
      </c>
      <c r="AN18" s="5" t="n">
        <v>23.712727</v>
      </c>
      <c r="AO18" s="5" t="n">
        <v>24.329971</v>
      </c>
      <c r="AP18" s="5" t="n">
        <v>26.078344</v>
      </c>
      <c r="AQ18" s="5" t="n">
        <v>25.099602</v>
      </c>
      <c r="AR18" s="5" t="n">
        <v>23.979391</v>
      </c>
      <c r="AS18" s="5" t="n">
        <v>25.072134</v>
      </c>
      <c r="AT18" s="5" t="n">
        <v>25.362431</v>
      </c>
      <c r="AU18" s="5" t="n">
        <v>25.401966</v>
      </c>
      <c r="AV18" s="5" t="n">
        <v>24.734121</v>
      </c>
      <c r="AW18" s="5" t="n">
        <v>29.086464</v>
      </c>
      <c r="AX18" s="5" t="n">
        <v>24.353148</v>
      </c>
      <c r="AY18" s="5" t="n">
        <v>25.901541</v>
      </c>
      <c r="AZ18" s="5" t="n">
        <v>24.693623</v>
      </c>
      <c r="BA18" s="5" t="n">
        <v>24.284771</v>
      </c>
      <c r="BB18" s="5" t="n">
        <v>24.792234</v>
      </c>
      <c r="BC18" s="5" t="n">
        <v>23.826464</v>
      </c>
      <c r="BD18" s="5" t="n">
        <v>25.267931</v>
      </c>
      <c r="BE18" s="5" t="n">
        <v>26.836948</v>
      </c>
      <c r="BF18" s="5" t="n">
        <v>24.267576</v>
      </c>
      <c r="BG18" s="5" t="n">
        <v>25.08403</v>
      </c>
      <c r="BH18" s="5" t="n">
        <v>24.895985</v>
      </c>
      <c r="BI18" s="5" t="n">
        <v>24.620796</v>
      </c>
      <c r="BJ18" s="5" t="n">
        <v>24.609692</v>
      </c>
      <c r="BK18" s="5" t="n">
        <v>25.015039</v>
      </c>
      <c r="BL18" s="5" t="n">
        <v>24.599707</v>
      </c>
      <c r="BM18" s="5" t="n">
        <v>24.674448</v>
      </c>
      <c r="BN18" s="5" t="n">
        <v>24.247128</v>
      </c>
      <c r="BO18" s="5" t="n">
        <v>25.597174</v>
      </c>
      <c r="BP18" s="5" t="n">
        <v>25.024261</v>
      </c>
      <c r="BQ18" s="5" t="n">
        <v>24.19775</v>
      </c>
      <c r="BR18" s="5" t="n">
        <v>24.348459</v>
      </c>
      <c r="BS18" s="5" t="n">
        <v>24.170055</v>
      </c>
      <c r="BT18" s="5" t="n">
        <v>25.005335</v>
      </c>
      <c r="BU18" s="5" t="n">
        <v>24.525633</v>
      </c>
      <c r="BV18" s="5" t="n">
        <v>28.991909</v>
      </c>
      <c r="BW18" s="5" t="n">
        <v>25.798304</v>
      </c>
      <c r="BX18" s="5" t="n">
        <v>23.77062</v>
      </c>
      <c r="BY18" s="5" t="n">
        <v>24.136368</v>
      </c>
      <c r="BZ18" s="5" t="n">
        <v>27.437532</v>
      </c>
      <c r="CA18" s="5" t="n">
        <v>26.146336</v>
      </c>
      <c r="CB18" s="5" t="n">
        <v>24.490328</v>
      </c>
      <c r="CC18" s="5" t="n">
        <v>26.011013</v>
      </c>
      <c r="CD18" s="5" t="n">
        <v>27.639175</v>
      </c>
      <c r="CE18" s="5" t="n">
        <v>23.844566</v>
      </c>
      <c r="CF18" s="5" t="n">
        <v>24.786116</v>
      </c>
      <c r="CG18" s="5" t="n">
        <v>24.310987</v>
      </c>
      <c r="CH18" s="5" t="n">
        <v>26.08992</v>
      </c>
      <c r="CI18" s="5" t="n">
        <v>24.195684</v>
      </c>
      <c r="CJ18" s="5" t="n">
        <v>26.670176</v>
      </c>
      <c r="CK18" s="5" t="n">
        <v>24.413834</v>
      </c>
      <c r="CL18" s="5" t="n">
        <v>25.204372</v>
      </c>
      <c r="CM18" s="5" t="n">
        <v>24.223976</v>
      </c>
      <c r="CN18" s="5" t="n">
        <v>26.254694</v>
      </c>
      <c r="CO18" s="5" t="n">
        <v>25.053305</v>
      </c>
      <c r="CP18" s="5" t="n">
        <v>23.571869</v>
      </c>
      <c r="CQ18" s="5" t="n">
        <v>24.201458</v>
      </c>
      <c r="CR18" s="5" t="n">
        <v>24.59247</v>
      </c>
      <c r="CS18" s="5" t="n">
        <v>25.541937</v>
      </c>
      <c r="CT18" s="5" t="n">
        <v>23.497402</v>
      </c>
      <c r="CU18" s="5" t="n">
        <v>28.246031</v>
      </c>
      <c r="CV18" s="5" t="n">
        <v>24.930422</v>
      </c>
      <c r="CW18" s="5" t="n">
        <v>25.251167</v>
      </c>
      <c r="CX18" s="5" t="n">
        <v>25.622269</v>
      </c>
      <c r="CY18" s="5" t="n">
        <v>25.428926</v>
      </c>
      <c r="CZ18" s="5" t="n">
        <v>25.37438</v>
      </c>
      <c r="DA18" s="5" t="n">
        <v>23.650036</v>
      </c>
      <c r="DB18" s="5" t="n">
        <v>26.817745</v>
      </c>
      <c r="DC18" s="5" t="n">
        <v>28.788799</v>
      </c>
      <c r="DD18" s="5" t="n">
        <v>24.569685</v>
      </c>
      <c r="DE18" s="5" t="n">
        <v>29.256685</v>
      </c>
      <c r="DF18" s="5" t="n">
        <v>25.422426</v>
      </c>
      <c r="DG18" s="5" t="n">
        <v>25.441137</v>
      </c>
      <c r="DH18" s="5" t="n">
        <v>23.921158</v>
      </c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</row>
    <row r="19">
      <c r="G19" s="5" t="n"/>
      <c r="H19" s="5" t="n"/>
      <c r="I19" s="5" t="n"/>
      <c r="J19" s="5" t="n"/>
      <c r="K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</row>
    <row r="20">
      <c r="D20" t="inlineStr">
        <is>
          <t>Seq2Seq</t>
        </is>
      </c>
      <c r="E20" t="inlineStr">
        <is>
          <t>MAE</t>
        </is>
      </c>
      <c r="F20">
        <f>COUNT(M20:GJ20)</f>
        <v/>
      </c>
      <c r="G20" s="5">
        <f>AVERAGE(M20:GJ20)</f>
        <v/>
      </c>
      <c r="H20" s="5">
        <f>MAX(M20:GJ20)</f>
        <v/>
      </c>
      <c r="I20" s="5">
        <f>MIN(M20:GJ20)</f>
        <v/>
      </c>
      <c r="J20" s="5">
        <f>_xlfn.STDEV.P(M20:GJ20)</f>
        <v/>
      </c>
      <c r="K20" s="5">
        <f>_xlfn.VAR.S(M20:GJ20)</f>
        <v/>
      </c>
      <c r="M20" s="5" t="n">
        <v>24.285929</v>
      </c>
      <c r="N20" s="5" t="n">
        <v>18.72588</v>
      </c>
      <c r="O20" s="5" t="n">
        <v>25.005835</v>
      </c>
      <c r="P20" s="5" t="n">
        <v>18.755112</v>
      </c>
      <c r="Q20" s="5" t="n">
        <v>22.593155</v>
      </c>
      <c r="R20" s="5" t="n">
        <v>21.353964</v>
      </c>
      <c r="S20" s="5" t="n">
        <v>10.399159</v>
      </c>
      <c r="T20" s="5" t="n">
        <v>23.963745</v>
      </c>
      <c r="U20" s="5" t="n">
        <v>24.208317</v>
      </c>
      <c r="V20" s="5" t="n">
        <v>25.526615</v>
      </c>
      <c r="W20" s="5" t="n">
        <v>24.203882</v>
      </c>
      <c r="X20" s="5" t="n">
        <v>18.989502</v>
      </c>
      <c r="Y20" s="5" t="n">
        <v>23.411779</v>
      </c>
      <c r="Z20" s="5" t="n">
        <v>25.222544</v>
      </c>
      <c r="AA20" s="5" t="n">
        <v>22.56255</v>
      </c>
      <c r="AB20" s="5" t="n">
        <v>24.809828</v>
      </c>
      <c r="AC20" s="5" t="n">
        <v>23.824772</v>
      </c>
      <c r="AD20" s="5" t="n">
        <v>20.293972</v>
      </c>
      <c r="AE20" s="5" t="n">
        <v>22.213814</v>
      </c>
      <c r="AF20" s="5" t="n">
        <v>22.120296</v>
      </c>
      <c r="AG20" s="5" t="n">
        <v>24.238842</v>
      </c>
      <c r="AH20" s="5" t="n">
        <v>24.057575</v>
      </c>
      <c r="AI20" s="5" t="n">
        <v>19.722305</v>
      </c>
      <c r="AJ20" s="5" t="n">
        <v>25.789442</v>
      </c>
      <c r="AK20" s="5" t="n">
        <v>21.55689</v>
      </c>
      <c r="AL20" s="5" t="n">
        <v>24.351942</v>
      </c>
      <c r="AM20" s="5" t="n">
        <v>18.26162</v>
      </c>
      <c r="AN20" s="5" t="n">
        <v>23.52565</v>
      </c>
      <c r="AO20" s="5" t="n">
        <v>21.868309</v>
      </c>
      <c r="AP20" s="5" t="n">
        <v>22.375376</v>
      </c>
      <c r="AQ20" s="5" t="n">
        <v>20.277018</v>
      </c>
      <c r="AR20" s="5" t="n">
        <v>9.759925000000001</v>
      </c>
      <c r="AS20" s="5" t="n">
        <v>23.840731</v>
      </c>
      <c r="AT20" s="5" t="n">
        <v>23.629332</v>
      </c>
      <c r="AU20" s="5" t="n">
        <v>23.556753</v>
      </c>
      <c r="AV20" s="5" t="n">
        <v>23.239517</v>
      </c>
      <c r="AW20" s="5" t="n">
        <v>20.291229</v>
      </c>
      <c r="AX20" s="5" t="n">
        <v>24.419395</v>
      </c>
      <c r="AY20" s="5" t="n">
        <v>17.958607</v>
      </c>
      <c r="AZ20" s="5" t="n">
        <v>25.665798</v>
      </c>
      <c r="BA20" s="5" t="n">
        <v>23.108938</v>
      </c>
      <c r="BB20" s="5" t="n">
        <v>25.21114</v>
      </c>
      <c r="BC20" s="5" t="n">
        <v>22.178547</v>
      </c>
      <c r="BD20" s="5" t="n">
        <v>22.83596</v>
      </c>
      <c r="BE20" s="5" t="n">
        <v>24.322599</v>
      </c>
      <c r="BF20" s="5" t="n">
        <v>24.192083</v>
      </c>
      <c r="BG20" s="5" t="n">
        <v>25.070202</v>
      </c>
      <c r="BH20" s="5" t="n">
        <v>22.164675</v>
      </c>
      <c r="BI20" s="5" t="n">
        <v>20.654272</v>
      </c>
      <c r="BJ20" s="5" t="n">
        <v>22.277773</v>
      </c>
      <c r="BK20" s="5" t="n">
        <v>0.377303</v>
      </c>
      <c r="BL20" s="5" t="n">
        <v>0.439102</v>
      </c>
      <c r="BM20" s="5" t="n">
        <v>0.413802</v>
      </c>
      <c r="BN20" s="5" t="n">
        <v>0.443468</v>
      </c>
      <c r="BO20" s="5" t="n">
        <v>0.606907</v>
      </c>
      <c r="BP20" s="5" t="n">
        <v>0.430548</v>
      </c>
      <c r="BQ20" s="5" t="n">
        <v>0.5213140000000001</v>
      </c>
      <c r="BR20" s="5" t="n">
        <v>0.356836</v>
      </c>
      <c r="BS20" s="5" t="n">
        <v>0.421448</v>
      </c>
      <c r="BT20" s="5" t="n">
        <v>0.307925</v>
      </c>
      <c r="BU20" s="5" t="n">
        <v>0.533376</v>
      </c>
      <c r="BV20" s="5" t="n">
        <v>0.46973</v>
      </c>
      <c r="BW20" s="5" t="n">
        <v>0.378478</v>
      </c>
      <c r="BX20" s="5" t="n">
        <v>0.455844</v>
      </c>
      <c r="BY20" s="5" t="n">
        <v>0.517755</v>
      </c>
      <c r="BZ20" s="5" t="n">
        <v>0.348944</v>
      </c>
      <c r="CA20" s="5" t="n">
        <v>0.261662</v>
      </c>
      <c r="CB20" s="5" t="n">
        <v>0.464191</v>
      </c>
      <c r="CC20" s="5" t="n">
        <v>0.34733</v>
      </c>
      <c r="CD20" s="5" t="n">
        <v>0.308527</v>
      </c>
      <c r="CE20" s="5" t="n">
        <v>0.290904</v>
      </c>
      <c r="CF20" s="5" t="n">
        <v>0.416959</v>
      </c>
      <c r="CG20" s="5" t="n">
        <v>0.453448</v>
      </c>
      <c r="CH20" s="5" t="n">
        <v>0.461644</v>
      </c>
      <c r="CI20" s="5" t="n">
        <v>0.474511</v>
      </c>
      <c r="CJ20" s="5" t="n">
        <v>24.006767</v>
      </c>
      <c r="CK20" s="5" t="n">
        <v>15.810976</v>
      </c>
      <c r="CL20" s="5" t="n">
        <v>25.074667</v>
      </c>
      <c r="CM20" s="5" t="n">
        <v>24.3627</v>
      </c>
      <c r="CN20" s="5" t="n">
        <v>18.030243</v>
      </c>
      <c r="CO20" s="5" t="n">
        <v>18.16116</v>
      </c>
      <c r="CP20" s="5" t="n">
        <v>9.000348000000001</v>
      </c>
      <c r="CQ20" s="5" t="n">
        <v>23.625305</v>
      </c>
      <c r="CR20" s="5" t="n">
        <v>24.150011</v>
      </c>
      <c r="CS20" s="5" t="n">
        <v>24.193266</v>
      </c>
      <c r="CT20" s="5" t="n">
        <v>23.794235</v>
      </c>
      <c r="CU20" s="5" t="n">
        <v>21.665869</v>
      </c>
      <c r="CV20" s="5" t="n">
        <v>21.71036</v>
      </c>
      <c r="CW20" s="5" t="n">
        <v>22.564875</v>
      </c>
      <c r="CX20" s="5" t="n">
        <v>21.428759</v>
      </c>
      <c r="CY20" s="5" t="n">
        <v>22.272144</v>
      </c>
      <c r="CZ20" s="5" t="n">
        <v>23.447081</v>
      </c>
      <c r="DA20" s="5" t="n">
        <v>21.034264</v>
      </c>
      <c r="DB20" s="5" t="n">
        <v>20.952814</v>
      </c>
      <c r="DC20" s="5" t="n">
        <v>20.420687</v>
      </c>
      <c r="DD20" s="5" t="n">
        <v>24.676994</v>
      </c>
      <c r="DE20" s="5" t="n">
        <v>25.781572</v>
      </c>
      <c r="DF20" s="5" t="n">
        <v>23.222412</v>
      </c>
      <c r="DG20" s="5" t="n">
        <v>23.39875</v>
      </c>
      <c r="DH20" s="5" t="n">
        <v>17.979757</v>
      </c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</row>
    <row r="21">
      <c r="G21" s="5" t="n"/>
      <c r="H21" s="5" t="n"/>
      <c r="I21" s="5" t="n"/>
      <c r="J21" s="5" t="n"/>
      <c r="K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</row>
    <row r="22">
      <c r="D22" t="inlineStr">
        <is>
          <t>Seq2Point</t>
        </is>
      </c>
      <c r="E22" t="inlineStr">
        <is>
          <t>MAE</t>
        </is>
      </c>
      <c r="F22">
        <f>COUNT(M22:GJ22)</f>
        <v/>
      </c>
      <c r="G22" s="5">
        <f>AVERAGE(M22:GJ22)</f>
        <v/>
      </c>
      <c r="H22" s="5">
        <f>MAX(M22:GJ22)</f>
        <v/>
      </c>
      <c r="I22" s="5">
        <f>MIN(M22:GJ22)</f>
        <v/>
      </c>
      <c r="J22" s="5">
        <f>_xlfn.STDEV.P(M22:GJ22)</f>
        <v/>
      </c>
      <c r="K22" s="5">
        <f>_xlfn.VAR.S(M22:GJ22)</f>
        <v/>
      </c>
      <c r="M22" s="5" t="n">
        <v>15.303057</v>
      </c>
      <c r="N22" s="5" t="n">
        <v>16.217747</v>
      </c>
      <c r="O22" s="5" t="n">
        <v>10.50022</v>
      </c>
      <c r="P22" s="5" t="n">
        <v>10.01676</v>
      </c>
      <c r="Q22" s="5" t="n">
        <v>15.897174</v>
      </c>
      <c r="R22" s="5" t="n">
        <v>13.455862</v>
      </c>
      <c r="S22" s="5" t="n">
        <v>9.045475</v>
      </c>
      <c r="T22" s="5" t="n">
        <v>12.42468</v>
      </c>
      <c r="U22" s="5" t="n">
        <v>12.602213</v>
      </c>
      <c r="V22" s="5" t="n">
        <v>18.447586</v>
      </c>
      <c r="W22" s="5" t="n">
        <v>17.914398</v>
      </c>
      <c r="X22" s="5" t="n">
        <v>12.707778</v>
      </c>
      <c r="Y22" s="5" t="n">
        <v>12.993624</v>
      </c>
      <c r="Z22" s="5" t="n">
        <v>11.051544</v>
      </c>
      <c r="AA22" s="5" t="n">
        <v>13.206797</v>
      </c>
      <c r="AB22" s="5" t="n">
        <v>14.766126</v>
      </c>
      <c r="AC22" s="5" t="n">
        <v>21.31142</v>
      </c>
      <c r="AD22" s="5" t="n">
        <v>23.735119</v>
      </c>
      <c r="AE22" s="5" t="n">
        <v>9.056263</v>
      </c>
      <c r="AF22" s="5" t="n">
        <v>12.314487</v>
      </c>
      <c r="AG22" s="5" t="n">
        <v>10.790086</v>
      </c>
      <c r="AH22" s="5" t="n">
        <v>11.606009</v>
      </c>
      <c r="AI22" s="5" t="n">
        <v>17.260916</v>
      </c>
      <c r="AJ22" s="5" t="n">
        <v>14.550825</v>
      </c>
      <c r="AK22" s="5" t="n">
        <v>14.42947</v>
      </c>
      <c r="AL22" s="5" t="n">
        <v>17.271912</v>
      </c>
      <c r="AM22" s="5" t="n">
        <v>8.687172</v>
      </c>
      <c r="AN22" s="5" t="n">
        <v>10.704928</v>
      </c>
      <c r="AO22" s="5" t="n">
        <v>8.71907</v>
      </c>
      <c r="AP22" s="5" t="n">
        <v>18.714371</v>
      </c>
      <c r="AQ22" s="5" t="n">
        <v>10.17852</v>
      </c>
      <c r="AR22" s="5" t="n">
        <v>9.393068</v>
      </c>
      <c r="AS22" s="5" t="n">
        <v>15.352756</v>
      </c>
      <c r="AT22" s="5" t="n">
        <v>10.531013</v>
      </c>
      <c r="AU22" s="5" t="n">
        <v>16.157537</v>
      </c>
      <c r="AV22" s="5" t="n">
        <v>10.496157</v>
      </c>
      <c r="AW22" s="5" t="n">
        <v>13.062643</v>
      </c>
      <c r="AX22" s="5" t="n">
        <v>11.507543</v>
      </c>
      <c r="AY22" s="5" t="n">
        <v>11.131167</v>
      </c>
      <c r="AZ22" s="5" t="n">
        <v>9.936681999999999</v>
      </c>
      <c r="BA22" s="5" t="n">
        <v>13.064014</v>
      </c>
      <c r="BB22" s="5" t="n">
        <v>20.907036</v>
      </c>
      <c r="BC22" s="5" t="n">
        <v>17.19301</v>
      </c>
      <c r="BD22" s="5" t="n">
        <v>11.540542</v>
      </c>
      <c r="BE22" s="5" t="n">
        <v>16.16457</v>
      </c>
      <c r="BF22" s="5" t="n">
        <v>10.87631</v>
      </c>
      <c r="BG22" s="5" t="n">
        <v>11.011691</v>
      </c>
      <c r="BH22" s="5" t="n">
        <v>22.745127</v>
      </c>
      <c r="BI22" s="5" t="n">
        <v>13.251476</v>
      </c>
      <c r="BJ22" s="5" t="n">
        <v>13.923648</v>
      </c>
      <c r="BK22" s="5" t="n">
        <v>17.678455</v>
      </c>
      <c r="BL22" s="5" t="n">
        <v>10.520644</v>
      </c>
      <c r="BM22" s="5" t="n">
        <v>8.99268</v>
      </c>
      <c r="BN22" s="5" t="n">
        <v>10.356458</v>
      </c>
      <c r="BO22" s="5" t="n">
        <v>17.596361</v>
      </c>
      <c r="BP22" s="5" t="n">
        <v>14.45389</v>
      </c>
      <c r="BQ22" s="5" t="n">
        <v>8.244108000000001</v>
      </c>
      <c r="BR22" s="5" t="n">
        <v>16.883135</v>
      </c>
      <c r="BS22" s="5" t="n">
        <v>11.127537</v>
      </c>
      <c r="BT22" s="5" t="n">
        <v>14.387485</v>
      </c>
      <c r="BU22" s="5" t="n">
        <v>12.086204</v>
      </c>
      <c r="BV22" s="5" t="n">
        <v>14.323573</v>
      </c>
      <c r="BW22" s="5" t="n">
        <v>10.290037</v>
      </c>
      <c r="BX22" s="5" t="n">
        <v>10.264466</v>
      </c>
      <c r="BY22" s="5" t="n">
        <v>16.88195</v>
      </c>
      <c r="BZ22" s="5" t="n">
        <v>17.730345</v>
      </c>
      <c r="CA22" s="5" t="n">
        <v>17.445002</v>
      </c>
      <c r="CB22" s="5" t="n">
        <v>17.214691</v>
      </c>
      <c r="CC22" s="5" t="n">
        <v>9.449506</v>
      </c>
      <c r="CD22" s="5" t="n">
        <v>18.386728</v>
      </c>
      <c r="CE22" s="5" t="n">
        <v>10.590993</v>
      </c>
      <c r="CF22" s="5" t="n">
        <v>12.066883</v>
      </c>
      <c r="CG22" s="5" t="n">
        <v>20.832949</v>
      </c>
      <c r="CH22" s="5" t="n">
        <v>16.666218</v>
      </c>
      <c r="CI22" s="5" t="n">
        <v>11.685243</v>
      </c>
      <c r="CJ22" s="5" t="n">
        <v>13.099524</v>
      </c>
      <c r="CK22" s="5" t="n">
        <v>11.495181</v>
      </c>
      <c r="CL22" s="5" t="n">
        <v>9.149713999999999</v>
      </c>
      <c r="CM22" s="5" t="n">
        <v>9.287319999999999</v>
      </c>
      <c r="CN22" s="5" t="n">
        <v>19.409842</v>
      </c>
      <c r="CO22" s="5" t="n">
        <v>12.833102</v>
      </c>
      <c r="CP22" s="5" t="n">
        <v>9.086354999999999</v>
      </c>
      <c r="CQ22" s="5" t="n">
        <v>15.796349</v>
      </c>
      <c r="CR22" s="5" t="n">
        <v>11.212064</v>
      </c>
      <c r="CS22" s="5" t="n">
        <v>14.7307</v>
      </c>
      <c r="CT22" s="5" t="n">
        <v>11.399531</v>
      </c>
      <c r="CU22" s="5" t="n">
        <v>13.854157</v>
      </c>
      <c r="CV22" s="5" t="n">
        <v>12.761673</v>
      </c>
      <c r="CW22" s="5" t="n">
        <v>9.27692</v>
      </c>
      <c r="CX22" s="5" t="n">
        <v>14.984997</v>
      </c>
      <c r="CY22" s="5" t="n">
        <v>13.02036</v>
      </c>
      <c r="CZ22" s="5" t="n">
        <v>19.250984</v>
      </c>
      <c r="DA22" s="5" t="n">
        <v>19.536444</v>
      </c>
      <c r="DB22" s="5" t="n">
        <v>11.211552</v>
      </c>
      <c r="DC22" s="5" t="n">
        <v>15.074253</v>
      </c>
      <c r="DD22" s="5" t="n">
        <v>11.172545</v>
      </c>
      <c r="DE22" s="5" t="n">
        <v>11.491716</v>
      </c>
      <c r="DF22" s="5" t="n">
        <v>25.455608</v>
      </c>
      <c r="DG22" s="5" t="n">
        <v>14.969152</v>
      </c>
      <c r="DH22" s="5" t="n">
        <v>11.927147</v>
      </c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</row>
    <row r="23"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</row>
    <row r="24">
      <c r="D24" s="1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5" t="n"/>
      <c r="DE24" s="5" t="n"/>
      <c r="DF24" s="5" t="n"/>
      <c r="DG24" s="5" t="n"/>
      <c r="DH24" s="5" t="n"/>
      <c r="DI24" s="5" t="n"/>
      <c r="DJ24" s="5" t="n"/>
      <c r="DK24" s="5" t="n"/>
      <c r="DL24" s="5" t="n"/>
      <c r="DM24" s="5" t="n"/>
      <c r="DN24" s="5" t="n"/>
      <c r="DO24" s="5" t="n"/>
      <c r="DP24" s="5" t="n"/>
      <c r="DQ24" s="5" t="n"/>
      <c r="DR24" s="5" t="n"/>
      <c r="DS24" s="5" t="n"/>
      <c r="DT24" s="5" t="n"/>
      <c r="DU24" s="5" t="n"/>
      <c r="DV24" s="5" t="n"/>
      <c r="DW24" s="5" t="n"/>
      <c r="DX24" s="5" t="n"/>
      <c r="DY24" s="5" t="n"/>
      <c r="DZ24" s="5" t="n"/>
      <c r="EA24" s="5" t="n"/>
      <c r="EB24" s="5" t="n"/>
      <c r="EC24" s="5" t="n"/>
      <c r="ED24" s="5" t="n"/>
      <c r="EE24" s="5" t="n"/>
      <c r="EF24" s="5" t="n"/>
      <c r="EG24" s="5" t="n"/>
      <c r="EH24" s="5" t="n"/>
      <c r="EI24" s="5" t="n"/>
      <c r="EJ24" s="5" t="n"/>
      <c r="EK24" s="5" t="n"/>
      <c r="EL24" s="5" t="n"/>
      <c r="EM24" s="5" t="n"/>
      <c r="EN24" s="5" t="n"/>
      <c r="EO24" s="5" t="n"/>
      <c r="EP24" s="5" t="n"/>
      <c r="EQ24" s="5" t="n"/>
      <c r="ER24" s="5" t="n"/>
      <c r="ES24" s="5" t="n"/>
      <c r="ET24" s="5" t="n"/>
      <c r="EU24" s="5" t="n"/>
      <c r="EV24" s="5" t="n"/>
      <c r="EW24" s="5" t="n"/>
      <c r="EX24" s="5" t="n"/>
      <c r="EY24" s="5" t="n"/>
      <c r="EZ24" s="5" t="n"/>
      <c r="FA24" s="5" t="n"/>
      <c r="FB24" s="5" t="n"/>
      <c r="FC24" s="5" t="n"/>
      <c r="FD24" s="5" t="n"/>
      <c r="FE24" s="5" t="n"/>
      <c r="FF24" s="5" t="n"/>
      <c r="FG24" s="5" t="n"/>
      <c r="FH24" s="5" t="n"/>
      <c r="FI24" s="5" t="n"/>
      <c r="FJ24" s="5" t="n"/>
      <c r="FK24" s="5" t="n"/>
      <c r="FL24" s="5" t="n"/>
      <c r="FM24" s="5" t="n"/>
      <c r="FN24" s="5" t="n"/>
      <c r="FO24" s="5" t="n"/>
      <c r="FP24" s="5" t="n"/>
      <c r="FQ24" s="5" t="n"/>
      <c r="FR24" s="5" t="n"/>
      <c r="FS24" s="5" t="n"/>
      <c r="FT24" s="5" t="n"/>
      <c r="FU24" s="5" t="n"/>
      <c r="FV24" s="5" t="n"/>
      <c r="FW24" s="5" t="n"/>
      <c r="FX24" s="5" t="n"/>
      <c r="FY24" s="5" t="n"/>
      <c r="FZ24" s="5" t="n"/>
      <c r="GA24" s="5" t="n"/>
      <c r="GB24" s="5" t="n"/>
      <c r="GC24" s="5" t="n"/>
      <c r="GD24" s="5" t="n"/>
      <c r="GE24" s="5" t="n"/>
      <c r="GF24" s="5" t="n"/>
      <c r="GG24" s="5" t="n"/>
      <c r="GH24" s="5" t="n"/>
      <c r="GI24" s="5" t="n"/>
      <c r="GJ24" s="5" t="n"/>
      <c r="GK24" s="5" t="n"/>
      <c r="GL24" s="5" t="n"/>
      <c r="GM24" s="5" t="n"/>
      <c r="GN24" s="5" t="n"/>
      <c r="GO24" s="5" t="n"/>
    </row>
    <row r="25">
      <c r="B25" t="inlineStr">
        <is>
          <t>test_dataset.h5</t>
        </is>
      </c>
      <c r="D25" s="1" t="inlineStr">
        <is>
          <t>reale Testdaten(hh_05):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  <c r="EX25" s="5" t="n"/>
      <c r="EY25" s="5" t="n"/>
      <c r="EZ25" s="5" t="n"/>
      <c r="FA25" s="5" t="n"/>
      <c r="FB25" s="5" t="n"/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/>
      <c r="FL25" s="5" t="n"/>
      <c r="FM25" s="5" t="n"/>
      <c r="FN25" s="5" t="n"/>
      <c r="FO25" s="5" t="n"/>
      <c r="FP25" s="5" t="n"/>
      <c r="FQ25" s="5" t="n"/>
      <c r="FR25" s="5" t="n"/>
      <c r="FS25" s="5" t="n"/>
      <c r="FT25" s="5" t="n"/>
      <c r="FU25" s="5" t="n"/>
      <c r="FV25" s="5" t="n"/>
      <c r="FW25" s="5" t="n"/>
      <c r="FX25" s="5" t="n"/>
      <c r="FY25" s="5" t="n"/>
      <c r="FZ25" s="5" t="n"/>
      <c r="GA25" s="5" t="n"/>
      <c r="GB25" s="5" t="n"/>
      <c r="GC25" s="5" t="n"/>
      <c r="GD25" s="5" t="n"/>
      <c r="GE25" s="5" t="n"/>
      <c r="GF25" s="5" t="n"/>
      <c r="GG25" s="5" t="n"/>
      <c r="GH25" s="5" t="n"/>
      <c r="GI25" s="5" t="n"/>
      <c r="GJ25" s="5" t="n"/>
      <c r="GK25" s="5" t="n"/>
      <c r="GL25" s="5" t="n"/>
      <c r="GM25" s="5" t="n"/>
      <c r="GN25" s="5" t="n"/>
      <c r="GO25" s="5" t="n"/>
    </row>
    <row r="26">
      <c r="B26" s="2" t="inlineStr">
        <is>
          <t>buildings': 5</t>
        </is>
      </c>
      <c r="D26" t="inlineStr">
        <is>
          <t>RNN</t>
        </is>
      </c>
      <c r="E26" t="inlineStr">
        <is>
          <t>MAE</t>
        </is>
      </c>
      <c r="F26">
        <f>COUNT(M26:GJ26)</f>
        <v/>
      </c>
      <c r="G26" s="5">
        <f>AVERAGE(M26:GJ26)</f>
        <v/>
      </c>
      <c r="H26" s="5">
        <f>MAX(M26:GJ26)</f>
        <v/>
      </c>
      <c r="I26" s="5">
        <f>MIN(M26:GJ26)</f>
        <v/>
      </c>
      <c r="J26" s="5">
        <f>_xlfn.STDEV.P(M26:GJ26)</f>
        <v/>
      </c>
      <c r="K26" s="5">
        <f>_xlfn.VAR.S(M26:GJ26)</f>
        <v/>
      </c>
      <c r="M26" s="5" t="n">
        <v>25.515505</v>
      </c>
      <c r="N26" s="5" t="n">
        <v>25.577614</v>
      </c>
      <c r="O26" s="5" t="n">
        <v>25.486721</v>
      </c>
      <c r="P26" s="5" t="n">
        <v>29.138908</v>
      </c>
      <c r="Q26" s="5" t="n">
        <v>25.732225</v>
      </c>
      <c r="R26" s="5" t="n">
        <v>24.477011</v>
      </c>
      <c r="S26" s="5" t="n">
        <v>26.492788</v>
      </c>
      <c r="T26" s="5" t="n">
        <v>24.661745</v>
      </c>
      <c r="U26" s="5" t="n">
        <v>25.143108</v>
      </c>
      <c r="V26" s="5" t="n">
        <v>25.211817</v>
      </c>
      <c r="W26" s="5" t="n">
        <v>24.225677</v>
      </c>
      <c r="X26" s="5" t="n">
        <v>24.298283</v>
      </c>
      <c r="Y26" s="5" t="n">
        <v>28.365879</v>
      </c>
      <c r="Z26" s="5" t="n">
        <v>25.56041</v>
      </c>
      <c r="AA26" s="5" t="n">
        <v>28.372194</v>
      </c>
      <c r="AB26" s="5" t="n">
        <v>25.105715</v>
      </c>
      <c r="AC26" s="5" t="n">
        <v>27.446335</v>
      </c>
      <c r="AD26" s="5" t="n">
        <v>26.505026</v>
      </c>
      <c r="AE26" s="5" t="n">
        <v>24.851831</v>
      </c>
      <c r="AF26" s="5" t="n">
        <v>28.896448</v>
      </c>
      <c r="AG26" s="5" t="n">
        <v>25.476995</v>
      </c>
      <c r="AH26" s="5" t="n">
        <v>25.090956</v>
      </c>
      <c r="AI26" s="5" t="n">
        <v>28.781542</v>
      </c>
      <c r="AJ26" s="5" t="n">
        <v>26.772905</v>
      </c>
      <c r="AK26" s="5" t="n">
        <v>28.827375</v>
      </c>
      <c r="AL26" s="5" t="n">
        <v>25.241323</v>
      </c>
      <c r="AM26" s="5" t="n">
        <v>24.93466</v>
      </c>
      <c r="AN26" s="5" t="n">
        <v>24.735376</v>
      </c>
      <c r="AO26" s="5" t="n">
        <v>28.310736</v>
      </c>
      <c r="AP26" s="5" t="n">
        <v>24.993378</v>
      </c>
      <c r="AQ26" s="5" t="n">
        <v>27.797823</v>
      </c>
      <c r="AR26" s="5" t="n">
        <v>25.620798</v>
      </c>
      <c r="AS26" s="5" t="n">
        <v>24.894924</v>
      </c>
      <c r="AT26" s="5" t="n">
        <v>26.425081</v>
      </c>
      <c r="AU26" s="5" t="n">
        <v>25.350733</v>
      </c>
      <c r="AV26" s="5" t="n">
        <v>26.138096</v>
      </c>
      <c r="AW26" s="5" t="n">
        <v>26.416662</v>
      </c>
      <c r="AX26" s="5" t="n">
        <v>24.902414</v>
      </c>
      <c r="AY26" s="5" t="n">
        <v>25.461309</v>
      </c>
      <c r="AZ26" s="5" t="n">
        <v>26.023003</v>
      </c>
      <c r="BA26" s="5" t="n">
        <v>25.755379</v>
      </c>
      <c r="BB26" s="5" t="n">
        <v>25.021921</v>
      </c>
      <c r="BC26" s="5" t="n">
        <v>25.384501</v>
      </c>
      <c r="BD26" s="5" t="n">
        <v>25.384447</v>
      </c>
      <c r="BE26" s="5" t="n">
        <v>27.341703</v>
      </c>
      <c r="BF26" s="5" t="n">
        <v>25.355711</v>
      </c>
      <c r="BG26" s="5" t="n">
        <v>25.652103</v>
      </c>
      <c r="BH26" s="5" t="n">
        <v>26.500374</v>
      </c>
      <c r="BI26" s="5" t="n">
        <v>26.254129</v>
      </c>
      <c r="BJ26" s="5" t="n">
        <v>25.539431</v>
      </c>
      <c r="BK26" s="5" t="n">
        <v>26.19668</v>
      </c>
      <c r="BL26" s="5" t="n">
        <v>25.544233</v>
      </c>
      <c r="BM26" s="5" t="n">
        <v>28.380953</v>
      </c>
      <c r="BN26" s="5" t="n">
        <v>26.889797</v>
      </c>
      <c r="BO26" s="5" t="n">
        <v>25.210751</v>
      </c>
      <c r="BP26" s="5" t="n">
        <v>25.85001</v>
      </c>
      <c r="BQ26" s="5" t="n">
        <v>26.070381</v>
      </c>
      <c r="BR26" s="5" t="n">
        <v>24.757488</v>
      </c>
      <c r="BS26" s="5" t="n">
        <v>25.484175</v>
      </c>
      <c r="BT26" s="5" t="n">
        <v>25.112614</v>
      </c>
      <c r="BU26" s="5" t="n">
        <v>24.78862</v>
      </c>
      <c r="BV26" s="5" t="n">
        <v>27.315489</v>
      </c>
      <c r="BW26" s="5" t="n">
        <v>25.057293</v>
      </c>
      <c r="BX26" s="5" t="n">
        <v>25.397152</v>
      </c>
      <c r="BY26" s="5" t="n">
        <v>25.982485</v>
      </c>
      <c r="BZ26" s="5" t="n">
        <v>26.695663</v>
      </c>
      <c r="CA26" s="5" t="n">
        <v>26.097443</v>
      </c>
      <c r="CB26" s="5" t="n">
        <v>25.803488</v>
      </c>
      <c r="CC26" s="5" t="n">
        <v>25.228262</v>
      </c>
      <c r="CD26" s="5" t="n">
        <v>27.607101</v>
      </c>
      <c r="CE26" s="5" t="n">
        <v>25.137308</v>
      </c>
      <c r="CF26" s="5" t="n">
        <v>25.142057</v>
      </c>
      <c r="CG26" s="5" t="n">
        <v>25.357944</v>
      </c>
      <c r="CH26" s="5" t="n">
        <v>26.871702</v>
      </c>
      <c r="CI26" s="5" t="n">
        <v>27.083294</v>
      </c>
      <c r="CJ26" s="5" t="n">
        <v>27.760994</v>
      </c>
      <c r="CK26" s="5" t="n">
        <v>26.04911</v>
      </c>
      <c r="CL26" s="5" t="n">
        <v>25.162083</v>
      </c>
      <c r="CM26" s="5" t="n">
        <v>25.244003</v>
      </c>
      <c r="CN26" s="5" t="n">
        <v>26.627872</v>
      </c>
      <c r="CO26" s="5" t="n">
        <v>28.985735</v>
      </c>
      <c r="CP26" s="5" t="n">
        <v>27.48436</v>
      </c>
      <c r="CQ26" s="5" t="n">
        <v>24.659685</v>
      </c>
      <c r="CR26" s="5" t="n">
        <v>25.445854</v>
      </c>
      <c r="CS26" s="5" t="n">
        <v>25.141712</v>
      </c>
      <c r="CT26" s="5" t="n">
        <v>24.666922</v>
      </c>
      <c r="CU26" s="5" t="n">
        <v>27.035284</v>
      </c>
      <c r="CV26" s="5" t="n">
        <v>24.457438</v>
      </c>
      <c r="CW26" s="5" t="n">
        <v>26.00947</v>
      </c>
      <c r="CX26" s="5" t="n">
        <v>26.064873</v>
      </c>
      <c r="CY26" s="5" t="n">
        <v>26.55135</v>
      </c>
      <c r="CZ26" s="5" t="n">
        <v>25.22117</v>
      </c>
      <c r="DA26" s="5" t="n">
        <v>25.411797</v>
      </c>
      <c r="DB26" s="5" t="n">
        <v>25.443306</v>
      </c>
      <c r="DC26" s="5" t="n">
        <v>26.49711</v>
      </c>
      <c r="DD26" s="5" t="n">
        <v>25.549837</v>
      </c>
      <c r="DE26" s="5" t="n">
        <v>25.082134</v>
      </c>
      <c r="DF26" s="5" t="n">
        <v>27.304401</v>
      </c>
      <c r="DG26" s="5" t="n">
        <v>25.165482</v>
      </c>
      <c r="DH26" s="5" t="n">
        <v>25.089314</v>
      </c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  <c r="GP26" s="5" t="n"/>
      <c r="GQ26" s="5" t="n"/>
      <c r="GR26" s="5" t="n"/>
      <c r="GS26" s="5" t="n"/>
      <c r="GT26" s="5" t="n"/>
      <c r="GU26" s="5" t="n"/>
      <c r="GV26" s="5" t="n"/>
      <c r="GW26" s="5" t="n"/>
      <c r="GX26" s="5" t="n"/>
      <c r="GY26" s="5" t="n"/>
    </row>
    <row r="27">
      <c r="B27" s="2" t="inlineStr">
        <is>
          <t>start_time': '2019-10-01'</t>
        </is>
      </c>
      <c r="G27" s="5" t="n"/>
      <c r="H27" s="5" t="n"/>
      <c r="I27" s="5" t="n"/>
      <c r="J27" s="5" t="n"/>
      <c r="K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</row>
    <row r="28">
      <c r="B28" s="2" t="inlineStr">
        <is>
          <t>end_time': '2019-10-14'</t>
        </is>
      </c>
      <c r="D28" t="inlineStr">
        <is>
          <t>WindowGRU</t>
        </is>
      </c>
      <c r="E28" t="inlineStr">
        <is>
          <t>MAE</t>
        </is>
      </c>
      <c r="F28">
        <f>COUNT(M28:GJ28)</f>
        <v/>
      </c>
      <c r="G28" s="5">
        <f>AVERAGE(M28:GJ28)</f>
        <v/>
      </c>
      <c r="H28" s="5">
        <f>MAX(M28:GJ28)</f>
        <v/>
      </c>
      <c r="I28" s="5">
        <f>MIN(M28:GJ28)</f>
        <v/>
      </c>
      <c r="J28" s="5">
        <f>_xlfn.STDEV.P(M28:GJ28)</f>
        <v/>
      </c>
      <c r="K28" s="5">
        <f>_xlfn.VAR.S(M28:GJ28)</f>
        <v/>
      </c>
      <c r="M28" s="5" t="n">
        <v>25.833742</v>
      </c>
      <c r="N28" s="5" t="n">
        <v>29.896683</v>
      </c>
      <c r="O28" s="5" t="n">
        <v>28.047314</v>
      </c>
      <c r="P28" s="5" t="n">
        <v>31.879044</v>
      </c>
      <c r="Q28" s="5" t="n">
        <v>28.480478</v>
      </c>
      <c r="R28" s="5" t="n">
        <v>28.178175</v>
      </c>
      <c r="S28" s="5" t="n">
        <v>29.189232</v>
      </c>
      <c r="T28" s="5" t="n">
        <v>34.272041</v>
      </c>
      <c r="U28" s="5" t="n">
        <v>29.811443</v>
      </c>
      <c r="V28" s="5" t="n">
        <v>29.924006</v>
      </c>
      <c r="W28" s="5" t="n">
        <v>27.244608</v>
      </c>
      <c r="X28" s="5" t="n">
        <v>29.107779</v>
      </c>
      <c r="Y28" s="5" t="n">
        <v>30.68977</v>
      </c>
      <c r="Z28" s="5" t="n">
        <v>30.226957</v>
      </c>
      <c r="AA28" s="5" t="n">
        <v>31.230566</v>
      </c>
      <c r="AB28" s="5" t="n">
        <v>30.40889</v>
      </c>
      <c r="AC28" s="5" t="n">
        <v>27.470015</v>
      </c>
      <c r="AD28" s="5" t="n">
        <v>27.220816</v>
      </c>
      <c r="AE28" s="5" t="n">
        <v>31.917688</v>
      </c>
      <c r="AF28" s="5" t="n">
        <v>29.913317</v>
      </c>
      <c r="AG28" s="5" t="n">
        <v>30.353519</v>
      </c>
      <c r="AH28" s="5" t="n">
        <v>27.447226</v>
      </c>
      <c r="AI28" s="5" t="n">
        <v>30.7721</v>
      </c>
      <c r="AJ28" s="5" t="n">
        <v>28.675108</v>
      </c>
      <c r="AK28" s="5" t="n">
        <v>31.397451</v>
      </c>
      <c r="AL28" s="5" t="n">
        <v>28.555473</v>
      </c>
      <c r="AM28" s="5" t="n">
        <v>28.814224</v>
      </c>
      <c r="AN28" s="5" t="n">
        <v>29.354198</v>
      </c>
      <c r="AO28" s="5" t="n">
        <v>27.14386</v>
      </c>
      <c r="AP28" s="5" t="n">
        <v>27.265318</v>
      </c>
      <c r="AQ28" s="5" t="n">
        <v>26.669172</v>
      </c>
      <c r="AR28" s="5" t="n">
        <v>24.115923</v>
      </c>
      <c r="AS28" s="5" t="n">
        <v>25.334259</v>
      </c>
      <c r="AT28" s="5" t="n">
        <v>25.030899</v>
      </c>
      <c r="AU28" s="5" t="n">
        <v>28.376827</v>
      </c>
      <c r="AV28" s="5" t="n">
        <v>27.412365</v>
      </c>
      <c r="AW28" s="5" t="n">
        <v>28.162214</v>
      </c>
      <c r="AX28" s="5" t="n">
        <v>28.660969</v>
      </c>
      <c r="AY28" s="5" t="n">
        <v>30.857943</v>
      </c>
      <c r="AZ28" s="5" t="n">
        <v>27.110212</v>
      </c>
      <c r="BA28" s="5" t="n">
        <v>30.063305</v>
      </c>
      <c r="BB28" s="5" t="n">
        <v>25.662588</v>
      </c>
      <c r="BC28" s="5" t="n">
        <v>25.716406</v>
      </c>
      <c r="BD28" s="5" t="n">
        <v>27.329294</v>
      </c>
      <c r="BE28" s="5" t="n">
        <v>30.924664</v>
      </c>
      <c r="BF28" s="5" t="n">
        <v>27.935419</v>
      </c>
      <c r="BG28" s="5" t="n">
        <v>27.557499</v>
      </c>
      <c r="BH28" s="5" t="n">
        <v>31.664688</v>
      </c>
      <c r="BI28" s="5" t="n">
        <v>27.13813</v>
      </c>
      <c r="BJ28" s="5" t="n">
        <v>26.800554</v>
      </c>
      <c r="BK28" s="5" t="n">
        <v>29.132202</v>
      </c>
      <c r="BL28" s="5" t="n">
        <v>27.769855</v>
      </c>
      <c r="BM28" s="5" t="n">
        <v>23.984442</v>
      </c>
      <c r="BN28" s="5" t="n">
        <v>25.122675</v>
      </c>
      <c r="BO28" s="5" t="n">
        <v>26.949348</v>
      </c>
      <c r="BP28" s="5" t="n">
        <v>25.990004</v>
      </c>
      <c r="BQ28" s="5" t="n">
        <v>25.72764</v>
      </c>
      <c r="BR28" s="5" t="n">
        <v>28.679337</v>
      </c>
      <c r="BS28" s="5" t="n">
        <v>27.396324</v>
      </c>
      <c r="BT28" s="5" t="n">
        <v>27.069977</v>
      </c>
      <c r="BU28" s="5" t="n">
        <v>27.447496</v>
      </c>
      <c r="BV28" s="5" t="n">
        <v>26.248623</v>
      </c>
      <c r="BW28" s="5" t="n">
        <v>28.114202</v>
      </c>
      <c r="BX28" s="5" t="n">
        <v>28.188921</v>
      </c>
      <c r="BY28" s="5" t="n">
        <v>32.623169</v>
      </c>
      <c r="BZ28" s="5" t="n">
        <v>30.773537</v>
      </c>
      <c r="CA28" s="5" t="n">
        <v>28.915947</v>
      </c>
      <c r="CB28" s="5" t="n">
        <v>25.69442</v>
      </c>
      <c r="CC28" s="5" t="n">
        <v>26.264668</v>
      </c>
      <c r="CD28" s="5" t="n">
        <v>30.648186</v>
      </c>
      <c r="CE28" s="5" t="n">
        <v>28.496323</v>
      </c>
      <c r="CF28" s="5" t="n">
        <v>28.437807</v>
      </c>
      <c r="CG28" s="5" t="n">
        <v>29.53373</v>
      </c>
      <c r="CH28" s="5" t="n">
        <v>25.310287</v>
      </c>
      <c r="CI28" s="5" t="n">
        <v>26.985695</v>
      </c>
      <c r="CJ28" s="5" t="n">
        <v>27.917244</v>
      </c>
      <c r="CK28" s="5" t="n">
        <v>30.560642</v>
      </c>
      <c r="CL28" s="5" t="n">
        <v>27.940897</v>
      </c>
      <c r="CM28" s="5" t="n">
        <v>25.963562</v>
      </c>
      <c r="CN28" s="5" t="n">
        <v>27.942205</v>
      </c>
      <c r="CO28" s="5" t="n">
        <v>24.715729</v>
      </c>
      <c r="CP28" s="5" t="n">
        <v>23.619148</v>
      </c>
      <c r="CQ28" s="5" t="n">
        <v>26.470879</v>
      </c>
      <c r="CR28" s="5" t="n">
        <v>25.912502</v>
      </c>
      <c r="CS28" s="5" t="n">
        <v>28.069414</v>
      </c>
      <c r="CT28" s="5" t="n">
        <v>31.22118</v>
      </c>
      <c r="CU28" s="5" t="n">
        <v>26.98488</v>
      </c>
      <c r="CV28" s="5" t="n">
        <v>29.953789</v>
      </c>
      <c r="CW28" s="5" t="n">
        <v>28.656343</v>
      </c>
      <c r="CX28" s="5" t="n">
        <v>27.533653</v>
      </c>
      <c r="CY28" s="5" t="n">
        <v>29.581081</v>
      </c>
      <c r="CZ28" s="5" t="n">
        <v>26.406982</v>
      </c>
      <c r="DA28" s="5" t="n">
        <v>25.723793</v>
      </c>
      <c r="DB28" s="5" t="n">
        <v>27.155468</v>
      </c>
      <c r="DC28" s="5" t="n">
        <v>26.391621</v>
      </c>
      <c r="DD28" s="5" t="n">
        <v>27.196354</v>
      </c>
      <c r="DE28" s="5" t="n">
        <v>26.852139</v>
      </c>
      <c r="DF28" s="5" t="n">
        <v>30.543324</v>
      </c>
      <c r="DG28" s="5" t="n">
        <v>26.251825</v>
      </c>
      <c r="DH28" s="5" t="n">
        <v>28.095234</v>
      </c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</row>
    <row r="29">
      <c r="G29" s="5" t="n"/>
      <c r="H29" s="5" t="n"/>
      <c r="I29" s="5" t="n"/>
      <c r="J29" s="5" t="n"/>
      <c r="K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</row>
    <row r="30">
      <c r="D30" t="inlineStr">
        <is>
          <t>DAE</t>
        </is>
      </c>
      <c r="E30" t="inlineStr">
        <is>
          <t>MAE</t>
        </is>
      </c>
      <c r="F30">
        <f>COUNT(M30:GJ30)</f>
        <v/>
      </c>
      <c r="G30" s="5">
        <f>AVERAGE(M30:GJ30)</f>
        <v/>
      </c>
      <c r="H30" s="5">
        <f>MAX(M30:GJ30)</f>
        <v/>
      </c>
      <c r="I30" s="5">
        <f>MIN(M30:GJ30)</f>
        <v/>
      </c>
      <c r="J30" s="5">
        <f>_xlfn.STDEV.P(M30:GJ30)</f>
        <v/>
      </c>
      <c r="K30" s="5">
        <f>_xlfn.VAR.S(M30:GJ30)</f>
        <v/>
      </c>
      <c r="M30" s="5" t="n">
        <v>32.778366</v>
      </c>
      <c r="N30" s="5" t="n">
        <v>34.262665</v>
      </c>
      <c r="O30" s="5" t="n">
        <v>33.550499</v>
      </c>
      <c r="P30" s="5" t="n">
        <v>33.355095</v>
      </c>
      <c r="Q30" s="5" t="n">
        <v>37.386951</v>
      </c>
      <c r="R30" s="5" t="n">
        <v>31.297535</v>
      </c>
      <c r="S30" s="5" t="n">
        <v>33.68121</v>
      </c>
      <c r="T30" s="5" t="n">
        <v>33.637104</v>
      </c>
      <c r="U30" s="5" t="n">
        <v>33.099117</v>
      </c>
      <c r="V30" s="5" t="n">
        <v>32.385803</v>
      </c>
      <c r="W30" s="5" t="n">
        <v>33.293438</v>
      </c>
      <c r="X30" s="5" t="n">
        <v>35.997246</v>
      </c>
      <c r="Y30" s="5" t="n">
        <v>33.044086</v>
      </c>
      <c r="Z30" s="5" t="n">
        <v>32.037796</v>
      </c>
      <c r="AA30" s="5" t="n">
        <v>33.214485</v>
      </c>
      <c r="AB30" s="5" t="n">
        <v>34.26548</v>
      </c>
      <c r="AC30" s="5" t="n">
        <v>33.384457</v>
      </c>
      <c r="AD30" s="5" t="n">
        <v>32.456959</v>
      </c>
      <c r="AE30" s="5" t="n">
        <v>33.633484</v>
      </c>
      <c r="AF30" s="5" t="n">
        <v>32.612999</v>
      </c>
      <c r="AG30" s="5" t="n">
        <v>33.833492</v>
      </c>
      <c r="AH30" s="5" t="n">
        <v>35.439205</v>
      </c>
      <c r="AI30" s="5" t="n">
        <v>32.465088</v>
      </c>
      <c r="AJ30" s="5" t="n">
        <v>33.530117</v>
      </c>
      <c r="AK30" s="5" t="n">
        <v>34.153896</v>
      </c>
      <c r="AL30" s="5" t="n">
        <v>32.361332</v>
      </c>
      <c r="AM30" s="5" t="n">
        <v>34.039482</v>
      </c>
      <c r="AN30" s="5" t="n">
        <v>32.118565</v>
      </c>
      <c r="AO30" s="5" t="n">
        <v>32.941475</v>
      </c>
      <c r="AP30" s="5" t="n">
        <v>36.258038</v>
      </c>
      <c r="AQ30" s="5" t="n">
        <v>33.952232</v>
      </c>
      <c r="AR30" s="5" t="n">
        <v>33.382267</v>
      </c>
      <c r="AS30" s="5" t="n">
        <v>33.913769</v>
      </c>
      <c r="AT30" s="5" t="n">
        <v>35.765186</v>
      </c>
      <c r="AU30" s="5" t="n">
        <v>33.533649</v>
      </c>
      <c r="AV30" s="5" t="n">
        <v>33.579533</v>
      </c>
      <c r="AW30" s="5" t="n">
        <v>35.515644</v>
      </c>
      <c r="AX30" s="5" t="n">
        <v>34.111301</v>
      </c>
      <c r="AY30" s="5" t="n">
        <v>32.959644</v>
      </c>
      <c r="AZ30" s="5" t="n">
        <v>32.916222</v>
      </c>
      <c r="BA30" s="5" t="n">
        <v>33.249607</v>
      </c>
      <c r="BB30" s="5" t="n">
        <v>32.984745</v>
      </c>
      <c r="BC30" s="5" t="n">
        <v>33.711514</v>
      </c>
      <c r="BD30" s="5" t="n">
        <v>32.97435</v>
      </c>
      <c r="BE30" s="5" t="n">
        <v>35.880436</v>
      </c>
      <c r="BF30" s="5" t="n">
        <v>31.970108</v>
      </c>
      <c r="BG30" s="5" t="n">
        <v>34.911777</v>
      </c>
      <c r="BH30" s="5" t="n">
        <v>32.941475</v>
      </c>
      <c r="BI30" s="5" t="n">
        <v>34.280674</v>
      </c>
      <c r="BJ30" s="5" t="n">
        <v>31.936356</v>
      </c>
      <c r="BK30" s="5" t="n">
        <v>30.95142</v>
      </c>
      <c r="BL30" s="5" t="n">
        <v>34.25581</v>
      </c>
      <c r="BM30" s="5" t="n">
        <v>34.291252</v>
      </c>
      <c r="BN30" s="5" t="n">
        <v>32.894043</v>
      </c>
      <c r="BO30" s="5" t="n">
        <v>36.655811</v>
      </c>
      <c r="BP30" s="5" t="n">
        <v>31.112366</v>
      </c>
      <c r="BQ30" s="5" t="n">
        <v>34.703449</v>
      </c>
      <c r="BR30" s="5" t="n">
        <v>32.418674</v>
      </c>
      <c r="BS30" s="5" t="n">
        <v>34.934216</v>
      </c>
      <c r="BT30" s="5" t="n">
        <v>32.723076</v>
      </c>
      <c r="BU30" s="5" t="n">
        <v>34.044144</v>
      </c>
      <c r="BV30" s="5" t="n">
        <v>35.948074</v>
      </c>
      <c r="BW30" s="5" t="n">
        <v>33.62809</v>
      </c>
      <c r="BX30" s="5" t="n">
        <v>33.905411</v>
      </c>
      <c r="BY30" s="5" t="n">
        <v>33.198772</v>
      </c>
      <c r="BZ30" s="5" t="n">
        <v>35.29562</v>
      </c>
      <c r="CA30" s="5" t="n">
        <v>36.121243</v>
      </c>
      <c r="CB30" s="5" t="n">
        <v>34.834736</v>
      </c>
      <c r="CC30" s="5" t="n">
        <v>32.967911</v>
      </c>
      <c r="CD30" s="5" t="n">
        <v>36.468601</v>
      </c>
      <c r="CE30" s="5" t="n">
        <v>33.113441</v>
      </c>
      <c r="CF30" s="5" t="n">
        <v>35.662998</v>
      </c>
      <c r="CG30" s="5" t="n">
        <v>34.621487</v>
      </c>
      <c r="CH30" s="5" t="n">
        <v>34.355171</v>
      </c>
      <c r="CI30" s="5" t="n">
        <v>31.922817</v>
      </c>
      <c r="CJ30" s="5" t="n">
        <v>32.352551</v>
      </c>
      <c r="CK30" s="5" t="n">
        <v>34.410645</v>
      </c>
      <c r="CL30" s="5" t="n">
        <v>35.988834</v>
      </c>
      <c r="CM30" s="5" t="n">
        <v>34.3531</v>
      </c>
      <c r="CN30" s="5" t="n">
        <v>35.793983</v>
      </c>
      <c r="CO30" s="5" t="n">
        <v>32.198338</v>
      </c>
      <c r="CP30" s="5" t="n">
        <v>33.957245</v>
      </c>
      <c r="CQ30" s="5" t="n">
        <v>33.741089</v>
      </c>
      <c r="CR30" s="5" t="n">
        <v>33.335228</v>
      </c>
      <c r="CS30" s="5" t="n">
        <v>34.589504</v>
      </c>
      <c r="CT30" s="5" t="n">
        <v>32.879707</v>
      </c>
      <c r="CU30" s="5" t="n">
        <v>35.894733</v>
      </c>
      <c r="CV30" s="5" t="n">
        <v>32.569427</v>
      </c>
      <c r="CW30" s="5" t="n">
        <v>33.346378</v>
      </c>
      <c r="CX30" s="5" t="n">
        <v>34.293667</v>
      </c>
      <c r="CY30" s="5" t="n">
        <v>33.822182</v>
      </c>
      <c r="CZ30" s="5" t="n">
        <v>32.311226</v>
      </c>
      <c r="DA30" s="5" t="n">
        <v>33.186295</v>
      </c>
      <c r="DB30" s="5" t="n">
        <v>35.095867</v>
      </c>
      <c r="DC30" s="5" t="n">
        <v>37.345013</v>
      </c>
      <c r="DD30" s="5" t="n">
        <v>32.130978</v>
      </c>
      <c r="DE30" s="5" t="n">
        <v>37.926102</v>
      </c>
      <c r="DF30" s="5" t="n">
        <v>34.582638</v>
      </c>
      <c r="DG30" s="5" t="n">
        <v>33.904823</v>
      </c>
      <c r="DH30" s="5" t="n">
        <v>32.966774</v>
      </c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</row>
    <row r="31">
      <c r="G31" s="5" t="n"/>
      <c r="H31" s="5" t="n"/>
      <c r="I31" s="5" t="n"/>
      <c r="J31" s="5" t="n"/>
      <c r="K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</row>
    <row r="32">
      <c r="D32" t="inlineStr">
        <is>
          <t>Seq2Seq</t>
        </is>
      </c>
      <c r="E32" t="inlineStr">
        <is>
          <t>MAE</t>
        </is>
      </c>
      <c r="F32">
        <f>COUNT(M32:GJ32)</f>
        <v/>
      </c>
      <c r="G32" s="5">
        <f>AVERAGE(M32:GJ32)</f>
        <v/>
      </c>
      <c r="H32" s="5">
        <f>MAX(M32:GJ32)</f>
        <v/>
      </c>
      <c r="I32" s="5">
        <f>MIN(M32:GJ32)</f>
        <v/>
      </c>
      <c r="J32" s="5">
        <f>_xlfn.STDEV.P(M32:GJ32)</f>
        <v/>
      </c>
      <c r="K32" s="5">
        <f>_xlfn.VAR.S(M32:GJ32)</f>
        <v/>
      </c>
      <c r="M32" s="5" t="n">
        <v>21.611258</v>
      </c>
      <c r="N32" s="5" t="n">
        <v>24.517279</v>
      </c>
      <c r="O32" s="5" t="n">
        <v>21.272852</v>
      </c>
      <c r="P32" s="5" t="n">
        <v>21.110882</v>
      </c>
      <c r="Q32" s="5" t="n">
        <v>20.824774</v>
      </c>
      <c r="R32" s="5" t="n">
        <v>22.684845</v>
      </c>
      <c r="S32" s="5" t="n">
        <v>25.534296</v>
      </c>
      <c r="T32" s="5" t="n">
        <v>20.973951</v>
      </c>
      <c r="U32" s="5" t="n">
        <v>22.426905</v>
      </c>
      <c r="V32" s="5" t="n">
        <v>21.83411</v>
      </c>
      <c r="W32" s="5" t="n">
        <v>19.376257</v>
      </c>
      <c r="X32" s="5" t="n">
        <v>21.0345</v>
      </c>
      <c r="Y32" s="5" t="n">
        <v>20.601578</v>
      </c>
      <c r="Z32" s="5" t="n">
        <v>25.464479</v>
      </c>
      <c r="AA32" s="5" t="n">
        <v>21.227995</v>
      </c>
      <c r="AB32" s="5" t="n">
        <v>23.32962</v>
      </c>
      <c r="AC32" s="5" t="n">
        <v>20.209621</v>
      </c>
      <c r="AD32" s="5" t="n">
        <v>22.259485</v>
      </c>
      <c r="AE32" s="5" t="n">
        <v>22.008772</v>
      </c>
      <c r="AF32" s="5" t="n">
        <v>22.278725</v>
      </c>
      <c r="AG32" s="5" t="n">
        <v>21.014393</v>
      </c>
      <c r="AH32" s="5" t="n">
        <v>20.723751</v>
      </c>
      <c r="AI32" s="5" t="n">
        <v>20.342028</v>
      </c>
      <c r="AJ32" s="5" t="n">
        <v>23.81576</v>
      </c>
      <c r="AK32" s="5" t="n">
        <v>22.096058</v>
      </c>
      <c r="AL32" s="5" t="n">
        <v>21.752008</v>
      </c>
      <c r="AM32" s="5" t="n">
        <v>24.73678</v>
      </c>
      <c r="AN32" s="5" t="n">
        <v>20.740976</v>
      </c>
      <c r="AO32" s="5" t="n">
        <v>21.880665</v>
      </c>
      <c r="AP32" s="5" t="n">
        <v>21.086182</v>
      </c>
      <c r="AQ32" s="5" t="n">
        <v>21.696383</v>
      </c>
      <c r="AR32" s="5" t="n">
        <v>24.019583</v>
      </c>
      <c r="AS32" s="5" t="n">
        <v>19.82608</v>
      </c>
      <c r="AT32" s="5" t="n">
        <v>21.092512</v>
      </c>
      <c r="AU32" s="5" t="n">
        <v>21.538937</v>
      </c>
      <c r="AV32" s="5" t="n">
        <v>19.353529</v>
      </c>
      <c r="AW32" s="5" t="n">
        <v>20.954151</v>
      </c>
      <c r="AX32" s="5" t="n">
        <v>21.374182</v>
      </c>
      <c r="AY32" s="5" t="n">
        <v>20.874599</v>
      </c>
      <c r="AZ32" s="5" t="n">
        <v>23.746368</v>
      </c>
      <c r="BA32" s="5" t="n">
        <v>22.961721</v>
      </c>
      <c r="BB32" s="5" t="n">
        <v>21.145319</v>
      </c>
      <c r="BC32" s="5" t="n">
        <v>21.631319</v>
      </c>
      <c r="BD32" s="5" t="n">
        <v>22.011642</v>
      </c>
      <c r="BE32" s="5" t="n">
        <v>24.086926</v>
      </c>
      <c r="BF32" s="5" t="n">
        <v>21.716955</v>
      </c>
      <c r="BG32" s="5" t="n">
        <v>21.689028</v>
      </c>
      <c r="BH32" s="5" t="n">
        <v>19.202482</v>
      </c>
      <c r="BI32" s="5" t="n">
        <v>22.877993</v>
      </c>
      <c r="BJ32" s="5" t="n">
        <v>20.939154</v>
      </c>
      <c r="BK32" s="5" t="n">
        <v>23.393402</v>
      </c>
      <c r="BL32" s="5" t="n">
        <v>22.158039</v>
      </c>
      <c r="BM32" s="5" t="n">
        <v>20.203154</v>
      </c>
      <c r="BN32" s="5" t="n">
        <v>20.974039</v>
      </c>
      <c r="BO32" s="5" t="n">
        <v>19.814217</v>
      </c>
      <c r="BP32" s="5" t="n">
        <v>21.972191</v>
      </c>
      <c r="BQ32" s="5" t="n">
        <v>23.074703</v>
      </c>
      <c r="BR32" s="5" t="n">
        <v>20.68642</v>
      </c>
      <c r="BS32" s="5" t="n">
        <v>20.085073</v>
      </c>
      <c r="BT32" s="5" t="n">
        <v>22.098087</v>
      </c>
      <c r="BU32" s="5" t="n">
        <v>21.567381</v>
      </c>
      <c r="BV32" s="5" t="n">
        <v>21.660107</v>
      </c>
      <c r="BW32" s="5" t="n">
        <v>21.163399</v>
      </c>
      <c r="BX32" s="5" t="n">
        <v>21.83359</v>
      </c>
      <c r="BY32" s="5" t="n">
        <v>20.732388</v>
      </c>
      <c r="BZ32" s="5" t="n">
        <v>21.673611</v>
      </c>
      <c r="CA32" s="5" t="n">
        <v>20.269838</v>
      </c>
      <c r="CB32" s="5" t="n">
        <v>23.49725</v>
      </c>
      <c r="CC32" s="5" t="n">
        <v>21.316729</v>
      </c>
      <c r="CD32" s="5" t="n">
        <v>23.63516</v>
      </c>
      <c r="CE32" s="5" t="n">
        <v>19.955593</v>
      </c>
      <c r="CF32" s="5" t="n">
        <v>20.509092</v>
      </c>
      <c r="CG32" s="5" t="n">
        <v>21.03438</v>
      </c>
      <c r="CH32" s="5" t="n">
        <v>20.709206</v>
      </c>
      <c r="CI32" s="5" t="n">
        <v>19.771521</v>
      </c>
      <c r="CJ32" s="5" t="n">
        <v>20.773211</v>
      </c>
      <c r="CK32" s="5" t="n">
        <v>21.92868</v>
      </c>
      <c r="CL32" s="5" t="n">
        <v>21.508053</v>
      </c>
      <c r="CM32" s="5" t="n">
        <v>20.778444</v>
      </c>
      <c r="CN32" s="5" t="n">
        <v>20.401386</v>
      </c>
      <c r="CO32" s="5" t="n">
        <v>22.625114</v>
      </c>
      <c r="CP32" s="5" t="n">
        <v>21.456869</v>
      </c>
      <c r="CQ32" s="5" t="n">
        <v>19.409149</v>
      </c>
      <c r="CR32" s="5" t="n">
        <v>21.76433</v>
      </c>
      <c r="CS32" s="5" t="n">
        <v>21.092773</v>
      </c>
      <c r="CT32" s="5" t="n">
        <v>20.110052</v>
      </c>
      <c r="CU32" s="5" t="n">
        <v>21.113031</v>
      </c>
      <c r="CV32" s="5" t="n">
        <v>20.999987</v>
      </c>
      <c r="CW32" s="5" t="n">
        <v>23.596327</v>
      </c>
      <c r="CX32" s="5" t="n">
        <v>21.260056</v>
      </c>
      <c r="CY32" s="5" t="n">
        <v>21.65136</v>
      </c>
      <c r="CZ32" s="5" t="n">
        <v>18.767767</v>
      </c>
      <c r="DA32" s="5" t="n">
        <v>22.471718</v>
      </c>
      <c r="DB32" s="5" t="n">
        <v>20.769012</v>
      </c>
      <c r="DC32" s="5" t="n">
        <v>23.162294</v>
      </c>
      <c r="DD32" s="5" t="n">
        <v>20.855482</v>
      </c>
      <c r="DE32" s="5" t="n">
        <v>22.821844</v>
      </c>
      <c r="DF32" s="5" t="n">
        <v>19.636383</v>
      </c>
      <c r="DG32" s="5" t="n">
        <v>21.251493</v>
      </c>
      <c r="DH32" s="5" t="n">
        <v>19.405313</v>
      </c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</row>
    <row r="33">
      <c r="G33" s="5" t="n"/>
      <c r="H33" s="5" t="n"/>
      <c r="I33" s="5" t="n"/>
      <c r="J33" s="5" t="n"/>
      <c r="K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</row>
    <row r="34">
      <c r="D34" t="inlineStr">
        <is>
          <t>Seq2Point</t>
        </is>
      </c>
      <c r="E34" t="inlineStr">
        <is>
          <t>MAE</t>
        </is>
      </c>
      <c r="F34">
        <f>COUNT(M34:GJ34)</f>
        <v/>
      </c>
      <c r="G34" s="5">
        <f>AVERAGE(M34:GJ34)</f>
        <v/>
      </c>
      <c r="H34" s="5">
        <f>MAX(M34:GJ34)</f>
        <v/>
      </c>
      <c r="I34" s="5">
        <f>MIN(M34:GJ34)</f>
        <v/>
      </c>
      <c r="J34" s="5">
        <f>_xlfn.STDEV.P(M34:GJ34)</f>
        <v/>
      </c>
      <c r="K34" s="5">
        <f>_xlfn.VAR.S(M34:GJ34)</f>
        <v/>
      </c>
      <c r="M34" s="5" t="n">
        <v>21.545248</v>
      </c>
      <c r="N34" s="5" t="n">
        <v>21.588461</v>
      </c>
      <c r="O34" s="5" t="n">
        <v>23.122034</v>
      </c>
      <c r="P34" s="5" t="n">
        <v>21.21604</v>
      </c>
      <c r="Q34" s="5" t="n">
        <v>25.643341</v>
      </c>
      <c r="R34" s="5" t="n">
        <v>22.650002</v>
      </c>
      <c r="S34" s="5" t="n">
        <v>20.908901</v>
      </c>
      <c r="T34" s="5" t="n">
        <v>26.184593</v>
      </c>
      <c r="U34" s="5" t="n">
        <v>19.969584</v>
      </c>
      <c r="V34" s="5" t="n">
        <v>22.197884</v>
      </c>
      <c r="W34" s="5" t="n">
        <v>25.790304</v>
      </c>
      <c r="X34" s="5" t="n">
        <v>21.624773</v>
      </c>
      <c r="Y34" s="5" t="n">
        <v>24.31912</v>
      </c>
      <c r="Z34" s="5" t="n">
        <v>22.461512</v>
      </c>
      <c r="AA34" s="5" t="n">
        <v>22.72537</v>
      </c>
      <c r="AB34" s="5" t="n">
        <v>22.573658</v>
      </c>
      <c r="AC34" s="5" t="n">
        <v>22.41329</v>
      </c>
      <c r="AD34" s="5" t="n">
        <v>22.509087</v>
      </c>
      <c r="AE34" s="5" t="n">
        <v>23.443987</v>
      </c>
      <c r="AF34" s="5" t="n">
        <v>25.622259</v>
      </c>
      <c r="AG34" s="5" t="n">
        <v>25.686272</v>
      </c>
      <c r="AH34" s="5" t="n">
        <v>24.166538</v>
      </c>
      <c r="AI34" s="5" t="n">
        <v>22.39702</v>
      </c>
      <c r="AJ34" s="5" t="n">
        <v>19.65436</v>
      </c>
      <c r="AK34" s="5" t="n">
        <v>25.400068</v>
      </c>
      <c r="AL34" s="5" t="n">
        <v>22.8801</v>
      </c>
      <c r="AM34" s="5" t="n">
        <v>19.036936</v>
      </c>
      <c r="AN34" s="5" t="n">
        <v>25.269308</v>
      </c>
      <c r="AO34" s="5" t="n">
        <v>21.253847</v>
      </c>
      <c r="AP34" s="5" t="n">
        <v>25.763695</v>
      </c>
      <c r="AQ34" s="5" t="n">
        <v>22.263666</v>
      </c>
      <c r="AR34" s="5" t="n">
        <v>22.844156</v>
      </c>
      <c r="AS34" s="5" t="n">
        <v>25.242088</v>
      </c>
      <c r="AT34" s="5" t="n">
        <v>20.369171</v>
      </c>
      <c r="AU34" s="5" t="n">
        <v>22.741812</v>
      </c>
      <c r="AV34" s="5" t="n">
        <v>21.102568</v>
      </c>
      <c r="AW34" s="5" t="n">
        <v>23.744396</v>
      </c>
      <c r="AX34" s="5" t="n">
        <v>23.625158</v>
      </c>
      <c r="AY34" s="5" t="n">
        <v>23.615623</v>
      </c>
      <c r="AZ34" s="5" t="n">
        <v>23.889433</v>
      </c>
      <c r="BA34" s="5" t="n">
        <v>23.068226</v>
      </c>
      <c r="BB34" s="5" t="n">
        <v>24.406824</v>
      </c>
      <c r="BC34" s="5" t="n">
        <v>24.317142</v>
      </c>
      <c r="BD34" s="5" t="n">
        <v>25.196444</v>
      </c>
      <c r="BE34" s="5" t="n">
        <v>25.101795</v>
      </c>
      <c r="BF34" s="5" t="n">
        <v>24.439207</v>
      </c>
      <c r="BG34" s="5" t="n">
        <v>23.945644</v>
      </c>
      <c r="BH34" s="5" t="n">
        <v>24.110262</v>
      </c>
      <c r="BI34" s="5" t="n">
        <v>21.324156</v>
      </c>
      <c r="BJ34" s="5" t="n">
        <v>25.648487</v>
      </c>
      <c r="BK34" s="5" t="n">
        <v>23.060772</v>
      </c>
      <c r="BL34" s="5" t="n">
        <v>20.017225</v>
      </c>
      <c r="BM34" s="5" t="n">
        <v>22.045479</v>
      </c>
      <c r="BN34" s="5" t="n">
        <v>21.93965</v>
      </c>
      <c r="BO34" s="5" t="n">
        <v>25.462633</v>
      </c>
      <c r="BP34" s="5" t="n">
        <v>24.420334</v>
      </c>
      <c r="BQ34" s="5" t="n">
        <v>22.856565</v>
      </c>
      <c r="BR34" s="5" t="n">
        <v>25.677341</v>
      </c>
      <c r="BS34" s="5" t="n">
        <v>19.973076</v>
      </c>
      <c r="BT34" s="5" t="n">
        <v>21.072695</v>
      </c>
      <c r="BU34" s="5" t="n">
        <v>22.196396</v>
      </c>
      <c r="BV34" s="5" t="n">
        <v>22.416189</v>
      </c>
      <c r="BW34" s="5" t="n">
        <v>23.937597</v>
      </c>
      <c r="BX34" s="5" t="n">
        <v>22.647106</v>
      </c>
      <c r="BY34" s="5" t="n">
        <v>23.198246</v>
      </c>
      <c r="BZ34" s="5" t="n">
        <v>26.195415</v>
      </c>
      <c r="CA34" s="5" t="n">
        <v>22.462252</v>
      </c>
      <c r="CB34" s="5" t="n">
        <v>22.244534</v>
      </c>
      <c r="CC34" s="5" t="n">
        <v>24.164907</v>
      </c>
      <c r="CD34" s="5" t="n">
        <v>25.324232</v>
      </c>
      <c r="CE34" s="5" t="n">
        <v>24.194025</v>
      </c>
      <c r="CF34" s="5" t="n">
        <v>22.457823</v>
      </c>
      <c r="CG34" s="5" t="n">
        <v>22.795254</v>
      </c>
      <c r="CH34" s="5" t="n">
        <v>22.943419</v>
      </c>
      <c r="CI34" s="5" t="n">
        <v>24.263872</v>
      </c>
      <c r="CJ34" s="5" t="n">
        <v>21.104294</v>
      </c>
      <c r="CK34" s="5" t="n">
        <v>19.541534</v>
      </c>
      <c r="CL34" s="5" t="n">
        <v>20.762232</v>
      </c>
      <c r="CM34" s="5" t="n">
        <v>21.80805</v>
      </c>
      <c r="CN34" s="5" t="n">
        <v>24.140039</v>
      </c>
      <c r="CO34" s="5" t="n">
        <v>21.586676</v>
      </c>
      <c r="CP34" s="5" t="n">
        <v>22.012384</v>
      </c>
      <c r="CQ34" s="5" t="n">
        <v>26.020857</v>
      </c>
      <c r="CR34" s="5" t="n">
        <v>20.776291</v>
      </c>
      <c r="CS34" s="5" t="n">
        <v>22.458742</v>
      </c>
      <c r="CT34" s="5" t="n">
        <v>21.016115</v>
      </c>
      <c r="CU34" s="5" t="n">
        <v>22.505384</v>
      </c>
      <c r="CV34" s="5" t="n">
        <v>24.358847</v>
      </c>
      <c r="CW34" s="5" t="n">
        <v>23.582529</v>
      </c>
      <c r="CX34" s="5" t="n">
        <v>23.545942</v>
      </c>
      <c r="CY34" s="5" t="n">
        <v>23.885944</v>
      </c>
      <c r="CZ34" s="5" t="n">
        <v>19.786804</v>
      </c>
      <c r="DA34" s="5" t="n">
        <v>22.491257</v>
      </c>
      <c r="DB34" s="5" t="n">
        <v>24.650591</v>
      </c>
      <c r="DC34" s="5" t="n">
        <v>24.467436</v>
      </c>
      <c r="DD34" s="5" t="n">
        <v>24.297573</v>
      </c>
      <c r="DE34" s="5" t="n">
        <v>22.101976</v>
      </c>
      <c r="DF34" s="5" t="n">
        <v>22.600927</v>
      </c>
      <c r="DG34" s="5" t="n">
        <v>23.495636</v>
      </c>
      <c r="DH34" s="5" t="n">
        <v>23.350674</v>
      </c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</row>
    <row r="35">
      <c r="G35" s="5" t="n"/>
      <c r="H35" s="5" t="n"/>
      <c r="I35" s="5" t="n"/>
      <c r="J35" s="5" t="n"/>
      <c r="K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</row>
    <row r="36"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</row>
    <row r="37">
      <c r="B37" t="inlineStr">
        <is>
          <t>test_dataset.h5</t>
        </is>
      </c>
      <c r="D37" s="1" t="inlineStr">
        <is>
          <t>reale Testdaten(hh_06):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  <c r="EM37" s="5" t="n"/>
      <c r="EN37" s="5" t="n"/>
      <c r="EO37" s="5" t="n"/>
      <c r="EP37" s="5" t="n"/>
      <c r="EQ37" s="5" t="n"/>
      <c r="ER37" s="5" t="n"/>
      <c r="ES37" s="5" t="n"/>
      <c r="ET37" s="5" t="n"/>
      <c r="EU37" s="5" t="n"/>
      <c r="EV37" s="5" t="n"/>
      <c r="EW37" s="5" t="n"/>
      <c r="EX37" s="5" t="n"/>
      <c r="EY37" s="5" t="n"/>
      <c r="EZ37" s="5" t="n"/>
      <c r="FA37" s="5" t="n"/>
      <c r="FB37" s="5" t="n"/>
      <c r="FC37" s="5" t="n"/>
      <c r="FD37" s="5" t="n"/>
      <c r="FE37" s="5" t="n"/>
      <c r="FF37" s="5" t="n"/>
      <c r="FG37" s="5" t="n"/>
      <c r="FH37" s="5" t="n"/>
      <c r="FI37" s="5" t="n"/>
      <c r="FJ37" s="5" t="n"/>
      <c r="FK37" s="5" t="n"/>
      <c r="FL37" s="5" t="n"/>
      <c r="FM37" s="5" t="n"/>
      <c r="FN37" s="5" t="n"/>
      <c r="FO37" s="5" t="n"/>
      <c r="FP37" s="5" t="n"/>
      <c r="FQ37" s="5" t="n"/>
      <c r="FR37" s="5" t="n"/>
      <c r="FS37" s="5" t="n"/>
      <c r="FT37" s="5" t="n"/>
      <c r="FU37" s="5" t="n"/>
      <c r="FV37" s="5" t="n"/>
      <c r="FW37" s="5" t="n"/>
      <c r="FX37" s="5" t="n"/>
      <c r="FY37" s="5" t="n"/>
      <c r="FZ37" s="5" t="n"/>
      <c r="GA37" s="5" t="n"/>
      <c r="GB37" s="5" t="n"/>
      <c r="GC37" s="5" t="n"/>
      <c r="GD37" s="5" t="n"/>
      <c r="GE37" s="5" t="n"/>
      <c r="GF37" s="5" t="n"/>
      <c r="GG37" s="5" t="n"/>
      <c r="GH37" s="5" t="n"/>
      <c r="GI37" s="5" t="n"/>
      <c r="GJ37" s="5" t="n"/>
      <c r="GK37" s="5" t="n"/>
      <c r="GL37" s="5" t="n"/>
      <c r="GM37" s="5" t="n"/>
      <c r="GN37" s="5" t="n"/>
      <c r="GO37" s="5" t="n"/>
    </row>
    <row r="38">
      <c r="B38" s="2" t="inlineStr">
        <is>
          <t>buildings': 6</t>
        </is>
      </c>
      <c r="D38" t="inlineStr">
        <is>
          <t>RNN</t>
        </is>
      </c>
      <c r="E38" t="inlineStr">
        <is>
          <t>MAE</t>
        </is>
      </c>
      <c r="F38">
        <f>COUNT(M38:GJ38)</f>
        <v/>
      </c>
      <c r="G38" s="5">
        <f>AVERAGE(M38:GJ38)</f>
        <v/>
      </c>
      <c r="H38" s="5">
        <f>MAX(M38:GJ38)</f>
        <v/>
      </c>
      <c r="I38" s="5">
        <f>MIN(M38:GJ38)</f>
        <v/>
      </c>
      <c r="J38" s="5">
        <f>_xlfn.STDEV.P(M38:GJ38)</f>
        <v/>
      </c>
      <c r="K38" s="5">
        <f>_xlfn.VAR.S(M38:GJ38)</f>
        <v/>
      </c>
      <c r="M38" s="5" t="n">
        <v>21.845833</v>
      </c>
      <c r="N38" s="5" t="n">
        <v>22.674696</v>
      </c>
      <c r="O38" s="5" t="n">
        <v>22.654028</v>
      </c>
      <c r="P38" s="5" t="n">
        <v>26.1681</v>
      </c>
      <c r="Q38" s="5" t="n">
        <v>22.41902</v>
      </c>
      <c r="R38" s="5" t="n">
        <v>21.828663</v>
      </c>
      <c r="S38" s="5" t="n">
        <v>24.392057</v>
      </c>
      <c r="T38" s="5" t="n">
        <v>21.889906</v>
      </c>
      <c r="U38" s="5" t="n">
        <v>22.848396</v>
      </c>
      <c r="V38" s="5" t="n">
        <v>23.022799</v>
      </c>
      <c r="W38" s="5" t="n">
        <v>22.01458</v>
      </c>
      <c r="X38" s="5" t="n">
        <v>21.136715</v>
      </c>
      <c r="Y38" s="5" t="n">
        <v>27.088907</v>
      </c>
      <c r="Z38" s="5" t="n">
        <v>22.612082</v>
      </c>
      <c r="AA38" s="5" t="n">
        <v>26.458103</v>
      </c>
      <c r="AB38" s="5" t="n">
        <v>23.083776</v>
      </c>
      <c r="AC38" s="5" t="n">
        <v>23.650583</v>
      </c>
      <c r="AD38" s="5" t="n">
        <v>24.265013</v>
      </c>
      <c r="AE38" s="5" t="n">
        <v>22.434881</v>
      </c>
      <c r="AF38" s="5" t="n">
        <v>27.037134</v>
      </c>
      <c r="AG38" s="5" t="n">
        <v>22.715719</v>
      </c>
      <c r="AH38" s="5" t="n">
        <v>22.806841</v>
      </c>
      <c r="AI38" s="5" t="n">
        <v>26.045465</v>
      </c>
      <c r="AJ38" s="5" t="n">
        <v>24.173773</v>
      </c>
      <c r="AK38" s="5" t="n">
        <v>26.083439</v>
      </c>
      <c r="AL38" s="5" t="n">
        <v>21.832632</v>
      </c>
      <c r="AM38" s="5" t="n">
        <v>22.943352</v>
      </c>
      <c r="AN38" s="5" t="n">
        <v>21.512207</v>
      </c>
      <c r="AO38" s="5" t="n">
        <v>27.039186</v>
      </c>
      <c r="AP38" s="5" t="n">
        <v>22.501776</v>
      </c>
      <c r="AQ38" s="5" t="n">
        <v>25.935522</v>
      </c>
      <c r="AR38" s="5" t="n">
        <v>23.047499</v>
      </c>
      <c r="AS38" s="5" t="n">
        <v>21.853971</v>
      </c>
      <c r="AT38" s="5" t="n">
        <v>23.377241</v>
      </c>
      <c r="AU38" s="5" t="n">
        <v>22.719814</v>
      </c>
      <c r="AV38" s="5" t="n">
        <v>24.13028</v>
      </c>
      <c r="AW38" s="5" t="n">
        <v>23.142445</v>
      </c>
      <c r="AX38" s="5" t="n">
        <v>22.878336</v>
      </c>
      <c r="AY38" s="5" t="n">
        <v>22.919281</v>
      </c>
      <c r="AZ38" s="5" t="n">
        <v>23.029568</v>
      </c>
      <c r="BA38" s="5" t="n">
        <v>23.122757</v>
      </c>
      <c r="BB38" s="5" t="n">
        <v>23.132124</v>
      </c>
      <c r="BC38" s="5" t="n">
        <v>22.897472</v>
      </c>
      <c r="BD38" s="5" t="n">
        <v>22.855097</v>
      </c>
      <c r="BE38" s="5" t="n">
        <v>24.749451</v>
      </c>
      <c r="BF38" s="5" t="n">
        <v>22.770763</v>
      </c>
      <c r="BG38" s="5" t="n">
        <v>23.214254</v>
      </c>
      <c r="BH38" s="5" t="n">
        <v>23.972567</v>
      </c>
      <c r="BI38" s="5" t="n">
        <v>23.419519</v>
      </c>
      <c r="BJ38" s="5" t="n">
        <v>22.601389</v>
      </c>
      <c r="BK38" s="5" t="n">
        <v>23.990791</v>
      </c>
      <c r="BL38" s="5" t="n">
        <v>22.875843</v>
      </c>
      <c r="BM38" s="5" t="n">
        <v>25.747864</v>
      </c>
      <c r="BN38" s="5" t="n">
        <v>25.424997</v>
      </c>
      <c r="BO38" s="5" t="n">
        <v>22.237106</v>
      </c>
      <c r="BP38" s="5" t="n">
        <v>23.733761</v>
      </c>
      <c r="BQ38" s="5" t="n">
        <v>23.777544</v>
      </c>
      <c r="BR38" s="5" t="n">
        <v>21.255905</v>
      </c>
      <c r="BS38" s="5" t="n">
        <v>23.194309</v>
      </c>
      <c r="BT38" s="5" t="n">
        <v>23.094267</v>
      </c>
      <c r="BU38" s="5" t="n">
        <v>22.705187</v>
      </c>
      <c r="BV38" s="5" t="n">
        <v>24.90943</v>
      </c>
      <c r="BW38" s="5" t="n">
        <v>23.13159</v>
      </c>
      <c r="BX38" s="5" t="n">
        <v>22.850925</v>
      </c>
      <c r="BY38" s="5" t="n">
        <v>23.99675</v>
      </c>
      <c r="BZ38" s="5" t="n">
        <v>23.333261</v>
      </c>
      <c r="CA38" s="5" t="n">
        <v>23.329552</v>
      </c>
      <c r="CB38" s="5" t="n">
        <v>23.397989</v>
      </c>
      <c r="CC38" s="5" t="n">
        <v>23.080309</v>
      </c>
      <c r="CD38" s="5" t="n">
        <v>24.850607</v>
      </c>
      <c r="CE38" s="5" t="n">
        <v>22.936287</v>
      </c>
      <c r="CF38" s="5" t="n">
        <v>22.99806</v>
      </c>
      <c r="CG38" s="5" t="n">
        <v>22.910273</v>
      </c>
      <c r="CH38" s="5" t="n">
        <v>23.957731</v>
      </c>
      <c r="CI38" s="5" t="n">
        <v>24.038593</v>
      </c>
      <c r="CJ38" s="5" t="n">
        <v>24.667231</v>
      </c>
      <c r="CK38" s="5" t="n">
        <v>23.82165</v>
      </c>
      <c r="CL38" s="5" t="n">
        <v>22.630581</v>
      </c>
      <c r="CM38" s="5" t="n">
        <v>23.735813</v>
      </c>
      <c r="CN38" s="5" t="n">
        <v>24.375156</v>
      </c>
      <c r="CO38" s="5" t="n">
        <v>26.024975</v>
      </c>
      <c r="CP38" s="5" t="n">
        <v>25.352028</v>
      </c>
      <c r="CQ38" s="5" t="n">
        <v>21.949947</v>
      </c>
      <c r="CR38" s="5" t="n">
        <v>23.075726</v>
      </c>
      <c r="CS38" s="5" t="n">
        <v>23.058327</v>
      </c>
      <c r="CT38" s="5" t="n">
        <v>22.592463</v>
      </c>
      <c r="CU38" s="5" t="n">
        <v>24.849367</v>
      </c>
      <c r="CV38" s="5" t="n">
        <v>23.204237</v>
      </c>
      <c r="CW38" s="5" t="n">
        <v>22.852627</v>
      </c>
      <c r="CX38" s="5" t="n">
        <v>23.469059</v>
      </c>
      <c r="CY38" s="5" t="n">
        <v>24.23744</v>
      </c>
      <c r="CZ38" s="5" t="n">
        <v>22.849705</v>
      </c>
      <c r="DA38" s="5" t="n">
        <v>23.645422</v>
      </c>
      <c r="DB38" s="5" t="n">
        <v>23.041769</v>
      </c>
      <c r="DC38" s="5" t="n">
        <v>22.814428</v>
      </c>
      <c r="DD38" s="5" t="n">
        <v>23.273947</v>
      </c>
      <c r="DE38" s="5" t="n">
        <v>23.138386</v>
      </c>
      <c r="DF38" s="5" t="n">
        <v>25.263603</v>
      </c>
      <c r="DG38" s="5" t="n">
        <v>22.622215</v>
      </c>
      <c r="DH38" s="5" t="n">
        <v>23.138229</v>
      </c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  <c r="EM38" s="5" t="n"/>
      <c r="EN38" s="5" t="n"/>
      <c r="EO38" s="5" t="n"/>
      <c r="EP38" s="5" t="n"/>
      <c r="EQ38" s="5" t="n"/>
      <c r="ER38" s="5" t="n"/>
      <c r="ES38" s="5" t="n"/>
      <c r="ET38" s="5" t="n"/>
      <c r="EU38" s="5" t="n"/>
      <c r="EV38" s="5" t="n"/>
      <c r="EW38" s="5" t="n"/>
      <c r="EX38" s="5" t="n"/>
      <c r="EY38" s="5" t="n"/>
      <c r="EZ38" s="5" t="n"/>
      <c r="FA38" s="5" t="n"/>
      <c r="FB38" s="5" t="n"/>
      <c r="FC38" s="5" t="n"/>
      <c r="FD38" s="5" t="n"/>
      <c r="FE38" s="5" t="n"/>
      <c r="FF38" s="5" t="n"/>
      <c r="FG38" s="5" t="n"/>
      <c r="FH38" s="5" t="n"/>
      <c r="FI38" s="5" t="n"/>
      <c r="FJ38" s="5" t="n"/>
      <c r="FK38" s="5" t="n"/>
      <c r="FL38" s="5" t="n"/>
      <c r="FM38" s="5" t="n"/>
      <c r="FN38" s="5" t="n"/>
      <c r="FO38" s="5" t="n"/>
      <c r="FP38" s="5" t="n"/>
      <c r="FQ38" s="5" t="n"/>
      <c r="FR38" s="5" t="n"/>
      <c r="FS38" s="5" t="n"/>
      <c r="FT38" s="5" t="n"/>
      <c r="FU38" s="5" t="n"/>
      <c r="FV38" s="5" t="n"/>
      <c r="FW38" s="5" t="n"/>
      <c r="FX38" s="5" t="n"/>
      <c r="FY38" s="5" t="n"/>
      <c r="FZ38" s="5" t="n"/>
      <c r="GA38" s="5" t="n"/>
      <c r="GB38" s="5" t="n"/>
      <c r="GC38" s="5" t="n"/>
      <c r="GD38" s="5" t="n"/>
      <c r="GE38" s="5" t="n"/>
      <c r="GF38" s="5" t="n"/>
      <c r="GG38" s="5" t="n"/>
      <c r="GH38" s="5" t="n"/>
      <c r="GI38" s="5" t="n"/>
      <c r="GJ38" s="5" t="n"/>
      <c r="GK38" s="5" t="n"/>
      <c r="GL38" s="5" t="n"/>
      <c r="GM38" s="5" t="n"/>
      <c r="GN38" s="5" t="n"/>
      <c r="GO38" s="5" t="n"/>
      <c r="GP38" s="5" t="n"/>
      <c r="GQ38" s="5" t="n"/>
      <c r="GR38" s="5" t="n"/>
      <c r="GS38" s="5" t="n"/>
      <c r="GT38" s="5" t="n"/>
      <c r="GU38" s="5" t="n"/>
      <c r="GV38" s="5" t="n"/>
      <c r="GW38" s="5" t="n"/>
      <c r="GX38" s="5" t="n"/>
      <c r="GY38" s="5" t="n"/>
    </row>
    <row r="39">
      <c r="B39" s="2" t="inlineStr">
        <is>
          <t>start_time': '2019-11-10'</t>
        </is>
      </c>
      <c r="G39" s="5" t="n"/>
      <c r="H39" s="5" t="n"/>
      <c r="I39" s="5" t="n"/>
      <c r="J39" s="5" t="n"/>
      <c r="K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</row>
    <row r="40">
      <c r="B40" s="2" t="inlineStr">
        <is>
          <t>end_time': '2019-11-23'</t>
        </is>
      </c>
      <c r="D40" t="inlineStr">
        <is>
          <t>WindowGRU</t>
        </is>
      </c>
      <c r="E40" t="inlineStr">
        <is>
          <t>MAE</t>
        </is>
      </c>
      <c r="F40">
        <f>COUNT(M40:GJ40)</f>
        <v/>
      </c>
      <c r="G40" s="5">
        <f>AVERAGE(M40:GJ40)</f>
        <v/>
      </c>
      <c r="H40" s="5">
        <f>MAX(M40:GJ40)</f>
        <v/>
      </c>
      <c r="I40" s="5">
        <f>MIN(M40:GJ40)</f>
        <v/>
      </c>
      <c r="J40" s="5">
        <f>_xlfn.STDEV.P(M40:GJ40)</f>
        <v/>
      </c>
      <c r="K40" s="5">
        <f>_xlfn.VAR.S(M40:GJ40)</f>
        <v/>
      </c>
      <c r="M40" s="5" t="n">
        <v>22.69371</v>
      </c>
      <c r="N40" s="5" t="n">
        <v>24.84782</v>
      </c>
      <c r="O40" s="5" t="n">
        <v>26.520411</v>
      </c>
      <c r="P40" s="5" t="n">
        <v>35.359978</v>
      </c>
      <c r="Q40" s="5" t="n">
        <v>27.637613</v>
      </c>
      <c r="R40" s="5" t="n">
        <v>25.890779</v>
      </c>
      <c r="S40" s="5" t="n">
        <v>23.121212</v>
      </c>
      <c r="T40" s="5" t="n">
        <v>31.686003</v>
      </c>
      <c r="U40" s="5" t="n">
        <v>22.604183</v>
      </c>
      <c r="V40" s="5" t="n">
        <v>25.915878</v>
      </c>
      <c r="W40" s="5" t="n">
        <v>24.051878</v>
      </c>
      <c r="X40" s="5" t="n">
        <v>24.177792</v>
      </c>
      <c r="Y40" s="5" t="n">
        <v>28.077805</v>
      </c>
      <c r="Z40" s="5" t="n">
        <v>27.331474</v>
      </c>
      <c r="AA40" s="5" t="n">
        <v>24.955162</v>
      </c>
      <c r="AB40" s="5" t="n">
        <v>24.443876</v>
      </c>
      <c r="AC40" s="5" t="n">
        <v>26.40045</v>
      </c>
      <c r="AD40" s="5" t="n">
        <v>23.986261</v>
      </c>
      <c r="AE40" s="5" t="n">
        <v>26.579002</v>
      </c>
      <c r="AF40" s="5" t="n">
        <v>26.934574</v>
      </c>
      <c r="AG40" s="5" t="n">
        <v>33.148933</v>
      </c>
      <c r="AH40" s="5" t="n">
        <v>23.640013</v>
      </c>
      <c r="AI40" s="5" t="n">
        <v>25.23064</v>
      </c>
      <c r="AJ40" s="5" t="n">
        <v>24.870615</v>
      </c>
      <c r="AK40" s="5" t="n">
        <v>30.001608</v>
      </c>
      <c r="AL40" s="5" t="n">
        <v>24.07597</v>
      </c>
      <c r="AM40" s="5" t="n">
        <v>25.260519</v>
      </c>
      <c r="AN40" s="5" t="n">
        <v>24.093103</v>
      </c>
      <c r="AO40" s="5" t="n">
        <v>20.594437</v>
      </c>
      <c r="AP40" s="5" t="n">
        <v>26.658579</v>
      </c>
      <c r="AQ40" s="5" t="n">
        <v>24.393002</v>
      </c>
      <c r="AR40" s="5" t="n">
        <v>22.23163</v>
      </c>
      <c r="AS40" s="5" t="n">
        <v>27.31621</v>
      </c>
      <c r="AT40" s="5" t="n">
        <v>22.68619</v>
      </c>
      <c r="AU40" s="5" t="n">
        <v>24.566305</v>
      </c>
      <c r="AV40" s="5" t="n">
        <v>24.507215</v>
      </c>
      <c r="AW40" s="5" t="n">
        <v>21.822853</v>
      </c>
      <c r="AX40" s="5" t="n">
        <v>25.771772</v>
      </c>
      <c r="AY40" s="5" t="n">
        <v>31.909067</v>
      </c>
      <c r="AZ40" s="5" t="n">
        <v>19.038288</v>
      </c>
      <c r="BA40" s="5" t="n">
        <v>26.295801</v>
      </c>
      <c r="BB40" s="5" t="n">
        <v>24.75709</v>
      </c>
      <c r="BC40" s="5" t="n">
        <v>26.243029</v>
      </c>
      <c r="BD40" s="5" t="n">
        <v>26.658777</v>
      </c>
      <c r="BE40" s="5" t="n">
        <v>27.202986</v>
      </c>
      <c r="BF40" s="5" t="n">
        <v>25.831091</v>
      </c>
      <c r="BG40" s="5" t="n">
        <v>28.221668</v>
      </c>
      <c r="BH40" s="5" t="n">
        <v>24.846117</v>
      </c>
      <c r="BI40" s="5" t="n">
        <v>25.730824</v>
      </c>
      <c r="BJ40" s="5" t="n">
        <v>20.000328</v>
      </c>
      <c r="BK40" s="5" t="n">
        <v>25.093555</v>
      </c>
      <c r="BL40" s="5" t="n">
        <v>20.725918</v>
      </c>
      <c r="BM40" s="5" t="n">
        <v>24.602161</v>
      </c>
      <c r="BN40" s="5" t="n">
        <v>18.083668</v>
      </c>
      <c r="BO40" s="5" t="n">
        <v>25.080826</v>
      </c>
      <c r="BP40" s="5" t="n">
        <v>23.784481</v>
      </c>
      <c r="BQ40" s="5" t="n">
        <v>22.792389</v>
      </c>
      <c r="BR40" s="5" t="n">
        <v>28.016064</v>
      </c>
      <c r="BS40" s="5" t="n">
        <v>20.012562</v>
      </c>
      <c r="BT40" s="5" t="n">
        <v>22.990299</v>
      </c>
      <c r="BU40" s="5" t="n">
        <v>24.720028</v>
      </c>
      <c r="BV40" s="5" t="n">
        <v>23.313627</v>
      </c>
      <c r="BW40" s="5" t="n">
        <v>23.421547</v>
      </c>
      <c r="BX40" s="5" t="n">
        <v>28.725542</v>
      </c>
      <c r="BY40" s="5" t="n">
        <v>22.853127</v>
      </c>
      <c r="BZ40" s="5" t="n">
        <v>21.922184</v>
      </c>
      <c r="CA40" s="5" t="n">
        <v>24.723566</v>
      </c>
      <c r="CB40" s="5" t="n">
        <v>24.397091</v>
      </c>
      <c r="CC40" s="5" t="n">
        <v>24.926769</v>
      </c>
      <c r="CD40" s="5" t="n">
        <v>26.554146</v>
      </c>
      <c r="CE40" s="5" t="n">
        <v>24.337393</v>
      </c>
      <c r="CF40" s="5" t="n">
        <v>26.41087</v>
      </c>
      <c r="CG40" s="5" t="n">
        <v>24.087688</v>
      </c>
      <c r="CH40" s="5" t="n">
        <v>20.833235</v>
      </c>
      <c r="CI40" s="5" t="n">
        <v>20.834574</v>
      </c>
      <c r="CJ40" s="5" t="n">
        <v>23.674511</v>
      </c>
      <c r="CK40" s="5" t="n">
        <v>22.949715</v>
      </c>
      <c r="CL40" s="5" t="n">
        <v>25.449463</v>
      </c>
      <c r="CM40" s="5" t="n">
        <v>25.600824</v>
      </c>
      <c r="CN40" s="5" t="n">
        <v>26.110079</v>
      </c>
      <c r="CO40" s="5" t="n">
        <v>20.836197</v>
      </c>
      <c r="CP40" s="5" t="n">
        <v>20.041344</v>
      </c>
      <c r="CQ40" s="5" t="n">
        <v>32.091038</v>
      </c>
      <c r="CR40" s="5" t="n">
        <v>21.394545</v>
      </c>
      <c r="CS40" s="5" t="n">
        <v>23.393076</v>
      </c>
      <c r="CT40" s="5" t="n">
        <v>24.591059</v>
      </c>
      <c r="CU40" s="5" t="n">
        <v>24.847788</v>
      </c>
      <c r="CV40" s="5" t="n">
        <v>25.01886</v>
      </c>
      <c r="CW40" s="5" t="n">
        <v>24.673176</v>
      </c>
      <c r="CX40" s="5" t="n">
        <v>17.439825</v>
      </c>
      <c r="CY40" s="5" t="n">
        <v>22.226683</v>
      </c>
      <c r="CZ40" s="5" t="n">
        <v>21.291674</v>
      </c>
      <c r="DA40" s="5" t="n">
        <v>23.68919</v>
      </c>
      <c r="DB40" s="5" t="n">
        <v>27.354576</v>
      </c>
      <c r="DC40" s="5" t="n">
        <v>24.442307</v>
      </c>
      <c r="DD40" s="5" t="n">
        <v>21.673988</v>
      </c>
      <c r="DE40" s="5" t="n">
        <v>22.021812</v>
      </c>
      <c r="DF40" s="5" t="n">
        <v>22.924524</v>
      </c>
      <c r="DG40" s="5" t="n">
        <v>24.248848</v>
      </c>
      <c r="DH40" s="5" t="n">
        <v>22.764843</v>
      </c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</row>
    <row r="41">
      <c r="G41" s="5" t="n"/>
      <c r="H41" s="5" t="n"/>
      <c r="I41" s="5" t="n"/>
      <c r="J41" s="5" t="n"/>
      <c r="K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</row>
    <row r="42">
      <c r="D42" t="inlineStr">
        <is>
          <t>DAE</t>
        </is>
      </c>
      <c r="E42" t="inlineStr">
        <is>
          <t>MAE</t>
        </is>
      </c>
      <c r="F42">
        <f>COUNT(M42:GJ42)</f>
        <v/>
      </c>
      <c r="G42" s="5">
        <f>AVERAGE(M42:GJ42)</f>
        <v/>
      </c>
      <c r="H42" s="5">
        <f>MAX(M42:GJ42)</f>
        <v/>
      </c>
      <c r="I42" s="5">
        <f>MIN(M42:GJ42)</f>
        <v/>
      </c>
      <c r="J42" s="5">
        <f>_xlfn.STDEV.P(M42:GJ42)</f>
        <v/>
      </c>
      <c r="K42" s="5">
        <f>_xlfn.VAR.S(M42:GJ42)</f>
        <v/>
      </c>
      <c r="M42" s="5" t="n">
        <v>28.972998</v>
      </c>
      <c r="N42" s="5" t="n">
        <v>26.929359</v>
      </c>
      <c r="O42" s="5" t="n">
        <v>25.803871</v>
      </c>
      <c r="P42" s="5" t="n">
        <v>26.38431</v>
      </c>
      <c r="Q42" s="5" t="n">
        <v>29.447964</v>
      </c>
      <c r="R42" s="5" t="n">
        <v>26.284969</v>
      </c>
      <c r="S42" s="5" t="n">
        <v>27.096302</v>
      </c>
      <c r="T42" s="5" t="n">
        <v>26.350599</v>
      </c>
      <c r="U42" s="5" t="n">
        <v>27.888208</v>
      </c>
      <c r="V42" s="5" t="n">
        <v>26.369549</v>
      </c>
      <c r="W42" s="5" t="n">
        <v>26.501022</v>
      </c>
      <c r="X42" s="5" t="n">
        <v>31.82443</v>
      </c>
      <c r="Y42" s="5" t="n">
        <v>27.780422</v>
      </c>
      <c r="Z42" s="5" t="n">
        <v>25.647846</v>
      </c>
      <c r="AA42" s="5" t="n">
        <v>26.423658</v>
      </c>
      <c r="AB42" s="5" t="n">
        <v>32.388004</v>
      </c>
      <c r="AC42" s="5" t="n">
        <v>26.444403</v>
      </c>
      <c r="AD42" s="5" t="n">
        <v>24.960308</v>
      </c>
      <c r="AE42" s="5" t="n">
        <v>27.865822</v>
      </c>
      <c r="AF42" s="5" t="n">
        <v>27.925184</v>
      </c>
      <c r="AG42" s="5" t="n">
        <v>26.065453</v>
      </c>
      <c r="AH42" s="5" t="n">
        <v>27.558634</v>
      </c>
      <c r="AI42" s="5" t="n">
        <v>26.080261</v>
      </c>
      <c r="AJ42" s="5" t="n">
        <v>26.193695</v>
      </c>
      <c r="AK42" s="5" t="n">
        <v>26.96508</v>
      </c>
      <c r="AL42" s="5" t="n">
        <v>28.044748</v>
      </c>
      <c r="AM42" s="5" t="n">
        <v>26.633522</v>
      </c>
      <c r="AN42" s="5" t="n">
        <v>25.416407</v>
      </c>
      <c r="AO42" s="5" t="n">
        <v>26.987059</v>
      </c>
      <c r="AP42" s="5" t="n">
        <v>27.533218</v>
      </c>
      <c r="AQ42" s="5" t="n">
        <v>27.302324</v>
      </c>
      <c r="AR42" s="5" t="n">
        <v>26.773396</v>
      </c>
      <c r="AS42" s="5" t="n">
        <v>27.651999</v>
      </c>
      <c r="AT42" s="5" t="n">
        <v>28.366451</v>
      </c>
      <c r="AU42" s="5" t="n">
        <v>26.086065</v>
      </c>
      <c r="AV42" s="5" t="n">
        <v>26.524349</v>
      </c>
      <c r="AW42" s="5" t="n">
        <v>32.448708</v>
      </c>
      <c r="AX42" s="5" t="n">
        <v>27.220114</v>
      </c>
      <c r="AY42" s="5" t="n">
        <v>26.335033</v>
      </c>
      <c r="AZ42" s="5" t="n">
        <v>28.28546</v>
      </c>
      <c r="BA42" s="5" t="n">
        <v>25.385183</v>
      </c>
      <c r="BB42" s="5" t="n">
        <v>27.702293</v>
      </c>
      <c r="BC42" s="5" t="n">
        <v>26.199806</v>
      </c>
      <c r="BD42" s="5" t="n">
        <v>27.517679</v>
      </c>
      <c r="BE42" s="5" t="n">
        <v>29.375113</v>
      </c>
      <c r="BF42" s="5" t="n">
        <v>27.474857</v>
      </c>
      <c r="BG42" s="5" t="n">
        <v>27.252718</v>
      </c>
      <c r="BH42" s="5" t="n">
        <v>27.209873</v>
      </c>
      <c r="BI42" s="5" t="n">
        <v>27.329296</v>
      </c>
      <c r="BJ42" s="5" t="n">
        <v>25.914808</v>
      </c>
      <c r="BK42" s="5" t="n">
        <v>26.22747</v>
      </c>
      <c r="BL42" s="5" t="n">
        <v>28.038385</v>
      </c>
      <c r="BM42" s="5" t="n">
        <v>27.251093</v>
      </c>
      <c r="BN42" s="5" t="n">
        <v>26.618</v>
      </c>
      <c r="BO42" s="5" t="n">
        <v>28.351284</v>
      </c>
      <c r="BP42" s="5" t="n">
        <v>26.244638</v>
      </c>
      <c r="BQ42" s="5" t="n">
        <v>25.559166</v>
      </c>
      <c r="BR42" s="5" t="n">
        <v>26.409428</v>
      </c>
      <c r="BS42" s="5" t="n">
        <v>27.208399</v>
      </c>
      <c r="BT42" s="5" t="n">
        <v>25.730768</v>
      </c>
      <c r="BU42" s="5" t="n">
        <v>25.861723</v>
      </c>
      <c r="BV42" s="5" t="n">
        <v>30.714016</v>
      </c>
      <c r="BW42" s="5" t="n">
        <v>27.822897</v>
      </c>
      <c r="BX42" s="5" t="n">
        <v>26.109974</v>
      </c>
      <c r="BY42" s="5" t="n">
        <v>25.190483</v>
      </c>
      <c r="BZ42" s="5" t="n">
        <v>32.823238</v>
      </c>
      <c r="CA42" s="5" t="n">
        <v>27.297417</v>
      </c>
      <c r="CB42" s="5" t="n">
        <v>26.947298</v>
      </c>
      <c r="CC42" s="5" t="n">
        <v>27.431725</v>
      </c>
      <c r="CD42" s="5" t="n">
        <v>30.477266</v>
      </c>
      <c r="CE42" s="5" t="n">
        <v>26.636328</v>
      </c>
      <c r="CF42" s="5" t="n">
        <v>27.914207</v>
      </c>
      <c r="CG42" s="5" t="n">
        <v>26.544659</v>
      </c>
      <c r="CH42" s="5" t="n">
        <v>28.184181</v>
      </c>
      <c r="CI42" s="5" t="n">
        <v>26.371605</v>
      </c>
      <c r="CJ42" s="5" t="n">
        <v>28.754356</v>
      </c>
      <c r="CK42" s="5" t="n">
        <v>26.735121</v>
      </c>
      <c r="CL42" s="5" t="n">
        <v>28.069874</v>
      </c>
      <c r="CM42" s="5" t="n">
        <v>26.729874</v>
      </c>
      <c r="CN42" s="5" t="n">
        <v>28.696714</v>
      </c>
      <c r="CO42" s="5" t="n">
        <v>27.009756</v>
      </c>
      <c r="CP42" s="5" t="n">
        <v>25.732321</v>
      </c>
      <c r="CQ42" s="5" t="n">
        <v>25.989557</v>
      </c>
      <c r="CR42" s="5" t="n">
        <v>26.26869</v>
      </c>
      <c r="CS42" s="5" t="n">
        <v>27.03825</v>
      </c>
      <c r="CT42" s="5" t="n">
        <v>25.238985</v>
      </c>
      <c r="CU42" s="5" t="n">
        <v>32.104237</v>
      </c>
      <c r="CV42" s="5" t="n">
        <v>27.747847</v>
      </c>
      <c r="CW42" s="5" t="n">
        <v>26.376703</v>
      </c>
      <c r="CX42" s="5" t="n">
        <v>26.866812</v>
      </c>
      <c r="CY42" s="5" t="n">
        <v>28.041214</v>
      </c>
      <c r="CZ42" s="5" t="n">
        <v>26.216173</v>
      </c>
      <c r="DA42" s="5" t="n">
        <v>25.941788</v>
      </c>
      <c r="DB42" s="5" t="n">
        <v>28.568426</v>
      </c>
      <c r="DC42" s="5" t="n">
        <v>30.974867</v>
      </c>
      <c r="DD42" s="5" t="n">
        <v>27.903292</v>
      </c>
      <c r="DE42" s="5" t="n">
        <v>32.45216</v>
      </c>
      <c r="DF42" s="5" t="n">
        <v>27.354229</v>
      </c>
      <c r="DG42" s="5" t="n">
        <v>27.58465</v>
      </c>
      <c r="DH42" s="5" t="n">
        <v>26.676226</v>
      </c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</row>
    <row r="43">
      <c r="G43" s="5" t="n"/>
      <c r="H43" s="5" t="n"/>
      <c r="I43" s="5" t="n"/>
      <c r="J43" s="5" t="n"/>
      <c r="K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</row>
    <row r="44">
      <c r="D44" t="inlineStr">
        <is>
          <t>Seq2Seq</t>
        </is>
      </c>
      <c r="E44" t="inlineStr">
        <is>
          <t>MAE</t>
        </is>
      </c>
      <c r="F44">
        <f>COUNT(M44:GJ44)</f>
        <v/>
      </c>
      <c r="G44" s="5">
        <f>AVERAGE(M44:GJ44)</f>
        <v/>
      </c>
      <c r="H44" s="5">
        <f>MAX(M44:GJ44)</f>
        <v/>
      </c>
      <c r="I44" s="5">
        <f>MIN(M44:GJ44)</f>
        <v/>
      </c>
      <c r="J44" s="5">
        <f>_xlfn.STDEV.P(M44:GJ44)</f>
        <v/>
      </c>
      <c r="K44" s="5">
        <f>_xlfn.VAR.S(M44:GJ44)</f>
        <v/>
      </c>
      <c r="M44" s="5" t="n">
        <v>18.402407</v>
      </c>
      <c r="N44" s="5" t="n">
        <v>18.436653</v>
      </c>
      <c r="O44" s="5" t="n">
        <v>21.317352</v>
      </c>
      <c r="P44" s="5" t="n">
        <v>17.776304</v>
      </c>
      <c r="Q44" s="5" t="n">
        <v>18.299</v>
      </c>
      <c r="R44" s="5" t="n">
        <v>17.041224</v>
      </c>
      <c r="S44" s="5" t="n">
        <v>23.882984</v>
      </c>
      <c r="T44" s="5" t="n">
        <v>22.127502</v>
      </c>
      <c r="U44" s="5" t="n">
        <v>19.044651</v>
      </c>
      <c r="V44" s="5" t="n">
        <v>17.878191</v>
      </c>
      <c r="W44" s="5" t="n">
        <v>19.123707</v>
      </c>
      <c r="X44" s="5" t="n">
        <v>20.420839</v>
      </c>
      <c r="Y44" s="5" t="n">
        <v>18.336138</v>
      </c>
      <c r="Z44" s="5" t="n">
        <v>23.612398</v>
      </c>
      <c r="AA44" s="5" t="n">
        <v>19.903648</v>
      </c>
      <c r="AB44" s="5" t="n">
        <v>20.946339</v>
      </c>
      <c r="AC44" s="5" t="n">
        <v>15.385118</v>
      </c>
      <c r="AD44" s="5" t="n">
        <v>19.740112</v>
      </c>
      <c r="AE44" s="5" t="n">
        <v>15.295851</v>
      </c>
      <c r="AF44" s="5" t="n">
        <v>18.913448</v>
      </c>
      <c r="AG44" s="5" t="n">
        <v>19.901361</v>
      </c>
      <c r="AH44" s="5" t="n">
        <v>18.68034</v>
      </c>
      <c r="AI44" s="5" t="n">
        <v>18.344648</v>
      </c>
      <c r="AJ44" s="5" t="n">
        <v>17.229731</v>
      </c>
      <c r="AK44" s="5" t="n">
        <v>21.286343</v>
      </c>
      <c r="AL44" s="5" t="n">
        <v>20.438534</v>
      </c>
      <c r="AM44" s="5" t="n">
        <v>20.435122</v>
      </c>
      <c r="AN44" s="5" t="n">
        <v>18.839407</v>
      </c>
      <c r="AO44" s="5" t="n">
        <v>19.230009</v>
      </c>
      <c r="AP44" s="5" t="n">
        <v>16.918247</v>
      </c>
      <c r="AQ44" s="5" t="n">
        <v>16.038443</v>
      </c>
      <c r="AR44" s="5" t="n">
        <v>21.833704</v>
      </c>
      <c r="AS44" s="5" t="n">
        <v>18.374565</v>
      </c>
      <c r="AT44" s="5" t="n">
        <v>18.655487</v>
      </c>
      <c r="AU44" s="5" t="n">
        <v>18.04327</v>
      </c>
      <c r="AV44" s="5" t="n">
        <v>18.561596</v>
      </c>
      <c r="AW44" s="5" t="n">
        <v>18.608036</v>
      </c>
      <c r="AX44" s="5" t="n">
        <v>20.125366</v>
      </c>
      <c r="AY44" s="5" t="n">
        <v>18.929821</v>
      </c>
      <c r="AZ44" s="5" t="n">
        <v>23.742958</v>
      </c>
      <c r="BA44" s="5" t="n">
        <v>20.462662</v>
      </c>
      <c r="BB44" s="5" t="n">
        <v>18.298855</v>
      </c>
      <c r="BC44" s="5" t="n">
        <v>18.121525</v>
      </c>
      <c r="BD44" s="5" t="n">
        <v>19.547159</v>
      </c>
      <c r="BE44" s="5" t="n">
        <v>19.71645</v>
      </c>
      <c r="BF44" s="5" t="n">
        <v>20.498583</v>
      </c>
      <c r="BG44" s="5" t="n">
        <v>19.760262</v>
      </c>
      <c r="BH44" s="5" t="n">
        <v>17.489866</v>
      </c>
      <c r="BI44" s="5" t="n">
        <v>20.923101</v>
      </c>
      <c r="BJ44" s="5" t="n">
        <v>22.223198</v>
      </c>
      <c r="BK44" s="5" t="n">
        <v>21.492777</v>
      </c>
      <c r="BL44" s="5" t="n">
        <v>20.416254</v>
      </c>
      <c r="BM44" s="5" t="n">
        <v>20.982679</v>
      </c>
      <c r="BN44" s="5" t="n">
        <v>19.44215</v>
      </c>
      <c r="BO44" s="5" t="n">
        <v>17.439693</v>
      </c>
      <c r="BP44" s="5" t="n">
        <v>16.508715</v>
      </c>
      <c r="BQ44" s="5" t="n">
        <v>22.387207</v>
      </c>
      <c r="BR44" s="5" t="n">
        <v>20.494408</v>
      </c>
      <c r="BS44" s="5" t="n">
        <v>20.767735</v>
      </c>
      <c r="BT44" s="5" t="n">
        <v>18.763086</v>
      </c>
      <c r="BU44" s="5" t="n">
        <v>20.407064</v>
      </c>
      <c r="BV44" s="5" t="n">
        <v>21.525715</v>
      </c>
      <c r="BW44" s="5" t="n">
        <v>19.955864</v>
      </c>
      <c r="BX44" s="5" t="n">
        <v>20.001587</v>
      </c>
      <c r="BY44" s="5" t="n">
        <v>19.671677</v>
      </c>
      <c r="BZ44" s="5" t="n">
        <v>20.147608</v>
      </c>
      <c r="CA44" s="5" t="n">
        <v>17.298563</v>
      </c>
      <c r="CB44" s="5" t="n">
        <v>19.475327</v>
      </c>
      <c r="CC44" s="5" t="n">
        <v>15.120851</v>
      </c>
      <c r="CD44" s="5" t="n">
        <v>20.246479</v>
      </c>
      <c r="CE44" s="5" t="n">
        <v>19.619614</v>
      </c>
      <c r="CF44" s="5" t="n">
        <v>17.599337</v>
      </c>
      <c r="CG44" s="5" t="n">
        <v>18.766212</v>
      </c>
      <c r="CH44" s="5" t="n">
        <v>15.597593</v>
      </c>
      <c r="CI44" s="5" t="n">
        <v>21.474928</v>
      </c>
      <c r="CJ44" s="5" t="n">
        <v>20.008947</v>
      </c>
      <c r="CK44" s="5" t="n">
        <v>18.550114</v>
      </c>
      <c r="CL44" s="5" t="n">
        <v>20.212778</v>
      </c>
      <c r="CM44" s="5" t="n">
        <v>19.026653</v>
      </c>
      <c r="CN44" s="5" t="n">
        <v>17.590084</v>
      </c>
      <c r="CO44" s="5" t="n">
        <v>16.156734</v>
      </c>
      <c r="CP44" s="5" t="n">
        <v>20.207958</v>
      </c>
      <c r="CQ44" s="5" t="n">
        <v>18.8636</v>
      </c>
      <c r="CR44" s="5" t="n">
        <v>19.893133</v>
      </c>
      <c r="CS44" s="5" t="n">
        <v>17.840532</v>
      </c>
      <c r="CT44" s="5" t="n">
        <v>19.098093</v>
      </c>
      <c r="CU44" s="5" t="n">
        <v>20.149097</v>
      </c>
      <c r="CV44" s="5" t="n">
        <v>17.185381</v>
      </c>
      <c r="CW44" s="5" t="n">
        <v>21.132984</v>
      </c>
      <c r="CX44" s="5" t="n">
        <v>19.089443</v>
      </c>
      <c r="CY44" s="5" t="n">
        <v>19.89584</v>
      </c>
      <c r="CZ44" s="5" t="n">
        <v>15.952598</v>
      </c>
      <c r="DA44" s="5" t="n">
        <v>17.709938</v>
      </c>
      <c r="DB44" s="5" t="n">
        <v>15.670693</v>
      </c>
      <c r="DC44" s="5" t="n">
        <v>21.299812</v>
      </c>
      <c r="DD44" s="5" t="n">
        <v>19.408245</v>
      </c>
      <c r="DE44" s="5" t="n">
        <v>22.198973</v>
      </c>
      <c r="DF44" s="5" t="n">
        <v>17.858732</v>
      </c>
      <c r="DG44" s="5" t="n">
        <v>15.17651</v>
      </c>
      <c r="DH44" s="5" t="n">
        <v>16.407017</v>
      </c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</row>
    <row r="45">
      <c r="G45" s="5" t="n"/>
      <c r="H45" s="5" t="n"/>
      <c r="I45" s="5" t="n"/>
      <c r="J45" s="5" t="n"/>
      <c r="K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</row>
    <row r="46">
      <c r="D46" t="inlineStr">
        <is>
          <t>Seq2Point</t>
        </is>
      </c>
      <c r="E46" t="inlineStr">
        <is>
          <t>MAE</t>
        </is>
      </c>
      <c r="F46">
        <f>COUNT(M46:GJ46)</f>
        <v/>
      </c>
      <c r="G46" s="5">
        <f>AVERAGE(M46:GJ46)</f>
        <v/>
      </c>
      <c r="H46" s="5">
        <f>MAX(M46:GJ46)</f>
        <v/>
      </c>
      <c r="I46" s="5">
        <f>MIN(M46:GJ46)</f>
        <v/>
      </c>
      <c r="J46" s="5">
        <f>_xlfn.STDEV.P(M46:GJ46)</f>
        <v/>
      </c>
      <c r="K46" s="5">
        <f>_xlfn.VAR.S(M46:GJ46)</f>
        <v/>
      </c>
      <c r="M46" s="5" t="n">
        <v>20.246519</v>
      </c>
      <c r="N46" s="5" t="n">
        <v>20.890074</v>
      </c>
      <c r="O46" s="5" t="n">
        <v>22.530094</v>
      </c>
      <c r="P46" s="5" t="n">
        <v>21.275198</v>
      </c>
      <c r="Q46" s="5" t="n">
        <v>24.257465</v>
      </c>
      <c r="R46" s="5" t="n">
        <v>22.282782</v>
      </c>
      <c r="S46" s="5" t="n">
        <v>14.202699</v>
      </c>
      <c r="T46" s="5" t="n">
        <v>22.140303</v>
      </c>
      <c r="U46" s="5" t="n">
        <v>15.834035</v>
      </c>
      <c r="V46" s="5" t="n">
        <v>19.269806</v>
      </c>
      <c r="W46" s="5" t="n">
        <v>20.995682</v>
      </c>
      <c r="X46" s="5" t="n">
        <v>18.512438</v>
      </c>
      <c r="Y46" s="5" t="n">
        <v>23.76717</v>
      </c>
      <c r="Z46" s="5" t="n">
        <v>22.084585</v>
      </c>
      <c r="AA46" s="5" t="n">
        <v>19.457485</v>
      </c>
      <c r="AB46" s="5" t="n">
        <v>14.426128</v>
      </c>
      <c r="AC46" s="5" t="n">
        <v>21.896523</v>
      </c>
      <c r="AD46" s="5" t="n">
        <v>19.223732</v>
      </c>
      <c r="AE46" s="5" t="n">
        <v>22.124685</v>
      </c>
      <c r="AF46" s="5" t="n">
        <v>24.947409</v>
      </c>
      <c r="AG46" s="5" t="n">
        <v>25.166971</v>
      </c>
      <c r="AH46" s="5" t="n">
        <v>20.887472</v>
      </c>
      <c r="AI46" s="5" t="n">
        <v>14.716582</v>
      </c>
      <c r="AJ46" s="5" t="n">
        <v>21.913906</v>
      </c>
      <c r="AK46" s="5" t="n">
        <v>21.206717</v>
      </c>
      <c r="AL46" s="5" t="n">
        <v>20.953802</v>
      </c>
      <c r="AM46" s="5" t="n">
        <v>16.099783</v>
      </c>
      <c r="AN46" s="5" t="n">
        <v>22.18655</v>
      </c>
      <c r="AO46" s="5" t="n">
        <v>22.005678</v>
      </c>
      <c r="AP46" s="5" t="n">
        <v>23.265451</v>
      </c>
      <c r="AQ46" s="5" t="n">
        <v>20.829931</v>
      </c>
      <c r="AR46" s="5" t="n">
        <v>16.248957</v>
      </c>
      <c r="AS46" s="5" t="n">
        <v>24.519579</v>
      </c>
      <c r="AT46" s="5" t="n">
        <v>16.165916</v>
      </c>
      <c r="AU46" s="5" t="n">
        <v>20.076195</v>
      </c>
      <c r="AV46" s="5" t="n">
        <v>15.530845</v>
      </c>
      <c r="AW46" s="5" t="n">
        <v>20.050127</v>
      </c>
      <c r="AX46" s="5" t="n">
        <v>22.813688</v>
      </c>
      <c r="AY46" s="5" t="n">
        <v>22.637287</v>
      </c>
      <c r="AZ46" s="5" t="n">
        <v>21.313829</v>
      </c>
      <c r="BA46" s="5" t="n">
        <v>17.101038</v>
      </c>
      <c r="BB46" s="5" t="n">
        <v>22.424124</v>
      </c>
      <c r="BC46" s="5" t="n">
        <v>21.174421</v>
      </c>
      <c r="BD46" s="5" t="n">
        <v>20.091902</v>
      </c>
      <c r="BE46" s="5" t="n">
        <v>24.395561</v>
      </c>
      <c r="BF46" s="5" t="n">
        <v>24.203814</v>
      </c>
      <c r="BG46" s="5" t="n">
        <v>20.70598</v>
      </c>
      <c r="BH46" s="5" t="n">
        <v>18.552258</v>
      </c>
      <c r="BI46" s="5" t="n">
        <v>22.089237</v>
      </c>
      <c r="BJ46" s="5" t="n">
        <v>22.230276</v>
      </c>
      <c r="BK46" s="5" t="n">
        <v>21.694305</v>
      </c>
      <c r="BL46" s="5" t="n">
        <v>18.207659</v>
      </c>
      <c r="BM46" s="5" t="n">
        <v>20.474943</v>
      </c>
      <c r="BN46" s="5" t="n">
        <v>21.714844</v>
      </c>
      <c r="BO46" s="5" t="n">
        <v>22.530497</v>
      </c>
      <c r="BP46" s="5" t="n">
        <v>24.213434</v>
      </c>
      <c r="BQ46" s="5" t="n">
        <v>18.484049</v>
      </c>
      <c r="BR46" s="5" t="n">
        <v>23.771105</v>
      </c>
      <c r="BS46" s="5" t="n">
        <v>16.928045</v>
      </c>
      <c r="BT46" s="5" t="n">
        <v>18.769573</v>
      </c>
      <c r="BU46" s="5" t="n">
        <v>15.519872</v>
      </c>
      <c r="BV46" s="5" t="n">
        <v>18.062466</v>
      </c>
      <c r="BW46" s="5" t="n">
        <v>22.74119</v>
      </c>
      <c r="BX46" s="5" t="n">
        <v>21.631531</v>
      </c>
      <c r="BY46" s="5" t="n">
        <v>21.366701</v>
      </c>
      <c r="BZ46" s="5" t="n">
        <v>23.637224</v>
      </c>
      <c r="CA46" s="5" t="n">
        <v>20.921646</v>
      </c>
      <c r="CB46" s="5" t="n">
        <v>17.110744</v>
      </c>
      <c r="CC46" s="5" t="n">
        <v>19.146212</v>
      </c>
      <c r="CD46" s="5" t="n">
        <v>23.121368</v>
      </c>
      <c r="CE46" s="5" t="n">
        <v>23.865784</v>
      </c>
      <c r="CF46" s="5" t="n">
        <v>18.314049</v>
      </c>
      <c r="CG46" s="5" t="n">
        <v>17.769243</v>
      </c>
      <c r="CH46" s="5" t="n">
        <v>23.985182</v>
      </c>
      <c r="CI46" s="5" t="n">
        <v>22.700996</v>
      </c>
      <c r="CJ46" s="5" t="n">
        <v>19.331051</v>
      </c>
      <c r="CK46" s="5" t="n">
        <v>16.648172</v>
      </c>
      <c r="CL46" s="5" t="n">
        <v>18.883265</v>
      </c>
      <c r="CM46" s="5" t="n">
        <v>22.385447</v>
      </c>
      <c r="CN46" s="5" t="n">
        <v>22.368498</v>
      </c>
      <c r="CO46" s="5" t="n">
        <v>19.980171</v>
      </c>
      <c r="CP46" s="5" t="n">
        <v>19.40391</v>
      </c>
      <c r="CQ46" s="5" t="n">
        <v>23.889175</v>
      </c>
      <c r="CR46" s="5" t="n">
        <v>16.696825</v>
      </c>
      <c r="CS46" s="5" t="n">
        <v>21.515619</v>
      </c>
      <c r="CT46" s="5" t="n">
        <v>16.957254</v>
      </c>
      <c r="CU46" s="5" t="n">
        <v>18.517809</v>
      </c>
      <c r="CV46" s="5" t="n">
        <v>23.232246</v>
      </c>
      <c r="CW46" s="5" t="n">
        <v>23.574326</v>
      </c>
      <c r="CX46" s="5" t="n">
        <v>19.012085</v>
      </c>
      <c r="CY46" s="5" t="n">
        <v>20.251652</v>
      </c>
      <c r="CZ46" s="5" t="n">
        <v>17.75556</v>
      </c>
      <c r="DA46" s="5" t="n">
        <v>19.387726</v>
      </c>
      <c r="DB46" s="5" t="n">
        <v>21.55583</v>
      </c>
      <c r="DC46" s="5" t="n">
        <v>25.119152</v>
      </c>
      <c r="DD46" s="5" t="n">
        <v>24.064545</v>
      </c>
      <c r="DE46" s="5" t="n">
        <v>20.002272</v>
      </c>
      <c r="DF46" s="5" t="n">
        <v>15.637165</v>
      </c>
      <c r="DG46" s="5" t="n">
        <v>23.480394</v>
      </c>
      <c r="DH46" s="5" t="n">
        <v>19.998371</v>
      </c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</row>
    <row r="47"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</row>
    <row r="48">
      <c r="D48" s="1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  <c r="EM48" s="5" t="n"/>
      <c r="EN48" s="5" t="n"/>
      <c r="EO48" s="5" t="n"/>
      <c r="EP48" s="5" t="n"/>
      <c r="EQ48" s="5" t="n"/>
      <c r="ER48" s="5" t="n"/>
      <c r="ES48" s="5" t="n"/>
      <c r="ET48" s="5" t="n"/>
      <c r="EU48" s="5" t="n"/>
      <c r="EV48" s="5" t="n"/>
      <c r="EW48" s="5" t="n"/>
      <c r="EX48" s="5" t="n"/>
      <c r="EY48" s="5" t="n"/>
      <c r="EZ48" s="5" t="n"/>
      <c r="FA48" s="5" t="n"/>
      <c r="FB48" s="5" t="n"/>
      <c r="FC48" s="5" t="n"/>
      <c r="FD48" s="5" t="n"/>
      <c r="FE48" s="5" t="n"/>
      <c r="FF48" s="5" t="n"/>
      <c r="FG48" s="5" t="n"/>
      <c r="FH48" s="5" t="n"/>
      <c r="FI48" s="5" t="n"/>
      <c r="FJ48" s="5" t="n"/>
      <c r="FK48" s="5" t="n"/>
      <c r="FL48" s="5" t="n"/>
      <c r="FM48" s="5" t="n"/>
      <c r="FN48" s="5" t="n"/>
      <c r="FO48" s="5" t="n"/>
      <c r="FP48" s="5" t="n"/>
      <c r="FQ48" s="5" t="n"/>
      <c r="FR48" s="5" t="n"/>
      <c r="FS48" s="5" t="n"/>
      <c r="FT48" s="5" t="n"/>
      <c r="FU48" s="5" t="n"/>
      <c r="FV48" s="5" t="n"/>
      <c r="FW48" s="5" t="n"/>
      <c r="FX48" s="5" t="n"/>
      <c r="FY48" s="5" t="n"/>
      <c r="FZ48" s="5" t="n"/>
      <c r="GA48" s="5" t="n"/>
      <c r="GB48" s="5" t="n"/>
      <c r="GC48" s="5" t="n"/>
      <c r="GD48" s="5" t="n"/>
      <c r="GE48" s="5" t="n"/>
      <c r="GF48" s="5" t="n"/>
      <c r="GG48" s="5" t="n"/>
      <c r="GH48" s="5" t="n"/>
      <c r="GI48" s="5" t="n"/>
      <c r="GJ48" s="5" t="n"/>
      <c r="GK48" s="5" t="n"/>
      <c r="GL48" s="5" t="n"/>
      <c r="GM48" s="5" t="n"/>
      <c r="GN48" s="5" t="n"/>
      <c r="GO48" s="5" t="n"/>
    </row>
    <row r="49">
      <c r="B49" t="inlineStr">
        <is>
          <t>test_dataset.h5</t>
        </is>
      </c>
      <c r="D49" s="1" t="inlineStr">
        <is>
          <t>reale Testdaten(hh_09):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  <c r="EM49" s="5" t="n"/>
      <c r="EN49" s="5" t="n"/>
      <c r="EO49" s="5" t="n"/>
      <c r="EP49" s="5" t="n"/>
      <c r="EQ49" s="5" t="n"/>
      <c r="ER49" s="5" t="n"/>
      <c r="ES49" s="5" t="n"/>
      <c r="ET49" s="5" t="n"/>
      <c r="EU49" s="5" t="n"/>
      <c r="EV49" s="5" t="n"/>
      <c r="EW49" s="5" t="n"/>
      <c r="EX49" s="5" t="n"/>
      <c r="EY49" s="5" t="n"/>
      <c r="EZ49" s="5" t="n"/>
      <c r="FA49" s="5" t="n"/>
      <c r="FB49" s="5" t="n"/>
      <c r="FC49" s="5" t="n"/>
      <c r="FD49" s="5" t="n"/>
      <c r="FE49" s="5" t="n"/>
      <c r="FF49" s="5" t="n"/>
      <c r="FG49" s="5" t="n"/>
      <c r="FH49" s="5" t="n"/>
      <c r="FI49" s="5" t="n"/>
      <c r="FJ49" s="5" t="n"/>
      <c r="FK49" s="5" t="n"/>
      <c r="FL49" s="5" t="n"/>
      <c r="FM49" s="5" t="n"/>
      <c r="FN49" s="5" t="n"/>
      <c r="FO49" s="5" t="n"/>
      <c r="FP49" s="5" t="n"/>
      <c r="FQ49" s="5" t="n"/>
      <c r="FR49" s="5" t="n"/>
      <c r="FS49" s="5" t="n"/>
      <c r="FT49" s="5" t="n"/>
      <c r="FU49" s="5" t="n"/>
      <c r="FV49" s="5" t="n"/>
      <c r="FW49" s="5" t="n"/>
      <c r="FX49" s="5" t="n"/>
      <c r="FY49" s="5" t="n"/>
      <c r="FZ49" s="5" t="n"/>
      <c r="GA49" s="5" t="n"/>
      <c r="GB49" s="5" t="n"/>
      <c r="GC49" s="5" t="n"/>
      <c r="GD49" s="5" t="n"/>
      <c r="GE49" s="5" t="n"/>
      <c r="GF49" s="5" t="n"/>
      <c r="GG49" s="5" t="n"/>
      <c r="GH49" s="5" t="n"/>
      <c r="GI49" s="5" t="n"/>
      <c r="GJ49" s="5" t="n"/>
      <c r="GK49" s="5" t="n"/>
      <c r="GL49" s="5" t="n"/>
      <c r="GM49" s="5" t="n"/>
      <c r="GN49" s="5" t="n"/>
      <c r="GO49" s="5" t="n"/>
    </row>
    <row r="50">
      <c r="B50" s="2" t="inlineStr">
        <is>
          <t>buildings': 9</t>
        </is>
      </c>
      <c r="D50" t="inlineStr">
        <is>
          <t>RNN</t>
        </is>
      </c>
      <c r="E50" t="inlineStr">
        <is>
          <t>MAE</t>
        </is>
      </c>
      <c r="F50">
        <f>COUNT(M50:GJ50)</f>
        <v/>
      </c>
      <c r="G50" s="5">
        <f>AVERAGE(M50:GJ50)</f>
        <v/>
      </c>
      <c r="H50" s="5">
        <f>MAX(M50:GJ50)</f>
        <v/>
      </c>
      <c r="I50" s="5">
        <f>MIN(M50:GJ50)</f>
        <v/>
      </c>
      <c r="J50" s="5">
        <f>_xlfn.STDEV.P(M50:GJ50)</f>
        <v/>
      </c>
      <c r="K50" s="5">
        <f>_xlfn.VAR.S(M50:GJ50)</f>
        <v/>
      </c>
      <c r="M50" s="5" t="n">
        <v>22.924156</v>
      </c>
      <c r="N50" s="5" t="n">
        <v>23.01758</v>
      </c>
      <c r="O50" s="5" t="n">
        <v>23.737318</v>
      </c>
      <c r="P50" s="5" t="n">
        <v>26.618851</v>
      </c>
      <c r="Q50" s="5" t="n">
        <v>24.092793</v>
      </c>
      <c r="R50" s="5" t="n">
        <v>23.576981</v>
      </c>
      <c r="S50" s="5" t="n">
        <v>23.546314</v>
      </c>
      <c r="T50" s="5" t="n">
        <v>23.429079</v>
      </c>
      <c r="U50" s="5" t="n">
        <v>22.571465</v>
      </c>
      <c r="V50" s="5" t="n">
        <v>23.36042</v>
      </c>
      <c r="W50" s="5" t="n">
        <v>23.270576</v>
      </c>
      <c r="X50" s="5" t="n">
        <v>23.865734</v>
      </c>
      <c r="Y50" s="5" t="n">
        <v>26.580963</v>
      </c>
      <c r="Z50" s="5" t="n">
        <v>23.004091</v>
      </c>
      <c r="AA50" s="5" t="n">
        <v>26.046986</v>
      </c>
      <c r="AB50" s="5" t="n">
        <v>23.163187</v>
      </c>
      <c r="AC50" s="5" t="n">
        <v>24.894445</v>
      </c>
      <c r="AD50" s="5" t="n">
        <v>25.812874</v>
      </c>
      <c r="AE50" s="5" t="n">
        <v>24.334236</v>
      </c>
      <c r="AF50" s="5" t="n">
        <v>27.993628</v>
      </c>
      <c r="AG50" s="5" t="n">
        <v>23.076263</v>
      </c>
      <c r="AH50" s="5" t="n">
        <v>22.982332</v>
      </c>
      <c r="AI50" s="5" t="n">
        <v>26.396345</v>
      </c>
      <c r="AJ50" s="5" t="n">
        <v>25.410616</v>
      </c>
      <c r="AK50" s="5" t="n">
        <v>27.239691</v>
      </c>
      <c r="AL50" s="5" t="n">
        <v>23.295444</v>
      </c>
      <c r="AM50" s="5" t="n">
        <v>22.43441</v>
      </c>
      <c r="AN50" s="5" t="n">
        <v>23.648319</v>
      </c>
      <c r="AO50" s="5" t="n">
        <v>26.321835</v>
      </c>
      <c r="AP50" s="5" t="n">
        <v>23.422127</v>
      </c>
      <c r="AQ50" s="5" t="n">
        <v>25.448679</v>
      </c>
      <c r="AR50" s="5" t="n">
        <v>22.080927</v>
      </c>
      <c r="AS50" s="5" t="n">
        <v>23.087643</v>
      </c>
      <c r="AT50" s="5" t="n">
        <v>22.81554</v>
      </c>
      <c r="AU50" s="5" t="n">
        <v>23.230099</v>
      </c>
      <c r="AV50" s="5" t="n">
        <v>24.579254</v>
      </c>
      <c r="AW50" s="5" t="n">
        <v>23.231058</v>
      </c>
      <c r="AX50" s="5" t="n">
        <v>22.474781</v>
      </c>
      <c r="AY50" s="5" t="n">
        <v>22.446993</v>
      </c>
      <c r="AZ50" s="5" t="n">
        <v>23.544304</v>
      </c>
      <c r="BA50" s="5" t="n">
        <v>22.649178</v>
      </c>
      <c r="BB50" s="5" t="n">
        <v>23.004036</v>
      </c>
      <c r="BC50" s="5" t="n">
        <v>22.67963</v>
      </c>
      <c r="BD50" s="5" t="n">
        <v>23.453653</v>
      </c>
      <c r="BE50" s="5" t="n">
        <v>24.907629</v>
      </c>
      <c r="BF50" s="5" t="n">
        <v>22.523218</v>
      </c>
      <c r="BG50" s="5" t="n">
        <v>22.868134</v>
      </c>
      <c r="BH50" s="5" t="n">
        <v>23.631481</v>
      </c>
      <c r="BI50" s="5" t="n">
        <v>23.755501</v>
      </c>
      <c r="BJ50" s="5" t="n">
        <v>22.80994</v>
      </c>
      <c r="BK50" s="5" t="n">
        <v>24.251162</v>
      </c>
      <c r="BL50" s="5" t="n">
        <v>24.305426</v>
      </c>
      <c r="BM50" s="5" t="n">
        <v>26.196573</v>
      </c>
      <c r="BN50" s="5" t="n">
        <v>24.811146</v>
      </c>
      <c r="BO50" s="5" t="n">
        <v>23.04653</v>
      </c>
      <c r="BP50" s="5" t="n">
        <v>22.62851</v>
      </c>
      <c r="BQ50" s="5" t="n">
        <v>22.896996</v>
      </c>
      <c r="BR50" s="5" t="n">
        <v>23.422251</v>
      </c>
      <c r="BS50" s="5" t="n">
        <v>22.443785</v>
      </c>
      <c r="BT50" s="5" t="n">
        <v>22.67577</v>
      </c>
      <c r="BU50" s="5" t="n">
        <v>23.038124</v>
      </c>
      <c r="BV50" s="5" t="n">
        <v>24.926937</v>
      </c>
      <c r="BW50" s="5" t="n">
        <v>22.392361</v>
      </c>
      <c r="BX50" s="5" t="n">
        <v>22.667463</v>
      </c>
      <c r="BY50" s="5" t="n">
        <v>23.403275</v>
      </c>
      <c r="BZ50" s="5" t="n">
        <v>23.447563</v>
      </c>
      <c r="CA50" s="5" t="n">
        <v>22.880581</v>
      </c>
      <c r="CB50" s="5" t="n">
        <v>22.894979</v>
      </c>
      <c r="CC50" s="5" t="n">
        <v>22.814524</v>
      </c>
      <c r="CD50" s="5" t="n">
        <v>25.186615</v>
      </c>
      <c r="CE50" s="5" t="n">
        <v>22.335699</v>
      </c>
      <c r="CF50" s="5" t="n">
        <v>22.223661</v>
      </c>
      <c r="CG50" s="5" t="n">
        <v>22.771505</v>
      </c>
      <c r="CH50" s="5" t="n">
        <v>25.809416</v>
      </c>
      <c r="CI50" s="5" t="n">
        <v>23.820486</v>
      </c>
      <c r="CJ50" s="5" t="n">
        <v>24.619936</v>
      </c>
      <c r="CK50" s="5" t="n">
        <v>23.320566</v>
      </c>
      <c r="CL50" s="5" t="n">
        <v>22.792864</v>
      </c>
      <c r="CM50" s="5" t="n">
        <v>22.67975</v>
      </c>
      <c r="CN50" s="5" t="n">
        <v>24.340672</v>
      </c>
      <c r="CO50" s="5" t="n">
        <v>25.830898</v>
      </c>
      <c r="CP50" s="5" t="n">
        <v>24.935188</v>
      </c>
      <c r="CQ50" s="5" t="n">
        <v>22.831589</v>
      </c>
      <c r="CR50" s="5" t="n">
        <v>21.959814</v>
      </c>
      <c r="CS50" s="5" t="n">
        <v>22.40947</v>
      </c>
      <c r="CT50" s="5" t="n">
        <v>22.615957</v>
      </c>
      <c r="CU50" s="5" t="n">
        <v>24.67992</v>
      </c>
      <c r="CV50" s="5" t="n">
        <v>22.622282</v>
      </c>
      <c r="CW50" s="5" t="n">
        <v>23.634995</v>
      </c>
      <c r="CX50" s="5" t="n">
        <v>22.736898</v>
      </c>
      <c r="CY50" s="5" t="n">
        <v>23.356369</v>
      </c>
      <c r="CZ50" s="5" t="n">
        <v>23.052706</v>
      </c>
      <c r="DA50" s="5" t="n">
        <v>23.013231</v>
      </c>
      <c r="DB50" s="5" t="n">
        <v>22.421959</v>
      </c>
      <c r="DC50" s="5" t="n">
        <v>23.126799</v>
      </c>
      <c r="DD50" s="5" t="n">
        <v>23.527365</v>
      </c>
      <c r="DE50" s="5" t="n">
        <v>22.156301</v>
      </c>
      <c r="DF50" s="5" t="n">
        <v>24.602411</v>
      </c>
      <c r="DG50" s="5" t="n">
        <v>23.053366</v>
      </c>
      <c r="DH50" s="5" t="n">
        <v>22.614973</v>
      </c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</row>
    <row r="51">
      <c r="B51" s="2" t="inlineStr">
        <is>
          <t>start_time': '2019-09-07'</t>
        </is>
      </c>
      <c r="G51" s="5" t="n"/>
      <c r="H51" s="5" t="n"/>
      <c r="I51" s="5" t="n"/>
      <c r="J51" s="5" t="n"/>
      <c r="K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</row>
    <row r="52">
      <c r="B52" s="2" t="inlineStr">
        <is>
          <t>end_time': '2019-09-20'</t>
        </is>
      </c>
      <c r="D52" t="inlineStr">
        <is>
          <t>WindowGRU</t>
        </is>
      </c>
      <c r="E52" t="inlineStr">
        <is>
          <t>MAE</t>
        </is>
      </c>
      <c r="F52">
        <f>COUNT(M52:GJ52)</f>
        <v/>
      </c>
      <c r="G52" s="5">
        <f>AVERAGE(M52:GJ52)</f>
        <v/>
      </c>
      <c r="H52" s="5">
        <f>MAX(M52:GJ52)</f>
        <v/>
      </c>
      <c r="I52" s="5">
        <f>MIN(M52:GJ52)</f>
        <v/>
      </c>
      <c r="J52" s="5">
        <f>_xlfn.STDEV.P(M52:GJ52)</f>
        <v/>
      </c>
      <c r="K52" s="5">
        <f>_xlfn.VAR.S(M52:GJ52)</f>
        <v/>
      </c>
      <c r="M52" s="5" t="n">
        <v>22.567924</v>
      </c>
      <c r="N52" s="5" t="n">
        <v>24.66651</v>
      </c>
      <c r="O52" s="5" t="n">
        <v>22.892628</v>
      </c>
      <c r="P52" s="5" t="n">
        <v>24.185545</v>
      </c>
      <c r="Q52" s="5" t="n">
        <v>24.252752</v>
      </c>
      <c r="R52" s="5" t="n">
        <v>25.566916</v>
      </c>
      <c r="S52" s="5" t="n">
        <v>24.577875</v>
      </c>
      <c r="T52" s="5" t="n">
        <v>26.403057</v>
      </c>
      <c r="U52" s="5" t="n">
        <v>24.836308</v>
      </c>
      <c r="V52" s="5" t="n">
        <v>24.162525</v>
      </c>
      <c r="W52" s="5" t="n">
        <v>23.2803</v>
      </c>
      <c r="X52" s="5" t="n">
        <v>25.097666</v>
      </c>
      <c r="Y52" s="5" t="n">
        <v>24.896467</v>
      </c>
      <c r="Z52" s="5" t="n">
        <v>25.163799</v>
      </c>
      <c r="AA52" s="5" t="n">
        <v>28.763628</v>
      </c>
      <c r="AB52" s="5" t="n">
        <v>24.400732</v>
      </c>
      <c r="AC52" s="5" t="n">
        <v>25.524118</v>
      </c>
      <c r="AD52" s="5" t="n">
        <v>23.77611</v>
      </c>
      <c r="AE52" s="5" t="n">
        <v>25.118668</v>
      </c>
      <c r="AF52" s="5" t="n">
        <v>24.260546</v>
      </c>
      <c r="AG52" s="5" t="n">
        <v>27.925852</v>
      </c>
      <c r="AH52" s="5" t="n">
        <v>22.255405</v>
      </c>
      <c r="AI52" s="5" t="n">
        <v>25.476141</v>
      </c>
      <c r="AJ52" s="5" t="n">
        <v>23.996078</v>
      </c>
      <c r="AK52" s="5" t="n">
        <v>25.893494</v>
      </c>
      <c r="AL52" s="5" t="n">
        <v>27.624842</v>
      </c>
      <c r="AM52" s="5" t="n">
        <v>24.60041</v>
      </c>
      <c r="AN52" s="5" t="n">
        <v>26.263245</v>
      </c>
      <c r="AO52" s="5" t="n">
        <v>24.280018</v>
      </c>
      <c r="AP52" s="5" t="n">
        <v>24.392717</v>
      </c>
      <c r="AQ52" s="5" t="n">
        <v>26.181959</v>
      </c>
      <c r="AR52" s="5" t="n">
        <v>21.527597</v>
      </c>
      <c r="AS52" s="5" t="n">
        <v>21.982618</v>
      </c>
      <c r="AT52" s="5" t="n">
        <v>24.755007</v>
      </c>
      <c r="AU52" s="5" t="n">
        <v>27.005114</v>
      </c>
      <c r="AV52" s="5" t="n">
        <v>23.961819</v>
      </c>
      <c r="AW52" s="5" t="n">
        <v>24.005013</v>
      </c>
      <c r="AX52" s="5" t="n">
        <v>23.334272</v>
      </c>
      <c r="AY52" s="5" t="n">
        <v>26.143875</v>
      </c>
      <c r="AZ52" s="5" t="n">
        <v>26.531534</v>
      </c>
      <c r="BA52" s="5" t="n">
        <v>26.48708</v>
      </c>
      <c r="BB52" s="5" t="n">
        <v>24.700968</v>
      </c>
      <c r="BC52" s="5" t="n">
        <v>26.051725</v>
      </c>
      <c r="BD52" s="5" t="n">
        <v>22.514589</v>
      </c>
      <c r="BE52" s="5" t="n">
        <v>27.641642</v>
      </c>
      <c r="BF52" s="5" t="n">
        <v>28.931236</v>
      </c>
      <c r="BG52" s="5" t="n">
        <v>25.694027</v>
      </c>
      <c r="BH52" s="5" t="n">
        <v>28.811731</v>
      </c>
      <c r="BI52" s="5" t="n">
        <v>26.4179</v>
      </c>
      <c r="BJ52" s="5" t="n">
        <v>25.109146</v>
      </c>
      <c r="BK52" s="5" t="n">
        <v>29.002356</v>
      </c>
      <c r="BL52" s="5" t="n">
        <v>25.741558</v>
      </c>
      <c r="BM52" s="5" t="n">
        <v>22.698589</v>
      </c>
      <c r="BN52" s="5" t="n">
        <v>22.800955</v>
      </c>
      <c r="BO52" s="5" t="n">
        <v>23.21644</v>
      </c>
      <c r="BP52" s="5" t="n">
        <v>24.679543</v>
      </c>
      <c r="BQ52" s="5" t="n">
        <v>25.206114</v>
      </c>
      <c r="BR52" s="5" t="n">
        <v>24.492697</v>
      </c>
      <c r="BS52" s="5" t="n">
        <v>24.525497</v>
      </c>
      <c r="BT52" s="5" t="n">
        <v>26.930513</v>
      </c>
      <c r="BU52" s="5" t="n">
        <v>24.875261</v>
      </c>
      <c r="BV52" s="5" t="n">
        <v>23.802763</v>
      </c>
      <c r="BW52" s="5" t="n">
        <v>23.951273</v>
      </c>
      <c r="BX52" s="5" t="n">
        <v>25.82864</v>
      </c>
      <c r="BY52" s="5" t="n">
        <v>29.54458</v>
      </c>
      <c r="BZ52" s="5" t="n">
        <v>27.299871</v>
      </c>
      <c r="CA52" s="5" t="n">
        <v>27.144751</v>
      </c>
      <c r="CB52" s="5" t="n">
        <v>24.440207</v>
      </c>
      <c r="CC52" s="5" t="n">
        <v>22.840618</v>
      </c>
      <c r="CD52" s="5" t="n">
        <v>26.966616</v>
      </c>
      <c r="CE52" s="5" t="n">
        <v>30.585896</v>
      </c>
      <c r="CF52" s="5" t="n">
        <v>24.554239</v>
      </c>
      <c r="CG52" s="5" t="n">
        <v>30.241003</v>
      </c>
      <c r="CH52" s="5" t="n">
        <v>24.210751</v>
      </c>
      <c r="CI52" s="5" t="n">
        <v>24.649992</v>
      </c>
      <c r="CJ52" s="5" t="n">
        <v>28.358578</v>
      </c>
      <c r="CK52" s="5" t="n">
        <v>28.085077</v>
      </c>
      <c r="CL52" s="5" t="n">
        <v>25.236389</v>
      </c>
      <c r="CM52" s="5" t="n">
        <v>26.725695</v>
      </c>
      <c r="CN52" s="5" t="n">
        <v>26.772989</v>
      </c>
      <c r="CO52" s="5" t="n">
        <v>22.39282</v>
      </c>
      <c r="CP52" s="5" t="n">
        <v>23.835705</v>
      </c>
      <c r="CQ52" s="5" t="n">
        <v>23.705957</v>
      </c>
      <c r="CR52" s="5" t="n">
        <v>24.083759</v>
      </c>
      <c r="CS52" s="5" t="n">
        <v>24.822233</v>
      </c>
      <c r="CT52" s="5" t="n">
        <v>27.152794</v>
      </c>
      <c r="CU52" s="5" t="n">
        <v>24.247288</v>
      </c>
      <c r="CV52" s="5" t="n">
        <v>28.014832</v>
      </c>
      <c r="CW52" s="5" t="n">
        <v>26.010883</v>
      </c>
      <c r="CX52" s="5" t="n">
        <v>27.931709</v>
      </c>
      <c r="CY52" s="5" t="n">
        <v>27.446709</v>
      </c>
      <c r="CZ52" s="5" t="n">
        <v>26.607634</v>
      </c>
      <c r="DA52" s="5" t="n">
        <v>25.866659</v>
      </c>
      <c r="DB52" s="5" t="n">
        <v>24.83882</v>
      </c>
      <c r="DC52" s="5" t="n">
        <v>24.884624</v>
      </c>
      <c r="DD52" s="5" t="n">
        <v>28.056833</v>
      </c>
      <c r="DE52" s="5" t="n">
        <v>22.802452</v>
      </c>
      <c r="DF52" s="5" t="n">
        <v>28.476473</v>
      </c>
      <c r="DG52" s="5" t="n">
        <v>23.122463</v>
      </c>
      <c r="DH52" s="5" t="n">
        <v>24.635172</v>
      </c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</row>
    <row r="53">
      <c r="G53" s="5" t="n"/>
      <c r="H53" s="5" t="n"/>
      <c r="I53" s="5" t="n"/>
      <c r="J53" s="5" t="n"/>
      <c r="K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</row>
    <row r="54">
      <c r="D54" t="inlineStr">
        <is>
          <t>DAE</t>
        </is>
      </c>
      <c r="E54" t="inlineStr">
        <is>
          <t>MAE</t>
        </is>
      </c>
      <c r="F54">
        <f>COUNT(M54:GJ54)</f>
        <v/>
      </c>
      <c r="G54" s="5">
        <f>AVERAGE(M54:GJ54)</f>
        <v/>
      </c>
      <c r="H54" s="5">
        <f>MAX(M54:GJ54)</f>
        <v/>
      </c>
      <c r="I54" s="5">
        <f>MIN(M54:GJ54)</f>
        <v/>
      </c>
      <c r="J54" s="5">
        <f>_xlfn.STDEV.P(M54:GJ54)</f>
        <v/>
      </c>
      <c r="K54" s="5">
        <f>_xlfn.VAR.S(M54:GJ54)</f>
        <v/>
      </c>
      <c r="M54" s="5" t="n">
        <v>25.41572</v>
      </c>
      <c r="N54" s="5" t="n">
        <v>24.305344</v>
      </c>
      <c r="O54" s="5" t="n">
        <v>23.729708</v>
      </c>
      <c r="P54" s="5" t="n">
        <v>23.889277</v>
      </c>
      <c r="Q54" s="5" t="n">
        <v>26.218773</v>
      </c>
      <c r="R54" s="5" t="n">
        <v>23.379333</v>
      </c>
      <c r="S54" s="5" t="n">
        <v>24.018768</v>
      </c>
      <c r="T54" s="5" t="n">
        <v>25.060291</v>
      </c>
      <c r="U54" s="5" t="n">
        <v>23.98749</v>
      </c>
      <c r="V54" s="5" t="n">
        <v>25.179886</v>
      </c>
      <c r="W54" s="5" t="n">
        <v>23.470255</v>
      </c>
      <c r="X54" s="5" t="n">
        <v>29.748518</v>
      </c>
      <c r="Y54" s="5" t="n">
        <v>23.253237</v>
      </c>
      <c r="Z54" s="5" t="n">
        <v>24.029299</v>
      </c>
      <c r="AA54" s="5" t="n">
        <v>24.108812</v>
      </c>
      <c r="AB54" s="5" t="n">
        <v>25.285961</v>
      </c>
      <c r="AC54" s="5" t="n">
        <v>24.289898</v>
      </c>
      <c r="AD54" s="5" t="n">
        <v>23.244638</v>
      </c>
      <c r="AE54" s="5" t="n">
        <v>24.887058</v>
      </c>
      <c r="AF54" s="5" t="n">
        <v>24.326962</v>
      </c>
      <c r="AG54" s="5" t="n">
        <v>22.7971</v>
      </c>
      <c r="AH54" s="5" t="n">
        <v>25.695477</v>
      </c>
      <c r="AI54" s="5" t="n">
        <v>23.9608</v>
      </c>
      <c r="AJ54" s="5" t="n">
        <v>24.555544</v>
      </c>
      <c r="AK54" s="5" t="n">
        <v>24.294395</v>
      </c>
      <c r="AL54" s="5" t="n">
        <v>25.033419</v>
      </c>
      <c r="AM54" s="5" t="n">
        <v>24.333406</v>
      </c>
      <c r="AN54" s="5" t="n">
        <v>23.029804</v>
      </c>
      <c r="AO54" s="5" t="n">
        <v>23.325256</v>
      </c>
      <c r="AP54" s="5" t="n">
        <v>24.625679</v>
      </c>
      <c r="AQ54" s="5" t="n">
        <v>24.70784</v>
      </c>
      <c r="AR54" s="5" t="n">
        <v>23.713369</v>
      </c>
      <c r="AS54" s="5" t="n">
        <v>25.530272</v>
      </c>
      <c r="AT54" s="5" t="n">
        <v>25.355919</v>
      </c>
      <c r="AU54" s="5" t="n">
        <v>25.014385</v>
      </c>
      <c r="AV54" s="5" t="n">
        <v>23.312284</v>
      </c>
      <c r="AW54" s="5" t="n">
        <v>29.516014</v>
      </c>
      <c r="AX54" s="5" t="n">
        <v>24.356901</v>
      </c>
      <c r="AY54" s="5" t="n">
        <v>25.425201</v>
      </c>
      <c r="AZ54" s="5" t="n">
        <v>23.171318</v>
      </c>
      <c r="BA54" s="5" t="n">
        <v>23.614414</v>
      </c>
      <c r="BB54" s="5" t="n">
        <v>24.783968</v>
      </c>
      <c r="BC54" s="5" t="n">
        <v>23.549669</v>
      </c>
      <c r="BD54" s="5" t="n">
        <v>24.462708</v>
      </c>
      <c r="BE54" s="5" t="n">
        <v>26.537924</v>
      </c>
      <c r="BF54" s="5" t="n">
        <v>24.0198</v>
      </c>
      <c r="BG54" s="5" t="n">
        <v>24.821299</v>
      </c>
      <c r="BH54" s="5" t="n">
        <v>25.281786</v>
      </c>
      <c r="BI54" s="5" t="n">
        <v>23.759115</v>
      </c>
      <c r="BJ54" s="5" t="n">
        <v>23.582987</v>
      </c>
      <c r="BK54" s="5" t="n">
        <v>24.11484</v>
      </c>
      <c r="BL54" s="5" t="n">
        <v>24.062004</v>
      </c>
      <c r="BM54" s="5" t="n">
        <v>24.768631</v>
      </c>
      <c r="BN54" s="5" t="n">
        <v>23.743586</v>
      </c>
      <c r="BO54" s="5" t="n">
        <v>25.651899</v>
      </c>
      <c r="BP54" s="5" t="n">
        <v>24.792961</v>
      </c>
      <c r="BQ54" s="5" t="n">
        <v>22.889894</v>
      </c>
      <c r="BR54" s="5" t="n">
        <v>24.629929</v>
      </c>
      <c r="BS54" s="5" t="n">
        <v>24.266254</v>
      </c>
      <c r="BT54" s="5" t="n">
        <v>24.372755</v>
      </c>
      <c r="BU54" s="5" t="n">
        <v>23.049553</v>
      </c>
      <c r="BV54" s="5" t="n">
        <v>29.402987</v>
      </c>
      <c r="BW54" s="5" t="n">
        <v>23.824905</v>
      </c>
      <c r="BX54" s="5" t="n">
        <v>24.784256</v>
      </c>
      <c r="BY54" s="5" t="n">
        <v>23.848955</v>
      </c>
      <c r="BZ54" s="5" t="n">
        <v>26.438566</v>
      </c>
      <c r="CA54" s="5" t="n">
        <v>25.105446</v>
      </c>
      <c r="CB54" s="5" t="n">
        <v>24.287924</v>
      </c>
      <c r="CC54" s="5" t="n">
        <v>24.268814</v>
      </c>
      <c r="CD54" s="5" t="n">
        <v>27.436337</v>
      </c>
      <c r="CE54" s="5" t="n">
        <v>24.369825</v>
      </c>
      <c r="CF54" s="5" t="n">
        <v>25.565346</v>
      </c>
      <c r="CG54" s="5" t="n">
        <v>24.921379</v>
      </c>
      <c r="CH54" s="5" t="n">
        <v>24.276533</v>
      </c>
      <c r="CI54" s="5" t="n">
        <v>24.267868</v>
      </c>
      <c r="CJ54" s="5" t="n">
        <v>26.057362</v>
      </c>
      <c r="CK54" s="5" t="n">
        <v>24.230234</v>
      </c>
      <c r="CL54" s="5" t="n">
        <v>25.910446</v>
      </c>
      <c r="CM54" s="5" t="n">
        <v>24.120441</v>
      </c>
      <c r="CN54" s="5" t="n">
        <v>24.952513</v>
      </c>
      <c r="CO54" s="5" t="n">
        <v>25.136141</v>
      </c>
      <c r="CP54" s="5" t="n">
        <v>24.484993</v>
      </c>
      <c r="CQ54" s="5" t="n">
        <v>24.640749</v>
      </c>
      <c r="CR54" s="5" t="n">
        <v>25.133301</v>
      </c>
      <c r="CS54" s="5" t="n">
        <v>24.555595</v>
      </c>
      <c r="CT54" s="5" t="n">
        <v>22.973473</v>
      </c>
      <c r="CU54" s="5" t="n">
        <v>29.070997</v>
      </c>
      <c r="CV54" s="5" t="n">
        <v>24.322186</v>
      </c>
      <c r="CW54" s="5" t="n">
        <v>25.50598</v>
      </c>
      <c r="CX54" s="5" t="n">
        <v>24.054562</v>
      </c>
      <c r="CY54" s="5" t="n">
        <v>24.213411</v>
      </c>
      <c r="CZ54" s="5" t="n">
        <v>24.053776</v>
      </c>
      <c r="DA54" s="5" t="n">
        <v>23.867043</v>
      </c>
      <c r="DB54" s="5" t="n">
        <v>25.23991</v>
      </c>
      <c r="DC54" s="5" t="n">
        <v>27.908508</v>
      </c>
      <c r="DD54" s="5" t="n">
        <v>24.617075</v>
      </c>
      <c r="DE54" s="5" t="n">
        <v>29.14739</v>
      </c>
      <c r="DF54" s="5" t="n">
        <v>25.824579</v>
      </c>
      <c r="DG54" s="5" t="n">
        <v>23.657351</v>
      </c>
      <c r="DH54" s="5" t="n">
        <v>24.509508</v>
      </c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</row>
    <row r="55">
      <c r="G55" s="5" t="n"/>
      <c r="H55" s="5" t="n"/>
      <c r="I55" s="5" t="n"/>
      <c r="J55" s="5" t="n"/>
      <c r="K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</row>
    <row r="56">
      <c r="D56" t="inlineStr">
        <is>
          <t>Seq2Seq</t>
        </is>
      </c>
      <c r="E56" t="inlineStr">
        <is>
          <t>MAE</t>
        </is>
      </c>
      <c r="F56">
        <f>COUNT(M56:GJ56)</f>
        <v/>
      </c>
      <c r="G56" s="5">
        <f>AVERAGE(M56:GJ56)</f>
        <v/>
      </c>
      <c r="H56" s="5">
        <f>MAX(M56:GJ56)</f>
        <v/>
      </c>
      <c r="I56" s="5">
        <f>MIN(M56:GJ56)</f>
        <v/>
      </c>
      <c r="J56" s="5">
        <f>_xlfn.STDEV.P(M56:GJ56)</f>
        <v/>
      </c>
      <c r="K56" s="5">
        <f>_xlfn.VAR.S(M56:GJ56)</f>
        <v/>
      </c>
      <c r="M56" s="5" t="n">
        <v>28.74859</v>
      </c>
      <c r="N56" s="5" t="n">
        <v>27.437101</v>
      </c>
      <c r="O56" s="5" t="n">
        <v>27.207941</v>
      </c>
      <c r="P56" s="5" t="n">
        <v>29.461893</v>
      </c>
      <c r="Q56" s="5" t="n">
        <v>27.833965</v>
      </c>
      <c r="R56" s="5" t="n">
        <v>30.188082</v>
      </c>
      <c r="S56" s="5" t="n">
        <v>24.573496</v>
      </c>
      <c r="T56" s="5" t="n">
        <v>25.134581</v>
      </c>
      <c r="U56" s="5" t="n">
        <v>29.230513</v>
      </c>
      <c r="V56" s="5" t="n">
        <v>27.814163</v>
      </c>
      <c r="W56" s="5" t="n">
        <v>27.244123</v>
      </c>
      <c r="X56" s="5" t="n">
        <v>26.999559</v>
      </c>
      <c r="Y56" s="5" t="n">
        <v>30.551054</v>
      </c>
      <c r="Z56" s="5" t="n">
        <v>27.910242</v>
      </c>
      <c r="AA56" s="5" t="n">
        <v>27.440222</v>
      </c>
      <c r="AB56" s="5" t="n">
        <v>26.693211</v>
      </c>
      <c r="AC56" s="5" t="n">
        <v>27.020248</v>
      </c>
      <c r="AD56" s="5" t="n">
        <v>26.873976</v>
      </c>
      <c r="AE56" s="5" t="n">
        <v>30.01054</v>
      </c>
      <c r="AF56" s="5" t="n">
        <v>28.239702</v>
      </c>
      <c r="AG56" s="5" t="n">
        <v>28.053276</v>
      </c>
      <c r="AH56" s="5" t="n">
        <v>29.462135</v>
      </c>
      <c r="AI56" s="5" t="n">
        <v>29.036774</v>
      </c>
      <c r="AJ56" s="5" t="n">
        <v>30.904797</v>
      </c>
      <c r="AK56" s="5" t="n">
        <v>28.814945</v>
      </c>
      <c r="AL56" s="5" t="n">
        <v>29.255968</v>
      </c>
      <c r="AM56" s="5" t="n">
        <v>26.647285</v>
      </c>
      <c r="AN56" s="5" t="n">
        <v>28.464033</v>
      </c>
      <c r="AO56" s="5" t="n">
        <v>30.645075</v>
      </c>
      <c r="AP56" s="5" t="n">
        <v>28.875513</v>
      </c>
      <c r="AQ56" s="5" t="n">
        <v>29.591938</v>
      </c>
      <c r="AR56" s="5" t="n">
        <v>23.726166</v>
      </c>
      <c r="AS56" s="5" t="n">
        <v>26.069834</v>
      </c>
      <c r="AT56" s="5" t="n">
        <v>25.44282</v>
      </c>
      <c r="AU56" s="5" t="n">
        <v>26.976044</v>
      </c>
      <c r="AV56" s="5" t="n">
        <v>25.838243</v>
      </c>
      <c r="AW56" s="5" t="n">
        <v>29.1056</v>
      </c>
      <c r="AX56" s="5" t="n">
        <v>29.834469</v>
      </c>
      <c r="AY56" s="5" t="n">
        <v>25.778053</v>
      </c>
      <c r="AZ56" s="5" t="n">
        <v>29.464363</v>
      </c>
      <c r="BA56" s="5" t="n">
        <v>25.616053</v>
      </c>
      <c r="BB56" s="5" t="n">
        <v>27.593704</v>
      </c>
      <c r="BC56" s="5" t="n">
        <v>26.039141</v>
      </c>
      <c r="BD56" s="5" t="n">
        <v>27.467588</v>
      </c>
      <c r="BE56" s="5" t="n">
        <v>29.80673</v>
      </c>
      <c r="BF56" s="5" t="n">
        <v>29.340759</v>
      </c>
      <c r="BG56" s="5" t="n">
        <v>29.82259</v>
      </c>
      <c r="BH56" s="5" t="n">
        <v>27.230234</v>
      </c>
      <c r="BI56" s="5" t="n">
        <v>28.672001</v>
      </c>
      <c r="BJ56" s="5" t="n">
        <v>25.966061</v>
      </c>
      <c r="BK56" s="5" t="n">
        <v>29.210358</v>
      </c>
      <c r="BL56" s="5" t="n">
        <v>27.31329</v>
      </c>
      <c r="BM56" s="5" t="n">
        <v>26.448828</v>
      </c>
      <c r="BN56" s="5" t="n">
        <v>29.154743</v>
      </c>
      <c r="BO56" s="5" t="n">
        <v>27.401779</v>
      </c>
      <c r="BP56" s="5" t="n">
        <v>30.211542</v>
      </c>
      <c r="BQ56" s="5" t="n">
        <v>24.778313</v>
      </c>
      <c r="BR56" s="5" t="n">
        <v>26.122276</v>
      </c>
      <c r="BS56" s="5" t="n">
        <v>25.632671</v>
      </c>
      <c r="BT56" s="5" t="n">
        <v>26.720545</v>
      </c>
      <c r="BU56" s="5" t="n">
        <v>27.602442</v>
      </c>
      <c r="BV56" s="5" t="n">
        <v>28.449766</v>
      </c>
      <c r="BW56" s="5" t="n">
        <v>31.078148</v>
      </c>
      <c r="BX56" s="5" t="n">
        <v>28.201151</v>
      </c>
      <c r="BY56" s="5" t="n">
        <v>26.920792</v>
      </c>
      <c r="BZ56" s="5" t="n">
        <v>24.007872</v>
      </c>
      <c r="CA56" s="5" t="n">
        <v>28.225504</v>
      </c>
      <c r="CB56" s="5" t="n">
        <v>28.104153</v>
      </c>
      <c r="CC56" s="5" t="n">
        <v>29.489248</v>
      </c>
      <c r="CD56" s="5" t="n">
        <v>27.085072</v>
      </c>
      <c r="CE56" s="5" t="n">
        <v>26.82369</v>
      </c>
      <c r="CF56" s="5" t="n">
        <v>27.443317</v>
      </c>
      <c r="CG56" s="5" t="n">
        <v>28.801441</v>
      </c>
      <c r="CH56" s="5" t="n">
        <v>29.194771</v>
      </c>
      <c r="CI56" s="5" t="n">
        <v>25.714098</v>
      </c>
      <c r="CJ56" s="5" t="n">
        <v>28.41997</v>
      </c>
      <c r="CK56" s="5" t="n">
        <v>27.614246</v>
      </c>
      <c r="CL56" s="5" t="n">
        <v>28.858709</v>
      </c>
      <c r="CM56" s="5" t="n">
        <v>29.561235</v>
      </c>
      <c r="CN56" s="5" t="n">
        <v>26.71504</v>
      </c>
      <c r="CO56" s="5" t="n">
        <v>30.453484</v>
      </c>
      <c r="CP56" s="5" t="n">
        <v>23.182396</v>
      </c>
      <c r="CQ56" s="5" t="n">
        <v>24.127863</v>
      </c>
      <c r="CR56" s="5" t="n">
        <v>27.939924</v>
      </c>
      <c r="CS56" s="5" t="n">
        <v>26.819023</v>
      </c>
      <c r="CT56" s="5" t="n">
        <v>26.000538</v>
      </c>
      <c r="CU56" s="5" t="n">
        <v>28.16707</v>
      </c>
      <c r="CV56" s="5" t="n">
        <v>30.488649</v>
      </c>
      <c r="CW56" s="5" t="n">
        <v>28.708019</v>
      </c>
      <c r="CX56" s="5" t="n">
        <v>27.004074</v>
      </c>
      <c r="CY56" s="5" t="n">
        <v>25.133593</v>
      </c>
      <c r="CZ56" s="5" t="n">
        <v>27.400093</v>
      </c>
      <c r="DA56" s="5" t="n">
        <v>27.91394</v>
      </c>
      <c r="DB56" s="5" t="n">
        <v>27.732821</v>
      </c>
      <c r="DC56" s="5" t="n">
        <v>25.955244</v>
      </c>
      <c r="DD56" s="5" t="n">
        <v>27.60808</v>
      </c>
      <c r="DE56" s="5" t="n">
        <v>27.638323</v>
      </c>
      <c r="DF56" s="5" t="n">
        <v>26.216158</v>
      </c>
      <c r="DG56" s="5" t="n">
        <v>29.146606</v>
      </c>
      <c r="DH56" s="5" t="n">
        <v>27.402737</v>
      </c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</row>
    <row r="57">
      <c r="G57" s="5" t="n"/>
      <c r="H57" s="5" t="n"/>
      <c r="I57" s="5" t="n"/>
      <c r="J57" s="5" t="n"/>
      <c r="K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</row>
    <row r="58">
      <c r="D58" t="inlineStr">
        <is>
          <t>Seq2Point</t>
        </is>
      </c>
      <c r="E58" t="inlineStr">
        <is>
          <t>MAE</t>
        </is>
      </c>
      <c r="F58">
        <f>COUNT(M58:GJ58)</f>
        <v/>
      </c>
      <c r="G58" s="5">
        <f>AVERAGE(M58:GJ58)</f>
        <v/>
      </c>
      <c r="H58" s="5">
        <f>MAX(M58:GJ58)</f>
        <v/>
      </c>
      <c r="I58" s="5">
        <f>MIN(M58:GJ58)</f>
        <v/>
      </c>
      <c r="J58" s="5">
        <f>_xlfn.STDEV.P(M58:GJ58)</f>
        <v/>
      </c>
      <c r="K58" s="5">
        <f>_xlfn.VAR.S(M58:GJ58)</f>
        <v/>
      </c>
      <c r="M58" s="5" t="n">
        <v>26.778858</v>
      </c>
      <c r="N58" s="5" t="n">
        <v>25.189562</v>
      </c>
      <c r="O58" s="5" t="n">
        <v>26.191622</v>
      </c>
      <c r="P58" s="5" t="n">
        <v>31.760803</v>
      </c>
      <c r="Q58" s="5" t="n">
        <v>23.608088</v>
      </c>
      <c r="R58" s="5" t="n">
        <v>26.206448</v>
      </c>
      <c r="S58" s="5" t="n">
        <v>31.436516</v>
      </c>
      <c r="T58" s="5" t="n">
        <v>26.465534</v>
      </c>
      <c r="U58" s="5" t="n">
        <v>28.812071</v>
      </c>
      <c r="V58" s="5" t="n">
        <v>28.100578</v>
      </c>
      <c r="W58" s="5" t="n">
        <v>30.664345</v>
      </c>
      <c r="X58" s="5" t="n">
        <v>27.686304</v>
      </c>
      <c r="Y58" s="5" t="n">
        <v>23.083757</v>
      </c>
      <c r="Z58" s="5" t="n">
        <v>24.945766</v>
      </c>
      <c r="AA58" s="5" t="n">
        <v>27.511259</v>
      </c>
      <c r="AB58" s="5" t="n">
        <v>26.643957</v>
      </c>
      <c r="AC58" s="5" t="n">
        <v>24.560177</v>
      </c>
      <c r="AD58" s="5" t="n">
        <v>27.326097</v>
      </c>
      <c r="AE58" s="5" t="n">
        <v>24.932917</v>
      </c>
      <c r="AF58" s="5" t="n">
        <v>25.44301</v>
      </c>
      <c r="AG58" s="5" t="n">
        <v>24.955847</v>
      </c>
      <c r="AH58" s="5" t="n">
        <v>25.037144</v>
      </c>
      <c r="AI58" s="5" t="n">
        <v>28.929953</v>
      </c>
      <c r="AJ58" s="5" t="n">
        <v>25.857424</v>
      </c>
      <c r="AK58" s="5" t="n">
        <v>29.826094</v>
      </c>
      <c r="AL58" s="5" t="n">
        <v>28.55364</v>
      </c>
      <c r="AM58" s="5" t="n">
        <v>26.072111</v>
      </c>
      <c r="AN58" s="5" t="n">
        <v>28.678097</v>
      </c>
      <c r="AO58" s="5" t="n">
        <v>25.989534</v>
      </c>
      <c r="AP58" s="5" t="n">
        <v>25.105869</v>
      </c>
      <c r="AQ58" s="5" t="n">
        <v>25.693638</v>
      </c>
      <c r="AR58" s="5" t="n">
        <v>29.358606</v>
      </c>
      <c r="AS58" s="5" t="n">
        <v>24.60014</v>
      </c>
      <c r="AT58" s="5" t="n">
        <v>29.20813</v>
      </c>
      <c r="AU58" s="5" t="n">
        <v>29.212381</v>
      </c>
      <c r="AV58" s="5" t="n">
        <v>25.877008</v>
      </c>
      <c r="AW58" s="5" t="n">
        <v>26.826973</v>
      </c>
      <c r="AX58" s="5" t="n">
        <v>21.852814</v>
      </c>
      <c r="AY58" s="5" t="n">
        <v>27.272732</v>
      </c>
      <c r="AZ58" s="5" t="n">
        <v>28.820583</v>
      </c>
      <c r="BA58" s="5" t="n">
        <v>26.08733</v>
      </c>
      <c r="BB58" s="5" t="n">
        <v>25.188587</v>
      </c>
      <c r="BC58" s="5" t="n">
        <v>26.40214</v>
      </c>
      <c r="BD58" s="5" t="n">
        <v>29.04715</v>
      </c>
      <c r="BE58" s="5" t="n">
        <v>24.501947</v>
      </c>
      <c r="BF58" s="5" t="n">
        <v>24.722471</v>
      </c>
      <c r="BG58" s="5" t="n">
        <v>27.35162</v>
      </c>
      <c r="BH58" s="5" t="n">
        <v>26.854023</v>
      </c>
      <c r="BI58" s="5" t="n">
        <v>24.182526</v>
      </c>
      <c r="BJ58" s="5" t="n">
        <v>26.234056</v>
      </c>
      <c r="BK58" s="5" t="n">
        <v>27.977545</v>
      </c>
      <c r="BL58" s="5" t="n">
        <v>26.34326</v>
      </c>
      <c r="BM58" s="5" t="n">
        <v>26.757591</v>
      </c>
      <c r="BN58" s="5" t="n">
        <v>25.561804</v>
      </c>
      <c r="BO58" s="5" t="n">
        <v>25.835238</v>
      </c>
      <c r="BP58" s="5" t="n">
        <v>25.858551</v>
      </c>
      <c r="BQ58" s="5" t="n">
        <v>28.146181</v>
      </c>
      <c r="BR58" s="5" t="n">
        <v>24.60153</v>
      </c>
      <c r="BS58" s="5" t="n">
        <v>30.416752</v>
      </c>
      <c r="BT58" s="5" t="n">
        <v>27.18351</v>
      </c>
      <c r="BU58" s="5" t="n">
        <v>28.724476</v>
      </c>
      <c r="BV58" s="5" t="n">
        <v>27.924238</v>
      </c>
      <c r="BW58" s="5" t="n">
        <v>21.791164</v>
      </c>
      <c r="BX58" s="5" t="n">
        <v>28.817717</v>
      </c>
      <c r="BY58" s="5" t="n">
        <v>27.655544</v>
      </c>
      <c r="BZ58" s="5" t="n">
        <v>32.131939</v>
      </c>
      <c r="CA58" s="5" t="n">
        <v>26.953999</v>
      </c>
      <c r="CB58" s="5" t="n">
        <v>28.804964</v>
      </c>
      <c r="CC58" s="5" t="n">
        <v>25.595356</v>
      </c>
      <c r="CD58" s="5" t="n">
        <v>24.618214</v>
      </c>
      <c r="CE58" s="5" t="n">
        <v>23.675707</v>
      </c>
      <c r="CF58" s="5" t="n">
        <v>28.61746</v>
      </c>
      <c r="CG58" s="5" t="n">
        <v>28.107157</v>
      </c>
      <c r="CH58" s="5" t="n">
        <v>25.138287</v>
      </c>
      <c r="CI58" s="5" t="n">
        <v>24.930819</v>
      </c>
      <c r="CJ58" s="5" t="n">
        <v>29.007122</v>
      </c>
      <c r="CK58" s="5" t="n">
        <v>27.021036</v>
      </c>
      <c r="CL58" s="5" t="n">
        <v>28.273035</v>
      </c>
      <c r="CM58" s="5" t="n">
        <v>24.848734</v>
      </c>
      <c r="CN58" s="5" t="n">
        <v>26.396521</v>
      </c>
      <c r="CO58" s="5" t="n">
        <v>25.045309</v>
      </c>
      <c r="CP58" s="5" t="n">
        <v>30.344044</v>
      </c>
      <c r="CQ58" s="5" t="n">
        <v>24.583778</v>
      </c>
      <c r="CR58" s="5" t="n">
        <v>29.186794</v>
      </c>
      <c r="CS58" s="5" t="n">
        <v>27.605759</v>
      </c>
      <c r="CT58" s="5" t="n">
        <v>26.29142</v>
      </c>
      <c r="CU58" s="5" t="n">
        <v>27.510782</v>
      </c>
      <c r="CV58" s="5" t="n">
        <v>21.949512</v>
      </c>
      <c r="CW58" s="5" t="n">
        <v>26.534868</v>
      </c>
      <c r="CX58" s="5" t="n">
        <v>27.97319</v>
      </c>
      <c r="CY58" s="5" t="n">
        <v>25.103624</v>
      </c>
      <c r="CZ58" s="5" t="n">
        <v>26.356253</v>
      </c>
      <c r="DA58" s="5" t="n">
        <v>28.804226</v>
      </c>
      <c r="DB58" s="5" t="n">
        <v>24.669378</v>
      </c>
      <c r="DC58" s="5" t="n">
        <v>24.555843</v>
      </c>
      <c r="DD58" s="5" t="n">
        <v>23.581553</v>
      </c>
      <c r="DE58" s="5" t="n">
        <v>27.856297</v>
      </c>
      <c r="DF58" s="5" t="n">
        <v>30.178501</v>
      </c>
      <c r="DG58" s="5" t="n">
        <v>26.319578</v>
      </c>
      <c r="DH58" s="5" t="n">
        <v>25.585428</v>
      </c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</row>
    <row r="59"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</row>
    <row r="60"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</row>
    <row r="61">
      <c r="B61" t="inlineStr">
        <is>
          <t>test_dataset.h5</t>
        </is>
      </c>
      <c r="D61" s="1" t="inlineStr">
        <is>
          <t>reale Testdaten(hh_13):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</row>
    <row r="62">
      <c r="B62" s="2" t="inlineStr">
        <is>
          <t>buildings': 13</t>
        </is>
      </c>
      <c r="D62" t="inlineStr">
        <is>
          <t>RNN</t>
        </is>
      </c>
      <c r="E62" t="inlineStr">
        <is>
          <t>MAE</t>
        </is>
      </c>
      <c r="F62">
        <f>COUNT(M62:GJ62)</f>
        <v/>
      </c>
      <c r="G62" s="5">
        <f>AVERAGE(M62:GJ62)</f>
        <v/>
      </c>
      <c r="H62" s="5">
        <f>MAX(M62:GJ62)</f>
        <v/>
      </c>
      <c r="I62" s="5">
        <f>MIN(M62:GJ62)</f>
        <v/>
      </c>
      <c r="J62" s="5">
        <f>_xlfn.STDEV.P(M62:GJ62)</f>
        <v/>
      </c>
      <c r="K62" s="5">
        <f>_xlfn.VAR.S(M62:GJ62)</f>
        <v/>
      </c>
      <c r="M62" s="5" t="n">
        <v>32.941147</v>
      </c>
      <c r="N62" s="5" t="n">
        <v>33.777557</v>
      </c>
      <c r="O62" s="5" t="n">
        <v>33.559315</v>
      </c>
      <c r="P62" s="5" t="n">
        <v>36.236641</v>
      </c>
      <c r="Q62" s="5" t="n">
        <v>34.091244</v>
      </c>
      <c r="R62" s="5" t="n">
        <v>31.687023</v>
      </c>
      <c r="S62" s="5" t="n">
        <v>34.640785</v>
      </c>
      <c r="T62" s="5" t="n">
        <v>32.547634</v>
      </c>
      <c r="U62" s="5" t="n">
        <v>33.065811</v>
      </c>
      <c r="V62" s="5" t="n">
        <v>32.784168</v>
      </c>
      <c r="W62" s="5" t="n">
        <v>33.017582</v>
      </c>
      <c r="X62" s="5" t="n">
        <v>31.070196</v>
      </c>
      <c r="Y62" s="5" t="n">
        <v>37.376976</v>
      </c>
      <c r="Z62" s="5" t="n">
        <v>32.467838</v>
      </c>
      <c r="AA62" s="5" t="n">
        <v>36.641556</v>
      </c>
      <c r="AB62" s="5" t="n">
        <v>32.304573</v>
      </c>
      <c r="AC62" s="5" t="n">
        <v>33.861145</v>
      </c>
      <c r="AD62" s="5" t="n">
        <v>34.889435</v>
      </c>
      <c r="AE62" s="5" t="n">
        <v>33.691078</v>
      </c>
      <c r="AF62" s="5" t="n">
        <v>37.09132</v>
      </c>
      <c r="AG62" s="5" t="n">
        <v>33.330376</v>
      </c>
      <c r="AH62" s="5" t="n">
        <v>33.880344</v>
      </c>
      <c r="AI62" s="5" t="n">
        <v>37.138237</v>
      </c>
      <c r="AJ62" s="5" t="n">
        <v>35.094017</v>
      </c>
      <c r="AK62" s="5" t="n">
        <v>36.55072</v>
      </c>
      <c r="AL62" s="5" t="n">
        <v>32.522594</v>
      </c>
      <c r="AM62" s="5" t="n">
        <v>33.538334</v>
      </c>
      <c r="AN62" s="5" t="n">
        <v>33.922436</v>
      </c>
      <c r="AO62" s="5" t="n">
        <v>36.906853</v>
      </c>
      <c r="AP62" s="5" t="n">
        <v>33.486801</v>
      </c>
      <c r="AQ62" s="5" t="n">
        <v>36.528923</v>
      </c>
      <c r="AR62" s="5" t="n">
        <v>33.567532</v>
      </c>
      <c r="AS62" s="5" t="n">
        <v>33.5285</v>
      </c>
      <c r="AT62" s="5" t="n">
        <v>33.861462</v>
      </c>
      <c r="AU62" s="5" t="n">
        <v>32.593052</v>
      </c>
      <c r="AV62" s="5" t="n">
        <v>33.328915</v>
      </c>
      <c r="AW62" s="5" t="n">
        <v>33.25024</v>
      </c>
      <c r="AX62" s="5" t="n">
        <v>33.169098</v>
      </c>
      <c r="AY62" s="5" t="n">
        <v>33.378548</v>
      </c>
      <c r="AZ62" s="5" t="n">
        <v>33.876411</v>
      </c>
      <c r="BA62" s="5" t="n">
        <v>33.274075</v>
      </c>
      <c r="BB62" s="5" t="n">
        <v>33.028767</v>
      </c>
      <c r="BC62" s="5" t="n">
        <v>33.399101</v>
      </c>
      <c r="BD62" s="5" t="n">
        <v>33.18475</v>
      </c>
      <c r="BE62" s="5" t="n">
        <v>33.780022</v>
      </c>
      <c r="BF62" s="5" t="n">
        <v>33.07127</v>
      </c>
      <c r="BG62" s="5" t="n">
        <v>34.420109</v>
      </c>
      <c r="BH62" s="5" t="n">
        <v>34.858498</v>
      </c>
      <c r="BI62" s="5" t="n">
        <v>34.035797</v>
      </c>
      <c r="BJ62" s="5" t="n">
        <v>32.42828</v>
      </c>
      <c r="BK62" s="5" t="n">
        <v>33.693466</v>
      </c>
      <c r="BL62" s="5" t="n">
        <v>33.529598</v>
      </c>
      <c r="BM62" s="5" t="n">
        <v>36.194221</v>
      </c>
      <c r="BN62" s="5" t="n">
        <v>35.522636</v>
      </c>
      <c r="BO62" s="5" t="n">
        <v>32.91724</v>
      </c>
      <c r="BP62" s="5" t="n">
        <v>34.280102</v>
      </c>
      <c r="BQ62" s="5" t="n">
        <v>34.443817</v>
      </c>
      <c r="BR62" s="5" t="n">
        <v>31.690456</v>
      </c>
      <c r="BS62" s="5" t="n">
        <v>33.382004</v>
      </c>
      <c r="BT62" s="5" t="n">
        <v>32.971825</v>
      </c>
      <c r="BU62" s="5" t="n">
        <v>31.735355</v>
      </c>
      <c r="BV62" s="5" t="n">
        <v>34.521351</v>
      </c>
      <c r="BW62" s="5" t="n">
        <v>33.482456</v>
      </c>
      <c r="BX62" s="5" t="n">
        <v>33.444672</v>
      </c>
      <c r="BY62" s="5" t="n">
        <v>34.664188</v>
      </c>
      <c r="BZ62" s="5" t="n">
        <v>33.625965</v>
      </c>
      <c r="CA62" s="5" t="n">
        <v>33.590443</v>
      </c>
      <c r="CB62" s="5" t="n">
        <v>33.602772</v>
      </c>
      <c r="CC62" s="5" t="n">
        <v>32.159306</v>
      </c>
      <c r="CD62" s="5" t="n">
        <v>34.162144</v>
      </c>
      <c r="CE62" s="5" t="n">
        <v>33.302135</v>
      </c>
      <c r="CF62" s="5" t="n">
        <v>33.8568</v>
      </c>
      <c r="CG62" s="5" t="n">
        <v>32.593037</v>
      </c>
      <c r="CH62" s="5" t="n">
        <v>33.564144</v>
      </c>
      <c r="CI62" s="5" t="n">
        <v>34.024281</v>
      </c>
      <c r="CJ62" s="5" t="n">
        <v>34.303825</v>
      </c>
      <c r="CK62" s="5" t="n">
        <v>34.279274</v>
      </c>
      <c r="CL62" s="5" t="n">
        <v>33.655045</v>
      </c>
      <c r="CM62" s="5" t="n">
        <v>33.992485</v>
      </c>
      <c r="CN62" s="5" t="n">
        <v>34.729923</v>
      </c>
      <c r="CO62" s="5" t="n">
        <v>36.771339</v>
      </c>
      <c r="CP62" s="5" t="n">
        <v>35.928413</v>
      </c>
      <c r="CQ62" s="5" t="n">
        <v>32.412685</v>
      </c>
      <c r="CR62" s="5" t="n">
        <v>33.297974</v>
      </c>
      <c r="CS62" s="5" t="n">
        <v>32.324333</v>
      </c>
      <c r="CT62" s="5" t="n">
        <v>32.783844</v>
      </c>
      <c r="CU62" s="5" t="n">
        <v>34.173042</v>
      </c>
      <c r="CV62" s="5" t="n">
        <v>33.780125</v>
      </c>
      <c r="CW62" s="5" t="n">
        <v>32.773426</v>
      </c>
      <c r="CX62" s="5" t="n">
        <v>33.858963</v>
      </c>
      <c r="CY62" s="5" t="n">
        <v>35.087803</v>
      </c>
      <c r="CZ62" s="5" t="n">
        <v>32.461372</v>
      </c>
      <c r="DA62" s="5" t="n">
        <v>33.804504</v>
      </c>
      <c r="DB62" s="5" t="n">
        <v>33.166954</v>
      </c>
      <c r="DC62" s="5" t="n">
        <v>32.309288</v>
      </c>
      <c r="DD62" s="5" t="n">
        <v>33.547276</v>
      </c>
      <c r="DE62" s="5" t="n">
        <v>33.273022</v>
      </c>
      <c r="DF62" s="5" t="n">
        <v>36.039749</v>
      </c>
      <c r="DG62" s="5" t="n">
        <v>33.470688</v>
      </c>
      <c r="DH62" s="5" t="n">
        <v>33.11681</v>
      </c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</row>
    <row r="63">
      <c r="B63" s="2" t="inlineStr">
        <is>
          <t>start_time': '2020-01-04'</t>
        </is>
      </c>
      <c r="G63" s="5" t="n"/>
      <c r="H63" s="5" t="n"/>
      <c r="I63" s="5" t="n"/>
      <c r="J63" s="5" t="n"/>
      <c r="K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</row>
    <row r="64">
      <c r="B64" s="2" t="inlineStr">
        <is>
          <t>end_time': '2020-01-17'</t>
        </is>
      </c>
      <c r="D64" t="inlineStr">
        <is>
          <t>WindowGRU</t>
        </is>
      </c>
      <c r="E64" t="inlineStr">
        <is>
          <t>MAE</t>
        </is>
      </c>
      <c r="F64">
        <f>COUNT(M64:GJ64)</f>
        <v/>
      </c>
      <c r="G64" s="5">
        <f>AVERAGE(M64:GJ64)</f>
        <v/>
      </c>
      <c r="H64" s="5">
        <f>MAX(M64:GJ64)</f>
        <v/>
      </c>
      <c r="I64" s="5">
        <f>MIN(M64:GJ64)</f>
        <v/>
      </c>
      <c r="J64" s="5">
        <f>_xlfn.STDEV.P(M64:GJ64)</f>
        <v/>
      </c>
      <c r="K64" s="5">
        <f>_xlfn.VAR.S(M64:GJ64)</f>
        <v/>
      </c>
      <c r="M64" s="5" t="n">
        <v>35.339592</v>
      </c>
      <c r="N64" s="5" t="n">
        <v>38.373833</v>
      </c>
      <c r="O64" s="5" t="n">
        <v>38.795986</v>
      </c>
      <c r="P64" s="5" t="n">
        <v>36.878143</v>
      </c>
      <c r="Q64" s="5" t="n">
        <v>41.663692</v>
      </c>
      <c r="R64" s="5" t="n">
        <v>40.388409</v>
      </c>
      <c r="S64" s="5" t="n">
        <v>38.622456</v>
      </c>
      <c r="T64" s="5" t="n">
        <v>45.127323</v>
      </c>
      <c r="U64" s="5" t="n">
        <v>37.95018</v>
      </c>
      <c r="V64" s="5" t="n">
        <v>39.545155</v>
      </c>
      <c r="W64" s="5" t="n">
        <v>35.107971</v>
      </c>
      <c r="X64" s="5" t="n">
        <v>37.482521</v>
      </c>
      <c r="Y64" s="5" t="n">
        <v>41.099533</v>
      </c>
      <c r="Z64" s="5" t="n">
        <v>40.811153</v>
      </c>
      <c r="AA64" s="5" t="n">
        <v>40.906448</v>
      </c>
      <c r="AB64" s="5" t="n">
        <v>36.479443</v>
      </c>
      <c r="AC64" s="5" t="n">
        <v>34.501747</v>
      </c>
      <c r="AD64" s="5" t="n">
        <v>36.71244</v>
      </c>
      <c r="AE64" s="5" t="n">
        <v>36.965271</v>
      </c>
      <c r="AF64" s="5" t="n">
        <v>38.084751</v>
      </c>
      <c r="AG64" s="5" t="n">
        <v>41.78812</v>
      </c>
      <c r="AH64" s="5" t="n">
        <v>36.883228</v>
      </c>
      <c r="AI64" s="5" t="n">
        <v>38.277466</v>
      </c>
      <c r="AJ64" s="5" t="n">
        <v>35.254822</v>
      </c>
      <c r="AK64" s="5" t="n">
        <v>40.880035</v>
      </c>
      <c r="AL64" s="5" t="n">
        <v>37.258194</v>
      </c>
      <c r="AM64" s="5" t="n">
        <v>36.502312</v>
      </c>
      <c r="AN64" s="5" t="n">
        <v>34.948421</v>
      </c>
      <c r="AO64" s="5" t="n">
        <v>36.088638</v>
      </c>
      <c r="AP64" s="5" t="n">
        <v>37.476379</v>
      </c>
      <c r="AQ64" s="5" t="n">
        <v>38.486217</v>
      </c>
      <c r="AR64" s="5" t="n">
        <v>33.730114</v>
      </c>
      <c r="AS64" s="5" t="n">
        <v>36.546528</v>
      </c>
      <c r="AT64" s="5" t="n">
        <v>33.633404</v>
      </c>
      <c r="AU64" s="5" t="n">
        <v>37.822887</v>
      </c>
      <c r="AV64" s="5" t="n">
        <v>38.342564</v>
      </c>
      <c r="AW64" s="5" t="n">
        <v>34.685017</v>
      </c>
      <c r="AX64" s="5" t="n">
        <v>36.225803</v>
      </c>
      <c r="AY64" s="5" t="n">
        <v>38.879295</v>
      </c>
      <c r="AZ64" s="5" t="n">
        <v>36.011345</v>
      </c>
      <c r="BA64" s="5" t="n">
        <v>34.250027</v>
      </c>
      <c r="BB64" s="5" t="n">
        <v>33.936798</v>
      </c>
      <c r="BC64" s="5" t="n">
        <v>38.61594</v>
      </c>
      <c r="BD64" s="5" t="n">
        <v>36.341705</v>
      </c>
      <c r="BE64" s="5" t="n">
        <v>33.88443</v>
      </c>
      <c r="BF64" s="5" t="n">
        <v>31.763777</v>
      </c>
      <c r="BG64" s="5" t="n">
        <v>39.670826</v>
      </c>
      <c r="BH64" s="5" t="n">
        <v>38.500988</v>
      </c>
      <c r="BI64" s="5" t="n">
        <v>35.074566</v>
      </c>
      <c r="BJ64" s="5" t="n">
        <v>33.699326</v>
      </c>
      <c r="BK64" s="5" t="n">
        <v>36.540951</v>
      </c>
      <c r="BL64" s="5" t="n">
        <v>34.885456</v>
      </c>
      <c r="BM64" s="5" t="n">
        <v>34.57653</v>
      </c>
      <c r="BN64" s="5" t="n">
        <v>35.030529</v>
      </c>
      <c r="BO64" s="5" t="n">
        <v>37.30286</v>
      </c>
      <c r="BP64" s="5" t="n">
        <v>36.980797</v>
      </c>
      <c r="BQ64" s="5" t="n">
        <v>35.261097</v>
      </c>
      <c r="BR64" s="5" t="n">
        <v>38.919888</v>
      </c>
      <c r="BS64" s="5" t="n">
        <v>33.961205</v>
      </c>
      <c r="BT64" s="5" t="n">
        <v>31.744329</v>
      </c>
      <c r="BU64" s="5" t="n">
        <v>32.671101</v>
      </c>
      <c r="BV64" s="5" t="n">
        <v>35.245598</v>
      </c>
      <c r="BW64" s="5" t="n">
        <v>35.612942</v>
      </c>
      <c r="BX64" s="5" t="n">
        <v>36.960094</v>
      </c>
      <c r="BY64" s="5" t="n">
        <v>40.118626</v>
      </c>
      <c r="BZ64" s="5" t="n">
        <v>34.666252</v>
      </c>
      <c r="CA64" s="5" t="n">
        <v>32.976948</v>
      </c>
      <c r="CB64" s="5" t="n">
        <v>37.318577</v>
      </c>
      <c r="CC64" s="5" t="n">
        <v>32.041695</v>
      </c>
      <c r="CD64" s="5" t="n">
        <v>36.014305</v>
      </c>
      <c r="CE64" s="5" t="n">
        <v>34.477943</v>
      </c>
      <c r="CF64" s="5" t="n">
        <v>36.575912</v>
      </c>
      <c r="CG64" s="5" t="n">
        <v>34.379234</v>
      </c>
      <c r="CH64" s="5" t="n">
        <v>31.675287</v>
      </c>
      <c r="CI64" s="5" t="n">
        <v>34.052299</v>
      </c>
      <c r="CJ64" s="5" t="n">
        <v>36.231075</v>
      </c>
      <c r="CK64" s="5" t="n">
        <v>34.706448</v>
      </c>
      <c r="CL64" s="5" t="n">
        <v>35.288471</v>
      </c>
      <c r="CM64" s="5" t="n">
        <v>40.482635</v>
      </c>
      <c r="CN64" s="5" t="n">
        <v>38.851345</v>
      </c>
      <c r="CO64" s="5" t="n">
        <v>36.131798</v>
      </c>
      <c r="CP64" s="5" t="n">
        <v>34.223381</v>
      </c>
      <c r="CQ64" s="5" t="n">
        <v>39.64661</v>
      </c>
      <c r="CR64" s="5" t="n">
        <v>32.87228</v>
      </c>
      <c r="CS64" s="5" t="n">
        <v>35.280792</v>
      </c>
      <c r="CT64" s="5" t="n">
        <v>38.485073</v>
      </c>
      <c r="CU64" s="5" t="n">
        <v>35.603428</v>
      </c>
      <c r="CV64" s="5" t="n">
        <v>37.680538</v>
      </c>
      <c r="CW64" s="5" t="n">
        <v>35.576553</v>
      </c>
      <c r="CX64" s="5" t="n">
        <v>36.798344</v>
      </c>
      <c r="CY64" s="5" t="n">
        <v>34.055714</v>
      </c>
      <c r="CZ64" s="5" t="n">
        <v>31.624269</v>
      </c>
      <c r="DA64" s="5" t="n">
        <v>38.69595</v>
      </c>
      <c r="DB64" s="5" t="n">
        <v>35.967014</v>
      </c>
      <c r="DC64" s="5" t="n">
        <v>34.12793</v>
      </c>
      <c r="DD64" s="5" t="n">
        <v>35.283764</v>
      </c>
      <c r="DE64" s="5" t="n">
        <v>31.499271</v>
      </c>
      <c r="DF64" s="5" t="n">
        <v>37.11594</v>
      </c>
      <c r="DG64" s="5" t="n">
        <v>31.69293</v>
      </c>
      <c r="DH64" s="5" t="n">
        <v>32.006741</v>
      </c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  <c r="EM64" s="5" t="n"/>
      <c r="EN64" s="5" t="n"/>
      <c r="EO64" s="5" t="n"/>
      <c r="EP64" s="5" t="n"/>
      <c r="EQ64" s="5" t="n"/>
      <c r="ER64" s="5" t="n"/>
      <c r="ES64" s="5" t="n"/>
      <c r="ET64" s="5" t="n"/>
      <c r="EU64" s="5" t="n"/>
      <c r="EV64" s="5" t="n"/>
      <c r="EW64" s="5" t="n"/>
      <c r="EX64" s="5" t="n"/>
      <c r="EY64" s="5" t="n"/>
      <c r="EZ64" s="5" t="n"/>
      <c r="FA64" s="5" t="n"/>
      <c r="FB64" s="5" t="n"/>
      <c r="FC64" s="5" t="n"/>
      <c r="FD64" s="5" t="n"/>
      <c r="FE64" s="5" t="n"/>
      <c r="FF64" s="5" t="n"/>
      <c r="FG64" s="5" t="n"/>
      <c r="FH64" s="5" t="n"/>
      <c r="FI64" s="5" t="n"/>
      <c r="FJ64" s="5" t="n"/>
      <c r="FK64" s="5" t="n"/>
      <c r="FL64" s="5" t="n"/>
      <c r="FM64" s="5" t="n"/>
      <c r="FN64" s="5" t="n"/>
      <c r="FO64" s="5" t="n"/>
      <c r="FP64" s="5" t="n"/>
      <c r="FQ64" s="5" t="n"/>
      <c r="FR64" s="5" t="n"/>
      <c r="FS64" s="5" t="n"/>
      <c r="FT64" s="5" t="n"/>
      <c r="FU64" s="5" t="n"/>
      <c r="FV64" s="5" t="n"/>
      <c r="FW64" s="5" t="n"/>
      <c r="FX64" s="5" t="n"/>
      <c r="FY64" s="5" t="n"/>
      <c r="FZ64" s="5" t="n"/>
      <c r="GA64" s="5" t="n"/>
      <c r="GB64" s="5" t="n"/>
      <c r="GC64" s="5" t="n"/>
      <c r="GD64" s="5" t="n"/>
      <c r="GE64" s="5" t="n"/>
      <c r="GF64" s="5" t="n"/>
      <c r="GG64" s="5" t="n"/>
      <c r="GH64" s="5" t="n"/>
      <c r="GI64" s="5" t="n"/>
      <c r="GJ64" s="5" t="n"/>
      <c r="GK64" s="5" t="n"/>
      <c r="GL64" s="5" t="n"/>
      <c r="GM64" s="5" t="n"/>
      <c r="GN64" s="5" t="n"/>
      <c r="GO64" s="5" t="n"/>
      <c r="GP64" s="5" t="n"/>
      <c r="GQ64" s="5" t="n"/>
      <c r="GR64" s="5" t="n"/>
      <c r="GS64" s="5" t="n"/>
      <c r="GT64" s="5" t="n"/>
      <c r="GU64" s="5" t="n"/>
      <c r="GV64" s="5" t="n"/>
      <c r="GW64" s="5" t="n"/>
      <c r="GX64" s="5" t="n"/>
      <c r="GY64" s="5" t="n"/>
    </row>
    <row r="65">
      <c r="G65" s="5" t="n"/>
      <c r="H65" s="5" t="n"/>
      <c r="I65" s="5" t="n"/>
      <c r="J65" s="5" t="n"/>
      <c r="K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  <c r="EM65" s="5" t="n"/>
      <c r="EN65" s="5" t="n"/>
      <c r="EO65" s="5" t="n"/>
      <c r="EP65" s="5" t="n"/>
      <c r="EQ65" s="5" t="n"/>
      <c r="ER65" s="5" t="n"/>
      <c r="ES65" s="5" t="n"/>
      <c r="ET65" s="5" t="n"/>
      <c r="EU65" s="5" t="n"/>
      <c r="EV65" s="5" t="n"/>
      <c r="EW65" s="5" t="n"/>
      <c r="EX65" s="5" t="n"/>
      <c r="EY65" s="5" t="n"/>
      <c r="EZ65" s="5" t="n"/>
      <c r="FA65" s="5" t="n"/>
      <c r="FB65" s="5" t="n"/>
      <c r="FC65" s="5" t="n"/>
      <c r="FD65" s="5" t="n"/>
      <c r="FE65" s="5" t="n"/>
      <c r="FF65" s="5" t="n"/>
      <c r="FG65" s="5" t="n"/>
      <c r="FH65" s="5" t="n"/>
      <c r="FI65" s="5" t="n"/>
      <c r="FJ65" s="5" t="n"/>
      <c r="FK65" s="5" t="n"/>
      <c r="FL65" s="5" t="n"/>
      <c r="FM65" s="5" t="n"/>
      <c r="FN65" s="5" t="n"/>
      <c r="FO65" s="5" t="n"/>
      <c r="FP65" s="5" t="n"/>
      <c r="FQ65" s="5" t="n"/>
      <c r="FR65" s="5" t="n"/>
      <c r="FS65" s="5" t="n"/>
      <c r="FT65" s="5" t="n"/>
      <c r="FU65" s="5" t="n"/>
      <c r="FV65" s="5" t="n"/>
      <c r="FW65" s="5" t="n"/>
      <c r="FX65" s="5" t="n"/>
      <c r="FY65" s="5" t="n"/>
      <c r="FZ65" s="5" t="n"/>
      <c r="GA65" s="5" t="n"/>
      <c r="GB65" s="5" t="n"/>
      <c r="GC65" s="5" t="n"/>
      <c r="GD65" s="5" t="n"/>
      <c r="GE65" s="5" t="n"/>
      <c r="GF65" s="5" t="n"/>
      <c r="GG65" s="5" t="n"/>
      <c r="GH65" s="5" t="n"/>
      <c r="GI65" s="5" t="n"/>
      <c r="GJ65" s="5" t="n"/>
      <c r="GK65" s="5" t="n"/>
      <c r="GL65" s="5" t="n"/>
      <c r="GM65" s="5" t="n"/>
      <c r="GN65" s="5" t="n"/>
      <c r="GO65" s="5" t="n"/>
      <c r="GP65" s="5" t="n"/>
      <c r="GQ65" s="5" t="n"/>
      <c r="GR65" s="5" t="n"/>
      <c r="GS65" s="5" t="n"/>
      <c r="GT65" s="5" t="n"/>
      <c r="GU65" s="5" t="n"/>
      <c r="GV65" s="5" t="n"/>
      <c r="GW65" s="5" t="n"/>
      <c r="GX65" s="5" t="n"/>
      <c r="GY65" s="5" t="n"/>
    </row>
    <row r="66">
      <c r="D66" t="inlineStr">
        <is>
          <t>DAE</t>
        </is>
      </c>
      <c r="E66" t="inlineStr">
        <is>
          <t>MAE</t>
        </is>
      </c>
      <c r="F66">
        <f>COUNT(M66:GJ66)</f>
        <v/>
      </c>
      <c r="G66" s="5">
        <f>AVERAGE(M66:GJ66)</f>
        <v/>
      </c>
      <c r="H66" s="5">
        <f>MAX(M66:GJ66)</f>
        <v/>
      </c>
      <c r="I66" s="5">
        <f>MIN(M66:GJ66)</f>
        <v/>
      </c>
      <c r="J66" s="5">
        <f>_xlfn.STDEV.P(M66:GJ66)</f>
        <v/>
      </c>
      <c r="K66" s="5">
        <f>_xlfn.VAR.S(M66:GJ66)</f>
        <v/>
      </c>
      <c r="M66" s="5" t="n">
        <v>40.439762</v>
      </c>
      <c r="N66" s="5" t="n">
        <v>40.293312</v>
      </c>
      <c r="O66" s="5" t="n">
        <v>39.371403</v>
      </c>
      <c r="P66" s="5" t="n">
        <v>39.598923</v>
      </c>
      <c r="Q66" s="5" t="n">
        <v>41.84063</v>
      </c>
      <c r="R66" s="5" t="n">
        <v>38.738548</v>
      </c>
      <c r="S66" s="5" t="n">
        <v>40.667217</v>
      </c>
      <c r="T66" s="5" t="n">
        <v>40.26033</v>
      </c>
      <c r="U66" s="5" t="n">
        <v>39.417442</v>
      </c>
      <c r="V66" s="5" t="n">
        <v>39.97575</v>
      </c>
      <c r="W66" s="5" t="n">
        <v>39.348091</v>
      </c>
      <c r="X66" s="5" t="n">
        <v>43.726837</v>
      </c>
      <c r="Y66" s="5" t="n">
        <v>39.454041</v>
      </c>
      <c r="Z66" s="5" t="n">
        <v>40.379967</v>
      </c>
      <c r="AA66" s="5" t="n">
        <v>40.989891</v>
      </c>
      <c r="AB66" s="5" t="n">
        <v>41.91983</v>
      </c>
      <c r="AC66" s="5" t="n">
        <v>39.691353</v>
      </c>
      <c r="AD66" s="5" t="n">
        <v>39.718506</v>
      </c>
      <c r="AE66" s="5" t="n">
        <v>40.313576</v>
      </c>
      <c r="AF66" s="5" t="n">
        <v>40.612511</v>
      </c>
      <c r="AG66" s="5" t="n">
        <v>39.839359</v>
      </c>
      <c r="AH66" s="5" t="n">
        <v>40.965244</v>
      </c>
      <c r="AI66" s="5" t="n">
        <v>39.772995</v>
      </c>
      <c r="AJ66" s="5" t="n">
        <v>40.623489</v>
      </c>
      <c r="AK66" s="5" t="n">
        <v>39.35899</v>
      </c>
      <c r="AL66" s="5" t="n">
        <v>39.501709</v>
      </c>
      <c r="AM66" s="5" t="n">
        <v>40.720013</v>
      </c>
      <c r="AN66" s="5" t="n">
        <v>39.215725</v>
      </c>
      <c r="AO66" s="5" t="n">
        <v>39.540585</v>
      </c>
      <c r="AP66" s="5" t="n">
        <v>41.053432</v>
      </c>
      <c r="AQ66" s="5" t="n">
        <v>40.347603</v>
      </c>
      <c r="AR66" s="5" t="n">
        <v>40.561417</v>
      </c>
      <c r="AS66" s="5" t="n">
        <v>41.319981</v>
      </c>
      <c r="AT66" s="5" t="n">
        <v>42.682217</v>
      </c>
      <c r="AU66" s="5" t="n">
        <v>40.294056</v>
      </c>
      <c r="AV66" s="5" t="n">
        <v>40.378532</v>
      </c>
      <c r="AW66" s="5" t="n">
        <v>44.070412</v>
      </c>
      <c r="AX66" s="5" t="n">
        <v>40.310555</v>
      </c>
      <c r="AY66" s="5" t="n">
        <v>41.13493</v>
      </c>
      <c r="AZ66" s="5" t="n">
        <v>39.451946</v>
      </c>
      <c r="BA66" s="5" t="n">
        <v>39.771111</v>
      </c>
      <c r="BB66" s="5" t="n">
        <v>40.441628</v>
      </c>
      <c r="BC66" s="5" t="n">
        <v>39.36871</v>
      </c>
      <c r="BD66" s="5" t="n">
        <v>39.614311</v>
      </c>
      <c r="BE66" s="5" t="n">
        <v>41.794746</v>
      </c>
      <c r="BF66" s="5" t="n">
        <v>41.338627</v>
      </c>
      <c r="BG66" s="5" t="n">
        <v>40.445236</v>
      </c>
      <c r="BH66" s="5" t="n">
        <v>40.285538</v>
      </c>
      <c r="BI66" s="5" t="n">
        <v>42.111843</v>
      </c>
      <c r="BJ66" s="5" t="n">
        <v>39.072018</v>
      </c>
      <c r="BK66" s="5" t="n">
        <v>38.720097</v>
      </c>
      <c r="BL66" s="5" t="n">
        <v>40.042313</v>
      </c>
      <c r="BM66" s="5" t="n">
        <v>41.057545</v>
      </c>
      <c r="BN66" s="5" t="n">
        <v>40.517654</v>
      </c>
      <c r="BO66" s="5" t="n">
        <v>41.978191</v>
      </c>
      <c r="BP66" s="5" t="n">
        <v>39.683689</v>
      </c>
      <c r="BQ66" s="5" t="n">
        <v>39.393414</v>
      </c>
      <c r="BR66" s="5" t="n">
        <v>39.846447</v>
      </c>
      <c r="BS66" s="5" t="n">
        <v>41.364319</v>
      </c>
      <c r="BT66" s="5" t="n">
        <v>39.39201</v>
      </c>
      <c r="BU66" s="5" t="n">
        <v>39.412586</v>
      </c>
      <c r="BV66" s="5" t="n">
        <v>43.879742</v>
      </c>
      <c r="BW66" s="5" t="n">
        <v>40.007446</v>
      </c>
      <c r="BX66" s="5" t="n">
        <v>39.093575</v>
      </c>
      <c r="BY66" s="5" t="n">
        <v>39.63126</v>
      </c>
      <c r="BZ66" s="5" t="n">
        <v>42.901379</v>
      </c>
      <c r="CA66" s="5" t="n">
        <v>40.399075</v>
      </c>
      <c r="CB66" s="5" t="n">
        <v>39.658222</v>
      </c>
      <c r="CC66" s="5" t="n">
        <v>39.628727</v>
      </c>
      <c r="CD66" s="5" t="n">
        <v>42.720856</v>
      </c>
      <c r="CE66" s="5" t="n">
        <v>40.501022</v>
      </c>
      <c r="CF66" s="5" t="n">
        <v>40.701263</v>
      </c>
      <c r="CG66" s="5" t="n">
        <v>40.503689</v>
      </c>
      <c r="CH66" s="5" t="n">
        <v>41.008877</v>
      </c>
      <c r="CI66" s="5" t="n">
        <v>39.542458</v>
      </c>
      <c r="CJ66" s="5" t="n">
        <v>40.697567</v>
      </c>
      <c r="CK66" s="5" t="n">
        <v>40.695312</v>
      </c>
      <c r="CL66" s="5" t="n">
        <v>41.571346</v>
      </c>
      <c r="CM66" s="5" t="n">
        <v>39.775162</v>
      </c>
      <c r="CN66" s="5" t="n">
        <v>40.805706</v>
      </c>
      <c r="CO66" s="5" t="n">
        <v>41.621082</v>
      </c>
      <c r="CP66" s="5" t="n">
        <v>40.706356</v>
      </c>
      <c r="CQ66" s="5" t="n">
        <v>40.068611</v>
      </c>
      <c r="CR66" s="5" t="n">
        <v>40.289459</v>
      </c>
      <c r="CS66" s="5" t="n">
        <v>40.340626</v>
      </c>
      <c r="CT66" s="5" t="n">
        <v>40.067249</v>
      </c>
      <c r="CU66" s="5" t="n">
        <v>43.081287</v>
      </c>
      <c r="CV66" s="5" t="n">
        <v>40.532734</v>
      </c>
      <c r="CW66" s="5" t="n">
        <v>40.424866</v>
      </c>
      <c r="CX66" s="5" t="n">
        <v>39.30962</v>
      </c>
      <c r="CY66" s="5" t="n">
        <v>40.584442</v>
      </c>
      <c r="CZ66" s="5" t="n">
        <v>39.546722</v>
      </c>
      <c r="DA66" s="5" t="n">
        <v>39.329758</v>
      </c>
      <c r="DB66" s="5" t="n">
        <v>40.536072</v>
      </c>
      <c r="DC66" s="5" t="n">
        <v>43.907028</v>
      </c>
      <c r="DD66" s="5" t="n">
        <v>41.117168</v>
      </c>
      <c r="DE66" s="5" t="n">
        <v>44.349014</v>
      </c>
      <c r="DF66" s="5" t="n">
        <v>40.598034</v>
      </c>
      <c r="DG66" s="5" t="n">
        <v>39.51255</v>
      </c>
      <c r="DH66" s="5" t="n">
        <v>40.297089</v>
      </c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  <c r="EM66" s="5" t="n"/>
      <c r="EN66" s="5" t="n"/>
      <c r="EO66" s="5" t="n"/>
      <c r="EP66" s="5" t="n"/>
      <c r="EQ66" s="5" t="n"/>
      <c r="ER66" s="5" t="n"/>
      <c r="ES66" s="5" t="n"/>
      <c r="ET66" s="5" t="n"/>
      <c r="EU66" s="5" t="n"/>
      <c r="EV66" s="5" t="n"/>
      <c r="EW66" s="5" t="n"/>
      <c r="EX66" s="5" t="n"/>
      <c r="EY66" s="5" t="n"/>
      <c r="EZ66" s="5" t="n"/>
      <c r="FA66" s="5" t="n"/>
      <c r="FB66" s="5" t="n"/>
      <c r="FC66" s="5" t="n"/>
      <c r="FD66" s="5" t="n"/>
      <c r="FE66" s="5" t="n"/>
      <c r="FF66" s="5" t="n"/>
      <c r="FG66" s="5" t="n"/>
      <c r="FH66" s="5" t="n"/>
      <c r="FI66" s="5" t="n"/>
      <c r="FJ66" s="5" t="n"/>
      <c r="FK66" s="5" t="n"/>
      <c r="FL66" s="5" t="n"/>
      <c r="FM66" s="5" t="n"/>
      <c r="FN66" s="5" t="n"/>
      <c r="FO66" s="5" t="n"/>
      <c r="FP66" s="5" t="n"/>
      <c r="FQ66" s="5" t="n"/>
      <c r="FR66" s="5" t="n"/>
      <c r="FS66" s="5" t="n"/>
      <c r="FT66" s="5" t="n"/>
      <c r="FU66" s="5" t="n"/>
      <c r="FV66" s="5" t="n"/>
      <c r="FW66" s="5" t="n"/>
      <c r="FX66" s="5" t="n"/>
      <c r="FY66" s="5" t="n"/>
      <c r="FZ66" s="5" t="n"/>
      <c r="GA66" s="5" t="n"/>
      <c r="GB66" s="5" t="n"/>
      <c r="GC66" s="5" t="n"/>
      <c r="GD66" s="5" t="n"/>
      <c r="GE66" s="5" t="n"/>
      <c r="GF66" s="5" t="n"/>
      <c r="GG66" s="5" t="n"/>
      <c r="GH66" s="5" t="n"/>
      <c r="GI66" s="5" t="n"/>
      <c r="GJ66" s="5" t="n"/>
      <c r="GK66" s="5" t="n"/>
      <c r="GL66" s="5" t="n"/>
      <c r="GM66" s="5" t="n"/>
      <c r="GN66" s="5" t="n"/>
      <c r="GO66" s="5" t="n"/>
      <c r="GP66" s="5" t="n"/>
      <c r="GQ66" s="5" t="n"/>
      <c r="GR66" s="5" t="n"/>
      <c r="GS66" s="5" t="n"/>
      <c r="GT66" s="5" t="n"/>
      <c r="GU66" s="5" t="n"/>
      <c r="GV66" s="5" t="n"/>
      <c r="GW66" s="5" t="n"/>
      <c r="GX66" s="5" t="n"/>
      <c r="GY66" s="5" t="n"/>
    </row>
    <row r="67">
      <c r="G67" s="5" t="n"/>
      <c r="H67" s="5" t="n"/>
      <c r="I67" s="5" t="n"/>
      <c r="J67" s="5" t="n"/>
      <c r="K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  <c r="EM67" s="5" t="n"/>
      <c r="EN67" s="5" t="n"/>
      <c r="EO67" s="5" t="n"/>
      <c r="EP67" s="5" t="n"/>
      <c r="EQ67" s="5" t="n"/>
      <c r="ER67" s="5" t="n"/>
      <c r="ES67" s="5" t="n"/>
      <c r="ET67" s="5" t="n"/>
      <c r="EU67" s="5" t="n"/>
      <c r="EV67" s="5" t="n"/>
      <c r="EW67" s="5" t="n"/>
      <c r="EX67" s="5" t="n"/>
      <c r="EY67" s="5" t="n"/>
      <c r="EZ67" s="5" t="n"/>
      <c r="FA67" s="5" t="n"/>
      <c r="FB67" s="5" t="n"/>
      <c r="FC67" s="5" t="n"/>
      <c r="FD67" s="5" t="n"/>
      <c r="FE67" s="5" t="n"/>
      <c r="FF67" s="5" t="n"/>
      <c r="FG67" s="5" t="n"/>
      <c r="FH67" s="5" t="n"/>
      <c r="FI67" s="5" t="n"/>
      <c r="FJ67" s="5" t="n"/>
      <c r="FK67" s="5" t="n"/>
      <c r="FL67" s="5" t="n"/>
      <c r="FM67" s="5" t="n"/>
      <c r="FN67" s="5" t="n"/>
      <c r="FO67" s="5" t="n"/>
      <c r="FP67" s="5" t="n"/>
      <c r="FQ67" s="5" t="n"/>
      <c r="FR67" s="5" t="n"/>
      <c r="FS67" s="5" t="n"/>
      <c r="FT67" s="5" t="n"/>
      <c r="FU67" s="5" t="n"/>
      <c r="FV67" s="5" t="n"/>
      <c r="FW67" s="5" t="n"/>
      <c r="FX67" s="5" t="n"/>
      <c r="FY67" s="5" t="n"/>
      <c r="FZ67" s="5" t="n"/>
      <c r="GA67" s="5" t="n"/>
      <c r="GB67" s="5" t="n"/>
      <c r="GC67" s="5" t="n"/>
      <c r="GD67" s="5" t="n"/>
      <c r="GE67" s="5" t="n"/>
      <c r="GF67" s="5" t="n"/>
      <c r="GG67" s="5" t="n"/>
      <c r="GH67" s="5" t="n"/>
      <c r="GI67" s="5" t="n"/>
      <c r="GJ67" s="5" t="n"/>
      <c r="GK67" s="5" t="n"/>
      <c r="GL67" s="5" t="n"/>
      <c r="GM67" s="5" t="n"/>
      <c r="GN67" s="5" t="n"/>
      <c r="GO67" s="5" t="n"/>
      <c r="GP67" s="5" t="n"/>
      <c r="GQ67" s="5" t="n"/>
      <c r="GR67" s="5" t="n"/>
      <c r="GS67" s="5" t="n"/>
      <c r="GT67" s="5" t="n"/>
      <c r="GU67" s="5" t="n"/>
      <c r="GV67" s="5" t="n"/>
      <c r="GW67" s="5" t="n"/>
      <c r="GX67" s="5" t="n"/>
      <c r="GY67" s="5" t="n"/>
    </row>
    <row r="68">
      <c r="D68" t="inlineStr">
        <is>
          <t>Seq2Seq</t>
        </is>
      </c>
      <c r="E68" t="inlineStr">
        <is>
          <t>MAE</t>
        </is>
      </c>
      <c r="F68">
        <f>COUNT(M68:GJ68)</f>
        <v/>
      </c>
      <c r="G68" s="5">
        <f>AVERAGE(M68:GJ68)</f>
        <v/>
      </c>
      <c r="H68" s="5">
        <f>MAX(M68:GJ68)</f>
        <v/>
      </c>
      <c r="I68" s="5">
        <f>MIN(M68:GJ68)</f>
        <v/>
      </c>
      <c r="J68" s="5">
        <f>_xlfn.STDEV.P(M68:GJ68)</f>
        <v/>
      </c>
      <c r="K68" s="5">
        <f>_xlfn.VAR.S(M68:GJ68)</f>
        <v/>
      </c>
      <c r="M68" s="5" t="n">
        <v>31.53068</v>
      </c>
      <c r="N68" s="5" t="n">
        <v>32.29314</v>
      </c>
      <c r="O68" s="5" t="n">
        <v>34.936028</v>
      </c>
      <c r="P68" s="5" t="n">
        <v>28.742249</v>
      </c>
      <c r="Q68" s="5" t="n">
        <v>29.641562</v>
      </c>
      <c r="R68" s="5" t="n">
        <v>23.162693</v>
      </c>
      <c r="S68" s="5" t="n">
        <v>30.759247</v>
      </c>
      <c r="T68" s="5" t="n">
        <v>25.071676</v>
      </c>
      <c r="U68" s="5" t="n">
        <v>24.535078</v>
      </c>
      <c r="V68" s="5" t="n">
        <v>29.541512</v>
      </c>
      <c r="W68" s="5" t="n">
        <v>25.140812</v>
      </c>
      <c r="X68" s="5" t="n">
        <v>27.886225</v>
      </c>
      <c r="Y68" s="5" t="n">
        <v>26.461746</v>
      </c>
      <c r="Z68" s="5" t="n">
        <v>32.122555</v>
      </c>
      <c r="AA68" s="5" t="n">
        <v>23.864182</v>
      </c>
      <c r="AB68" s="5" t="n">
        <v>22.415613</v>
      </c>
      <c r="AC68" s="5" t="n">
        <v>26.945345</v>
      </c>
      <c r="AD68" s="5" t="n">
        <v>25.123913</v>
      </c>
      <c r="AE68" s="5" t="n">
        <v>24.022818</v>
      </c>
      <c r="AF68" s="5" t="n">
        <v>24.983938</v>
      </c>
      <c r="AG68" s="5" t="n">
        <v>28.6171</v>
      </c>
      <c r="AH68" s="5" t="n">
        <v>25.823595</v>
      </c>
      <c r="AI68" s="5" t="n">
        <v>30.413658</v>
      </c>
      <c r="AJ68" s="5" t="n">
        <v>26.15851</v>
      </c>
      <c r="AK68" s="5" t="n">
        <v>27.779413</v>
      </c>
      <c r="AL68" s="5" t="n">
        <v>31.998674</v>
      </c>
      <c r="AM68" s="5" t="n">
        <v>28.989506</v>
      </c>
      <c r="AN68" s="5" t="n">
        <v>33.044971</v>
      </c>
      <c r="AO68" s="5" t="n">
        <v>31.017935</v>
      </c>
      <c r="AP68" s="5" t="n">
        <v>29.962982</v>
      </c>
      <c r="AQ68" s="5" t="n">
        <v>23.407368</v>
      </c>
      <c r="AR68" s="5" t="n">
        <v>30.081194</v>
      </c>
      <c r="AS68" s="5" t="n">
        <v>24.979959</v>
      </c>
      <c r="AT68" s="5" t="n">
        <v>27.101135</v>
      </c>
      <c r="AU68" s="5" t="n">
        <v>28.58391</v>
      </c>
      <c r="AV68" s="5" t="n">
        <v>26.247169</v>
      </c>
      <c r="AW68" s="5" t="n">
        <v>31.300564</v>
      </c>
      <c r="AX68" s="5" t="n">
        <v>31.487688</v>
      </c>
      <c r="AY68" s="5" t="n">
        <v>26.453213</v>
      </c>
      <c r="AZ68" s="5" t="n">
        <v>28.483343</v>
      </c>
      <c r="BA68" s="5" t="n">
        <v>21.893871</v>
      </c>
      <c r="BB68" s="5" t="n">
        <v>31.68244</v>
      </c>
      <c r="BC68" s="5" t="n">
        <v>27.354095</v>
      </c>
      <c r="BD68" s="5" t="n">
        <v>26.446308</v>
      </c>
      <c r="BE68" s="5" t="n">
        <v>29.149555</v>
      </c>
      <c r="BF68" s="5" t="n">
        <v>30.950911</v>
      </c>
      <c r="BG68" s="5" t="n">
        <v>24.66539</v>
      </c>
      <c r="BH68" s="5" t="n">
        <v>30.202015</v>
      </c>
      <c r="BI68" s="5" t="n">
        <v>30.430157</v>
      </c>
      <c r="BJ68" s="5" t="n">
        <v>27.932713</v>
      </c>
      <c r="BK68" s="5" t="n">
        <v>34.042046</v>
      </c>
      <c r="BL68" s="5" t="n">
        <v>28.153952</v>
      </c>
      <c r="BM68" s="5" t="n">
        <v>34.577442</v>
      </c>
      <c r="BN68" s="5" t="n">
        <v>32.441307</v>
      </c>
      <c r="BO68" s="5" t="n">
        <v>28.837097</v>
      </c>
      <c r="BP68" s="5" t="n">
        <v>26.094995</v>
      </c>
      <c r="BQ68" s="5" t="n">
        <v>29.290125</v>
      </c>
      <c r="BR68" s="5" t="n">
        <v>25.452524</v>
      </c>
      <c r="BS68" s="5" t="n">
        <v>29.257757</v>
      </c>
      <c r="BT68" s="5" t="n">
        <v>29.198483</v>
      </c>
      <c r="BU68" s="5" t="n">
        <v>29.239462</v>
      </c>
      <c r="BV68" s="5" t="n">
        <v>30.940035</v>
      </c>
      <c r="BW68" s="5" t="n">
        <v>29.306692</v>
      </c>
      <c r="BX68" s="5" t="n">
        <v>33.215065</v>
      </c>
      <c r="BY68" s="5" t="n">
        <v>27.923544</v>
      </c>
      <c r="BZ68" s="5" t="n">
        <v>23.57349</v>
      </c>
      <c r="CA68" s="5" t="n">
        <v>30.542744</v>
      </c>
      <c r="CB68" s="5" t="n">
        <v>27.792921</v>
      </c>
      <c r="CC68" s="5" t="n">
        <v>22.5249</v>
      </c>
      <c r="CD68" s="5" t="n">
        <v>29.005205</v>
      </c>
      <c r="CE68" s="5" t="n">
        <v>30.719671</v>
      </c>
      <c r="CF68" s="5" t="n">
        <v>26.290257</v>
      </c>
      <c r="CG68" s="5" t="n">
        <v>32.033722</v>
      </c>
      <c r="CH68" s="5" t="n">
        <v>29.887369</v>
      </c>
      <c r="CI68" s="5" t="n">
        <v>27.714073</v>
      </c>
      <c r="CJ68" s="5" t="n">
        <v>31.162283</v>
      </c>
      <c r="CK68" s="5" t="n">
        <v>27.452097</v>
      </c>
      <c r="CL68" s="5" t="n">
        <v>34.375233</v>
      </c>
      <c r="CM68" s="5" t="n">
        <v>30.014673</v>
      </c>
      <c r="CN68" s="5" t="n">
        <v>28.954117</v>
      </c>
      <c r="CO68" s="5" t="n">
        <v>24.145008</v>
      </c>
      <c r="CP68" s="5" t="n">
        <v>27.66939</v>
      </c>
      <c r="CQ68" s="5" t="n">
        <v>27.158983</v>
      </c>
      <c r="CR68" s="5" t="n">
        <v>29.979729</v>
      </c>
      <c r="CS68" s="5" t="n">
        <v>29.509836</v>
      </c>
      <c r="CT68" s="5" t="n">
        <v>28.807838</v>
      </c>
      <c r="CU68" s="5" t="n">
        <v>29.718283</v>
      </c>
      <c r="CV68" s="5" t="n">
        <v>26.964203</v>
      </c>
      <c r="CW68" s="5" t="n">
        <v>29.543541</v>
      </c>
      <c r="CX68" s="5" t="n">
        <v>26.226395</v>
      </c>
      <c r="CY68" s="5" t="n">
        <v>21.713512</v>
      </c>
      <c r="CZ68" s="5" t="n">
        <v>28.7467</v>
      </c>
      <c r="DA68" s="5" t="n">
        <v>25.192327</v>
      </c>
      <c r="DB68" s="5" t="n">
        <v>24.746386</v>
      </c>
      <c r="DC68" s="5" t="n">
        <v>31.328196</v>
      </c>
      <c r="DD68" s="5" t="n">
        <v>30.259939</v>
      </c>
      <c r="DE68" s="5" t="n">
        <v>27.109772</v>
      </c>
      <c r="DF68" s="5" t="n">
        <v>31.153473</v>
      </c>
      <c r="DG68" s="5" t="n">
        <v>28.103037</v>
      </c>
      <c r="DH68" s="5" t="n">
        <v>26.014025</v>
      </c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  <c r="EM68" s="5" t="n"/>
      <c r="EN68" s="5" t="n"/>
      <c r="EO68" s="5" t="n"/>
      <c r="EP68" s="5" t="n"/>
      <c r="EQ68" s="5" t="n"/>
      <c r="ER68" s="5" t="n"/>
      <c r="ES68" s="5" t="n"/>
      <c r="ET68" s="5" t="n"/>
      <c r="EU68" s="5" t="n"/>
      <c r="EV68" s="5" t="n"/>
      <c r="EW68" s="5" t="n"/>
      <c r="EX68" s="5" t="n"/>
      <c r="EY68" s="5" t="n"/>
      <c r="EZ68" s="5" t="n"/>
      <c r="FA68" s="5" t="n"/>
      <c r="FB68" s="5" t="n"/>
      <c r="FC68" s="5" t="n"/>
      <c r="FD68" s="5" t="n"/>
      <c r="FE68" s="5" t="n"/>
      <c r="FF68" s="5" t="n"/>
      <c r="FG68" s="5" t="n"/>
      <c r="FH68" s="5" t="n"/>
      <c r="FI68" s="5" t="n"/>
      <c r="FJ68" s="5" t="n"/>
      <c r="FK68" s="5" t="n"/>
      <c r="FL68" s="5" t="n"/>
      <c r="FM68" s="5" t="n"/>
      <c r="FN68" s="5" t="n"/>
      <c r="FO68" s="5" t="n"/>
      <c r="FP68" s="5" t="n"/>
      <c r="FQ68" s="5" t="n"/>
      <c r="FR68" s="5" t="n"/>
      <c r="FS68" s="5" t="n"/>
      <c r="FT68" s="5" t="n"/>
      <c r="FU68" s="5" t="n"/>
      <c r="FV68" s="5" t="n"/>
      <c r="FW68" s="5" t="n"/>
      <c r="FX68" s="5" t="n"/>
      <c r="FY68" s="5" t="n"/>
      <c r="FZ68" s="5" t="n"/>
      <c r="GA68" s="5" t="n"/>
      <c r="GB68" s="5" t="n"/>
      <c r="GC68" s="5" t="n"/>
      <c r="GD68" s="5" t="n"/>
      <c r="GE68" s="5" t="n"/>
      <c r="GF68" s="5" t="n"/>
      <c r="GG68" s="5" t="n"/>
      <c r="GH68" s="5" t="n"/>
      <c r="GI68" s="5" t="n"/>
      <c r="GJ68" s="5" t="n"/>
      <c r="GK68" s="5" t="n"/>
      <c r="GL68" s="5" t="n"/>
      <c r="GM68" s="5" t="n"/>
      <c r="GN68" s="5" t="n"/>
      <c r="GO68" s="5" t="n"/>
      <c r="GP68" s="5" t="n"/>
      <c r="GQ68" s="5" t="n"/>
      <c r="GR68" s="5" t="n"/>
      <c r="GS68" s="5" t="n"/>
      <c r="GT68" s="5" t="n"/>
      <c r="GU68" s="5" t="n"/>
      <c r="GV68" s="5" t="n"/>
      <c r="GW68" s="5" t="n"/>
      <c r="GX68" s="5" t="n"/>
      <c r="GY68" s="5" t="n"/>
    </row>
    <row r="69">
      <c r="G69" s="5" t="n"/>
      <c r="H69" s="5" t="n"/>
      <c r="I69" s="5" t="n"/>
      <c r="J69" s="5" t="n"/>
      <c r="K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  <c r="EM69" s="5" t="n"/>
      <c r="EN69" s="5" t="n"/>
      <c r="EO69" s="5" t="n"/>
      <c r="EP69" s="5" t="n"/>
      <c r="EQ69" s="5" t="n"/>
      <c r="ER69" s="5" t="n"/>
      <c r="ES69" s="5" t="n"/>
      <c r="ET69" s="5" t="n"/>
      <c r="EU69" s="5" t="n"/>
      <c r="EV69" s="5" t="n"/>
      <c r="EW69" s="5" t="n"/>
      <c r="EX69" s="5" t="n"/>
      <c r="EY69" s="5" t="n"/>
      <c r="EZ69" s="5" t="n"/>
      <c r="FA69" s="5" t="n"/>
      <c r="FB69" s="5" t="n"/>
      <c r="FC69" s="5" t="n"/>
      <c r="FD69" s="5" t="n"/>
      <c r="FE69" s="5" t="n"/>
      <c r="FF69" s="5" t="n"/>
      <c r="FG69" s="5" t="n"/>
      <c r="FH69" s="5" t="n"/>
      <c r="FI69" s="5" t="n"/>
      <c r="FJ69" s="5" t="n"/>
      <c r="FK69" s="5" t="n"/>
      <c r="FL69" s="5" t="n"/>
      <c r="FM69" s="5" t="n"/>
      <c r="FN69" s="5" t="n"/>
      <c r="FO69" s="5" t="n"/>
      <c r="FP69" s="5" t="n"/>
      <c r="FQ69" s="5" t="n"/>
      <c r="FR69" s="5" t="n"/>
      <c r="FS69" s="5" t="n"/>
      <c r="FT69" s="5" t="n"/>
      <c r="FU69" s="5" t="n"/>
      <c r="FV69" s="5" t="n"/>
      <c r="FW69" s="5" t="n"/>
      <c r="FX69" s="5" t="n"/>
      <c r="FY69" s="5" t="n"/>
      <c r="FZ69" s="5" t="n"/>
      <c r="GA69" s="5" t="n"/>
      <c r="GB69" s="5" t="n"/>
      <c r="GC69" s="5" t="n"/>
      <c r="GD69" s="5" t="n"/>
      <c r="GE69" s="5" t="n"/>
      <c r="GF69" s="5" t="n"/>
      <c r="GG69" s="5" t="n"/>
      <c r="GH69" s="5" t="n"/>
      <c r="GI69" s="5" t="n"/>
      <c r="GJ69" s="5" t="n"/>
      <c r="GK69" s="5" t="n"/>
      <c r="GL69" s="5" t="n"/>
      <c r="GM69" s="5" t="n"/>
      <c r="GN69" s="5" t="n"/>
      <c r="GO69" s="5" t="n"/>
      <c r="GP69" s="5" t="n"/>
      <c r="GQ69" s="5" t="n"/>
      <c r="GR69" s="5" t="n"/>
      <c r="GS69" s="5" t="n"/>
      <c r="GT69" s="5" t="n"/>
      <c r="GU69" s="5" t="n"/>
      <c r="GV69" s="5" t="n"/>
      <c r="GW69" s="5" t="n"/>
      <c r="GX69" s="5" t="n"/>
      <c r="GY69" s="5" t="n"/>
    </row>
    <row r="70">
      <c r="D70" t="inlineStr">
        <is>
          <t>Seq2Point</t>
        </is>
      </c>
      <c r="E70" t="inlineStr">
        <is>
          <t>MAE</t>
        </is>
      </c>
      <c r="F70">
        <f>COUNT(M70:GJ70)</f>
        <v/>
      </c>
      <c r="G70" s="5">
        <f>AVERAGE(M70:GJ70)</f>
        <v/>
      </c>
      <c r="H70" s="5">
        <f>MAX(M70:GJ70)</f>
        <v/>
      </c>
      <c r="I70" s="5">
        <f>MIN(M70:GJ70)</f>
        <v/>
      </c>
      <c r="J70" s="5">
        <f>_xlfn.STDEV.P(M70:GJ70)</f>
        <v/>
      </c>
      <c r="K70" s="5">
        <f>_xlfn.VAR.S(M70:GJ70)</f>
        <v/>
      </c>
      <c r="M70" s="5" t="n">
        <v>33.891216</v>
      </c>
      <c r="N70" s="5" t="n">
        <v>32.36879</v>
      </c>
      <c r="O70" s="5" t="n">
        <v>32.113819</v>
      </c>
      <c r="P70" s="5" t="n">
        <v>34.432571</v>
      </c>
      <c r="Q70" s="5" t="n">
        <v>33.067257</v>
      </c>
      <c r="R70" s="5" t="n">
        <v>36.397575</v>
      </c>
      <c r="S70" s="5" t="n">
        <v>28.280146</v>
      </c>
      <c r="T70" s="5" t="n">
        <v>34.235893</v>
      </c>
      <c r="U70" s="5" t="n">
        <v>29.087282</v>
      </c>
      <c r="V70" s="5" t="n">
        <v>36.626003</v>
      </c>
      <c r="W70" s="5" t="n">
        <v>37.467663</v>
      </c>
      <c r="X70" s="5" t="n">
        <v>32.951145</v>
      </c>
      <c r="Y70" s="5" t="n">
        <v>32.855099</v>
      </c>
      <c r="Z70" s="5" t="n">
        <v>29.686613</v>
      </c>
      <c r="AA70" s="5" t="n">
        <v>33.813492</v>
      </c>
      <c r="AB70" s="5" t="n">
        <v>33.477596</v>
      </c>
      <c r="AC70" s="5" t="n">
        <v>32.913944</v>
      </c>
      <c r="AD70" s="5" t="n">
        <v>29.620096</v>
      </c>
      <c r="AE70" s="5" t="n">
        <v>29.568794</v>
      </c>
      <c r="AF70" s="5" t="n">
        <v>29.117573</v>
      </c>
      <c r="AG70" s="5" t="n">
        <v>33.03672</v>
      </c>
      <c r="AH70" s="5" t="n">
        <v>30.435495</v>
      </c>
      <c r="AI70" s="5" t="n">
        <v>34.784504</v>
      </c>
      <c r="AJ70" s="5" t="n">
        <v>32.406422</v>
      </c>
      <c r="AK70" s="5" t="n">
        <v>29.177643</v>
      </c>
      <c r="AL70" s="5" t="n">
        <v>36.193821</v>
      </c>
      <c r="AM70" s="5" t="n">
        <v>30.729839</v>
      </c>
      <c r="AN70" s="5" t="n">
        <v>33.856403</v>
      </c>
      <c r="AO70" s="5" t="n">
        <v>33.61322</v>
      </c>
      <c r="AP70" s="5" t="n">
        <v>34.906528</v>
      </c>
      <c r="AQ70" s="5" t="n">
        <v>34.724133</v>
      </c>
      <c r="AR70" s="5" t="n">
        <v>31.700678</v>
      </c>
      <c r="AS70" s="5" t="n">
        <v>34.240604</v>
      </c>
      <c r="AT70" s="5" t="n">
        <v>31.131615</v>
      </c>
      <c r="AU70" s="5" t="n">
        <v>36.582737</v>
      </c>
      <c r="AV70" s="5" t="n">
        <v>33.591846</v>
      </c>
      <c r="AW70" s="5" t="n">
        <v>34.785019</v>
      </c>
      <c r="AX70" s="5" t="n">
        <v>32.554981</v>
      </c>
      <c r="AY70" s="5" t="n">
        <v>34.92728</v>
      </c>
      <c r="AZ70" s="5" t="n">
        <v>33.828918</v>
      </c>
      <c r="BA70" s="5" t="n">
        <v>31.575315</v>
      </c>
      <c r="BB70" s="5" t="n">
        <v>33.247879</v>
      </c>
      <c r="BC70" s="5" t="n">
        <v>33.910133</v>
      </c>
      <c r="BD70" s="5" t="n">
        <v>34.838314</v>
      </c>
      <c r="BE70" s="5" t="n">
        <v>34.646851</v>
      </c>
      <c r="BF70" s="5" t="n">
        <v>30.429857</v>
      </c>
      <c r="BG70" s="5" t="n">
        <v>29.871256</v>
      </c>
      <c r="BH70" s="5" t="n">
        <v>36.228085</v>
      </c>
      <c r="BI70" s="5" t="n">
        <v>31.01314</v>
      </c>
      <c r="BJ70" s="5" t="n">
        <v>28.651199</v>
      </c>
      <c r="BK70" s="5" t="n">
        <v>34.544209</v>
      </c>
      <c r="BL70" s="5" t="n">
        <v>33.23819</v>
      </c>
      <c r="BM70" s="5" t="n">
        <v>31.721733</v>
      </c>
      <c r="BN70" s="5" t="n">
        <v>32.943165</v>
      </c>
      <c r="BO70" s="5" t="n">
        <v>34.994869</v>
      </c>
      <c r="BP70" s="5" t="n">
        <v>35.347008</v>
      </c>
      <c r="BQ70" s="5" t="n">
        <v>31.696814</v>
      </c>
      <c r="BR70" s="5" t="n">
        <v>33.682667</v>
      </c>
      <c r="BS70" s="5" t="n">
        <v>29.759039</v>
      </c>
      <c r="BT70" s="5" t="n">
        <v>35.40456</v>
      </c>
      <c r="BU70" s="5" t="n">
        <v>33.007282</v>
      </c>
      <c r="BV70" s="5" t="n">
        <v>35.542706</v>
      </c>
      <c r="BW70" s="5" t="n">
        <v>33.597359</v>
      </c>
      <c r="BX70" s="5" t="n">
        <v>34.530922</v>
      </c>
      <c r="BY70" s="5" t="n">
        <v>32.425026</v>
      </c>
      <c r="BZ70" s="5" t="n">
        <v>38.906857</v>
      </c>
      <c r="CA70" s="5" t="n">
        <v>33.214272</v>
      </c>
      <c r="CB70" s="5" t="n">
        <v>31.318825</v>
      </c>
      <c r="CC70" s="5" t="n">
        <v>33.228287</v>
      </c>
      <c r="CD70" s="5" t="n">
        <v>36.10022</v>
      </c>
      <c r="CE70" s="5" t="n">
        <v>29.31996</v>
      </c>
      <c r="CF70" s="5" t="n">
        <v>31.410303</v>
      </c>
      <c r="CG70" s="5" t="n">
        <v>36.129078</v>
      </c>
      <c r="CH70" s="5" t="n">
        <v>34.123596</v>
      </c>
      <c r="CI70" s="5" t="n">
        <v>27.236876</v>
      </c>
      <c r="CJ70" s="5" t="n">
        <v>34.695457</v>
      </c>
      <c r="CK70" s="5" t="n">
        <v>33.038513</v>
      </c>
      <c r="CL70" s="5" t="n">
        <v>32.191795</v>
      </c>
      <c r="CM70" s="5" t="n">
        <v>34.271683</v>
      </c>
      <c r="CN70" s="5" t="n">
        <v>36.270187</v>
      </c>
      <c r="CO70" s="5" t="n">
        <v>33.257576</v>
      </c>
      <c r="CP70" s="5" t="n">
        <v>30.472609</v>
      </c>
      <c r="CQ70" s="5" t="n">
        <v>34.427528</v>
      </c>
      <c r="CR70" s="5" t="n">
        <v>32.497902</v>
      </c>
      <c r="CS70" s="5" t="n">
        <v>35.815762</v>
      </c>
      <c r="CT70" s="5" t="n">
        <v>32.850883</v>
      </c>
      <c r="CU70" s="5" t="n">
        <v>34.472111</v>
      </c>
      <c r="CV70" s="5" t="n">
        <v>33.17474</v>
      </c>
      <c r="CW70" s="5" t="n">
        <v>34.153656</v>
      </c>
      <c r="CX70" s="5" t="n">
        <v>33.895035</v>
      </c>
      <c r="CY70" s="5" t="n">
        <v>34.050644</v>
      </c>
      <c r="CZ70" s="5" t="n">
        <v>31.326996</v>
      </c>
      <c r="DA70" s="5" t="n">
        <v>31.540365</v>
      </c>
      <c r="DB70" s="5" t="n">
        <v>34.118416</v>
      </c>
      <c r="DC70" s="5" t="n">
        <v>34.718445</v>
      </c>
      <c r="DD70" s="5" t="n">
        <v>33.766609</v>
      </c>
      <c r="DE70" s="5" t="n">
        <v>30.906452</v>
      </c>
      <c r="DF70" s="5" t="n">
        <v>36.16058</v>
      </c>
      <c r="DG70" s="5" t="n">
        <v>33.678314</v>
      </c>
      <c r="DH70" s="5" t="n">
        <v>29.167189</v>
      </c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  <c r="EM70" s="5" t="n"/>
      <c r="EN70" s="5" t="n"/>
      <c r="EO70" s="5" t="n"/>
      <c r="EP70" s="5" t="n"/>
      <c r="EQ70" s="5" t="n"/>
      <c r="ER70" s="5" t="n"/>
      <c r="ES70" s="5" t="n"/>
      <c r="ET70" s="5" t="n"/>
      <c r="EU70" s="5" t="n"/>
      <c r="EV70" s="5" t="n"/>
      <c r="EW70" s="5" t="n"/>
      <c r="EX70" s="5" t="n"/>
      <c r="EY70" s="5" t="n"/>
      <c r="EZ70" s="5" t="n"/>
      <c r="FA70" s="5" t="n"/>
      <c r="FB70" s="5" t="n"/>
      <c r="FC70" s="5" t="n"/>
      <c r="FD70" s="5" t="n"/>
      <c r="FE70" s="5" t="n"/>
      <c r="FF70" s="5" t="n"/>
      <c r="FG70" s="5" t="n"/>
      <c r="FH70" s="5" t="n"/>
      <c r="FI70" s="5" t="n"/>
      <c r="FJ70" s="5" t="n"/>
      <c r="FK70" s="5" t="n"/>
      <c r="FL70" s="5" t="n"/>
      <c r="FM70" s="5" t="n"/>
      <c r="FN70" s="5" t="n"/>
      <c r="FO70" s="5" t="n"/>
      <c r="FP70" s="5" t="n"/>
      <c r="FQ70" s="5" t="n"/>
      <c r="FR70" s="5" t="n"/>
      <c r="FS70" s="5" t="n"/>
      <c r="FT70" s="5" t="n"/>
      <c r="FU70" s="5" t="n"/>
      <c r="FV70" s="5" t="n"/>
      <c r="FW70" s="5" t="n"/>
      <c r="FX70" s="5" t="n"/>
      <c r="FY70" s="5" t="n"/>
      <c r="FZ70" s="5" t="n"/>
      <c r="GA70" s="5" t="n"/>
      <c r="GB70" s="5" t="n"/>
      <c r="GC70" s="5" t="n"/>
      <c r="GD70" s="5" t="n"/>
      <c r="GE70" s="5" t="n"/>
      <c r="GF70" s="5" t="n"/>
      <c r="GG70" s="5" t="n"/>
      <c r="GH70" s="5" t="n"/>
      <c r="GI70" s="5" t="n"/>
      <c r="GJ70" s="5" t="n"/>
      <c r="GK70" s="5" t="n"/>
      <c r="GL70" s="5" t="n"/>
      <c r="GM70" s="5" t="n"/>
      <c r="GN70" s="5" t="n"/>
      <c r="GO70" s="5" t="n"/>
      <c r="GP70" s="5" t="n"/>
      <c r="GQ70" s="5" t="n"/>
      <c r="GR70" s="5" t="n"/>
      <c r="GS70" s="5" t="n"/>
      <c r="GT70" s="5" t="n"/>
      <c r="GU70" s="5" t="n"/>
      <c r="GV70" s="5" t="n"/>
      <c r="GW70" s="5" t="n"/>
      <c r="GX70" s="5" t="n"/>
      <c r="GY70" s="5" t="n"/>
    </row>
    <row r="71"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  <c r="EM71" s="5" t="n"/>
      <c r="EN71" s="5" t="n"/>
      <c r="EO71" s="5" t="n"/>
      <c r="EP71" s="5" t="n"/>
      <c r="EQ71" s="5" t="n"/>
      <c r="ER71" s="5" t="n"/>
      <c r="ES71" s="5" t="n"/>
      <c r="ET71" s="5" t="n"/>
      <c r="EU71" s="5" t="n"/>
      <c r="EV71" s="5" t="n"/>
      <c r="EW71" s="5" t="n"/>
      <c r="EX71" s="5" t="n"/>
      <c r="EY71" s="5" t="n"/>
      <c r="EZ71" s="5" t="n"/>
      <c r="FA71" s="5" t="n"/>
      <c r="FB71" s="5" t="n"/>
      <c r="FC71" s="5" t="n"/>
      <c r="FD71" s="5" t="n"/>
      <c r="FE71" s="5" t="n"/>
      <c r="FF71" s="5" t="n"/>
      <c r="FG71" s="5" t="n"/>
      <c r="FH71" s="5" t="n"/>
      <c r="FI71" s="5" t="n"/>
      <c r="FJ71" s="5" t="n"/>
      <c r="FK71" s="5" t="n"/>
      <c r="FL71" s="5" t="n"/>
      <c r="FM71" s="5" t="n"/>
      <c r="FN71" s="5" t="n"/>
      <c r="FO71" s="5" t="n"/>
      <c r="FP71" s="5" t="n"/>
      <c r="FQ71" s="5" t="n"/>
      <c r="FR71" s="5" t="n"/>
      <c r="FS71" s="5" t="n"/>
      <c r="FT71" s="5" t="n"/>
      <c r="FU71" s="5" t="n"/>
      <c r="FV71" s="5" t="n"/>
      <c r="FW71" s="5" t="n"/>
      <c r="FX71" s="5" t="n"/>
      <c r="FY71" s="5" t="n"/>
      <c r="FZ71" s="5" t="n"/>
      <c r="GA71" s="5" t="n"/>
      <c r="GB71" s="5" t="n"/>
      <c r="GC71" s="5" t="n"/>
      <c r="GD71" s="5" t="n"/>
      <c r="GE71" s="5" t="n"/>
      <c r="GF71" s="5" t="n"/>
      <c r="GG71" s="5" t="n"/>
      <c r="GH71" s="5" t="n"/>
      <c r="GI71" s="5" t="n"/>
      <c r="GJ71" s="5" t="n"/>
      <c r="GK71" s="5" t="n"/>
      <c r="GL71" s="5" t="n"/>
      <c r="GM71" s="5" t="n"/>
      <c r="GN71" s="5" t="n"/>
      <c r="GO71" s="5" t="n"/>
    </row>
    <row r="72"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  <c r="EM72" s="5" t="n"/>
      <c r="EN72" s="5" t="n"/>
      <c r="EO72" s="5" t="n"/>
      <c r="EP72" s="5" t="n"/>
      <c r="EQ72" s="5" t="n"/>
      <c r="ER72" s="5" t="n"/>
      <c r="ES72" s="5" t="n"/>
      <c r="ET72" s="5" t="n"/>
      <c r="EU72" s="5" t="n"/>
      <c r="EV72" s="5" t="n"/>
      <c r="EW72" s="5" t="n"/>
      <c r="EX72" s="5" t="n"/>
      <c r="EY72" s="5" t="n"/>
      <c r="EZ72" s="5" t="n"/>
      <c r="FA72" s="5" t="n"/>
      <c r="FB72" s="5" t="n"/>
      <c r="FC72" s="5" t="n"/>
      <c r="FD72" s="5" t="n"/>
      <c r="FE72" s="5" t="n"/>
      <c r="FF72" s="5" t="n"/>
      <c r="FG72" s="5" t="n"/>
      <c r="FH72" s="5" t="n"/>
      <c r="FI72" s="5" t="n"/>
      <c r="FJ72" s="5" t="n"/>
      <c r="FK72" s="5" t="n"/>
      <c r="FL72" s="5" t="n"/>
      <c r="FM72" s="5" t="n"/>
      <c r="FN72" s="5" t="n"/>
      <c r="FO72" s="5" t="n"/>
      <c r="FP72" s="5" t="n"/>
      <c r="FQ72" s="5" t="n"/>
      <c r="FR72" s="5" t="n"/>
      <c r="FS72" s="5" t="n"/>
      <c r="FT72" s="5" t="n"/>
      <c r="FU72" s="5" t="n"/>
      <c r="FV72" s="5" t="n"/>
      <c r="FW72" s="5" t="n"/>
      <c r="FX72" s="5" t="n"/>
      <c r="FY72" s="5" t="n"/>
      <c r="FZ72" s="5" t="n"/>
      <c r="GA72" s="5" t="n"/>
      <c r="GB72" s="5" t="n"/>
      <c r="GC72" s="5" t="n"/>
      <c r="GD72" s="5" t="n"/>
      <c r="GE72" s="5" t="n"/>
      <c r="GF72" s="5" t="n"/>
      <c r="GG72" s="5" t="n"/>
      <c r="GH72" s="5" t="n"/>
      <c r="GI72" s="5" t="n"/>
      <c r="GJ72" s="5" t="n"/>
      <c r="GK72" s="5" t="n"/>
      <c r="GL72" s="5" t="n"/>
      <c r="GM72" s="5" t="n"/>
      <c r="GN72" s="5" t="n"/>
      <c r="GO72" s="5" t="n"/>
    </row>
    <row r="73">
      <c r="B73" t="inlineStr">
        <is>
          <t>test_dataset.h5</t>
        </is>
      </c>
      <c r="D73" s="1" t="inlineStr">
        <is>
          <t>reale Testdaten(hh_19):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  <c r="EM73" s="5" t="n"/>
      <c r="EN73" s="5" t="n"/>
      <c r="EO73" s="5" t="n"/>
      <c r="EP73" s="5" t="n"/>
      <c r="EQ73" s="5" t="n"/>
      <c r="ER73" s="5" t="n"/>
      <c r="ES73" s="5" t="n"/>
      <c r="ET73" s="5" t="n"/>
      <c r="EU73" s="5" t="n"/>
      <c r="EV73" s="5" t="n"/>
      <c r="EW73" s="5" t="n"/>
      <c r="EX73" s="5" t="n"/>
      <c r="EY73" s="5" t="n"/>
      <c r="EZ73" s="5" t="n"/>
      <c r="FA73" s="5" t="n"/>
      <c r="FB73" s="5" t="n"/>
      <c r="FC73" s="5" t="n"/>
      <c r="FD73" s="5" t="n"/>
      <c r="FE73" s="5" t="n"/>
      <c r="FF73" s="5" t="n"/>
      <c r="FG73" s="5" t="n"/>
      <c r="FH73" s="5" t="n"/>
      <c r="FI73" s="5" t="n"/>
      <c r="FJ73" s="5" t="n"/>
      <c r="FK73" s="5" t="n"/>
      <c r="FL73" s="5" t="n"/>
      <c r="FM73" s="5" t="n"/>
      <c r="FN73" s="5" t="n"/>
      <c r="FO73" s="5" t="n"/>
      <c r="FP73" s="5" t="n"/>
      <c r="FQ73" s="5" t="n"/>
      <c r="FR73" s="5" t="n"/>
      <c r="FS73" s="5" t="n"/>
      <c r="FT73" s="5" t="n"/>
      <c r="FU73" s="5" t="n"/>
      <c r="FV73" s="5" t="n"/>
      <c r="FW73" s="5" t="n"/>
      <c r="FX73" s="5" t="n"/>
      <c r="FY73" s="5" t="n"/>
      <c r="FZ73" s="5" t="n"/>
      <c r="GA73" s="5" t="n"/>
      <c r="GB73" s="5" t="n"/>
      <c r="GC73" s="5" t="n"/>
      <c r="GD73" s="5" t="n"/>
      <c r="GE73" s="5" t="n"/>
      <c r="GF73" s="5" t="n"/>
      <c r="GG73" s="5" t="n"/>
      <c r="GH73" s="5" t="n"/>
      <c r="GI73" s="5" t="n"/>
      <c r="GJ73" s="5" t="n"/>
      <c r="GK73" s="5" t="n"/>
      <c r="GL73" s="5" t="n"/>
      <c r="GM73" s="5" t="n"/>
      <c r="GN73" s="5" t="n"/>
      <c r="GO73" s="5" t="n"/>
    </row>
    <row r="74">
      <c r="B74" s="2" t="inlineStr">
        <is>
          <t>buildings': 19</t>
        </is>
      </c>
      <c r="D74" t="inlineStr">
        <is>
          <t>RNN</t>
        </is>
      </c>
      <c r="E74" t="inlineStr">
        <is>
          <t>MAE</t>
        </is>
      </c>
      <c r="F74">
        <f>COUNT(M74:GJ74)</f>
        <v/>
      </c>
      <c r="G74" s="5">
        <f>AVERAGE(M74:GJ74)</f>
        <v/>
      </c>
      <c r="H74" s="5">
        <f>MAX(M74:GJ74)</f>
        <v/>
      </c>
      <c r="I74" s="5">
        <f>MIN(M74:GJ74)</f>
        <v/>
      </c>
      <c r="J74" s="5">
        <f>_xlfn.STDEV.P(M74:GJ74)</f>
        <v/>
      </c>
      <c r="K74" s="5">
        <f>_xlfn.VAR.S(M74:GJ74)</f>
        <v/>
      </c>
      <c r="M74" s="5" t="n">
        <v>33.963284</v>
      </c>
      <c r="N74" s="5" t="n">
        <v>32.764885</v>
      </c>
      <c r="O74" s="5" t="n">
        <v>34.894451</v>
      </c>
      <c r="P74" s="5" t="n">
        <v>34.650639</v>
      </c>
      <c r="Q74" s="5" t="n">
        <v>34.412315</v>
      </c>
      <c r="R74" s="5" t="n">
        <v>36.536449</v>
      </c>
      <c r="S74" s="5" t="n">
        <v>33.026913</v>
      </c>
      <c r="T74" s="5" t="n">
        <v>34.264194</v>
      </c>
      <c r="U74" s="5" t="n">
        <v>34.129498</v>
      </c>
      <c r="V74" s="5" t="n">
        <v>34.344345</v>
      </c>
      <c r="W74" s="5" t="n">
        <v>34.722759</v>
      </c>
      <c r="X74" s="5" t="n">
        <v>35.353706</v>
      </c>
      <c r="Y74" s="5" t="n">
        <v>34.391582</v>
      </c>
      <c r="Z74" s="5" t="n">
        <v>35.144478</v>
      </c>
      <c r="AA74" s="5" t="n">
        <v>36.937675</v>
      </c>
      <c r="AB74" s="5" t="n">
        <v>33.712482</v>
      </c>
      <c r="AC74" s="5" t="n">
        <v>33.638596</v>
      </c>
      <c r="AD74" s="5" t="n">
        <v>36.045589</v>
      </c>
      <c r="AE74" s="5" t="n">
        <v>34.215088</v>
      </c>
      <c r="AF74" s="5" t="n">
        <v>38.187901</v>
      </c>
      <c r="AG74" s="5" t="n">
        <v>35.692989</v>
      </c>
      <c r="AH74" s="5" t="n">
        <v>33.790977</v>
      </c>
      <c r="AI74" s="5" t="n">
        <v>36.370632</v>
      </c>
      <c r="AJ74" s="5" t="n">
        <v>34.720833</v>
      </c>
      <c r="AK74" s="5" t="n">
        <v>36.039402</v>
      </c>
      <c r="AL74" s="5" t="n">
        <v>33.98917</v>
      </c>
      <c r="AM74" s="5" t="n">
        <v>32.76162</v>
      </c>
      <c r="AN74" s="5" t="n">
        <v>34.979321</v>
      </c>
      <c r="AO74" s="5" t="n">
        <v>35.878773</v>
      </c>
      <c r="AP74" s="5" t="n">
        <v>33.779213</v>
      </c>
      <c r="AQ74" s="5" t="n">
        <v>34.056969</v>
      </c>
      <c r="AR74" s="5" t="n">
        <v>32.599079</v>
      </c>
      <c r="AS74" s="5" t="n">
        <v>33.891624</v>
      </c>
      <c r="AT74" s="5" t="n">
        <v>33.032902</v>
      </c>
      <c r="AU74" s="5" t="n">
        <v>32.715504</v>
      </c>
      <c r="AV74" s="5" t="n">
        <v>35.86515</v>
      </c>
      <c r="AW74" s="5" t="n">
        <v>36.393509</v>
      </c>
      <c r="AX74" s="5" t="n">
        <v>32.099152</v>
      </c>
      <c r="AY74" s="5" t="n">
        <v>33.100262</v>
      </c>
      <c r="AZ74" s="5" t="n">
        <v>36.544872</v>
      </c>
      <c r="BA74" s="5" t="n">
        <v>33.727615</v>
      </c>
      <c r="BB74" s="5" t="n">
        <v>34.393486</v>
      </c>
      <c r="BC74" s="5" t="n">
        <v>33.088356</v>
      </c>
      <c r="BD74" s="5" t="n">
        <v>33.759262</v>
      </c>
      <c r="BE74" s="5" t="n">
        <v>35.563457</v>
      </c>
      <c r="BF74" s="5" t="n">
        <v>33.810204</v>
      </c>
      <c r="BG74" s="5" t="n">
        <v>33.042488</v>
      </c>
      <c r="BH74" s="5" t="n">
        <v>34.783012</v>
      </c>
      <c r="BI74" s="5" t="n">
        <v>33.872383</v>
      </c>
      <c r="BJ74" s="5" t="n">
        <v>35.494732</v>
      </c>
      <c r="BK74" s="5" t="n">
        <v>34.976944</v>
      </c>
      <c r="BL74" s="5" t="n">
        <v>35.453613</v>
      </c>
      <c r="BM74" s="5" t="n">
        <v>38.040318</v>
      </c>
      <c r="BN74" s="5" t="n">
        <v>35.05687</v>
      </c>
      <c r="BO74" s="5" t="n">
        <v>33.252342</v>
      </c>
      <c r="BP74" s="5" t="n">
        <v>32.756107</v>
      </c>
      <c r="BQ74" s="5" t="n">
        <v>31.497778</v>
      </c>
      <c r="BR74" s="5" t="n">
        <v>33.464802</v>
      </c>
      <c r="BS74" s="5" t="n">
        <v>33.676643</v>
      </c>
      <c r="BT74" s="5" t="n">
        <v>33.458344</v>
      </c>
      <c r="BU74" s="5" t="n">
        <v>34.760422</v>
      </c>
      <c r="BV74" s="5" t="n">
        <v>35.443878</v>
      </c>
      <c r="BW74" s="5" t="n">
        <v>32.002201</v>
      </c>
      <c r="BX74" s="5" t="n">
        <v>32.912167</v>
      </c>
      <c r="BY74" s="5" t="n">
        <v>34.956608</v>
      </c>
      <c r="BZ74" s="5" t="n">
        <v>33.894375</v>
      </c>
      <c r="CA74" s="5" t="n">
        <v>34.018955</v>
      </c>
      <c r="CB74" s="5" t="n">
        <v>34.137699</v>
      </c>
      <c r="CC74" s="5" t="n">
        <v>35.269341</v>
      </c>
      <c r="CD74" s="5" t="n">
        <v>38.175224</v>
      </c>
      <c r="CE74" s="5" t="n">
        <v>33.875378</v>
      </c>
      <c r="CF74" s="5" t="n">
        <v>31.186899</v>
      </c>
      <c r="CG74" s="5" t="n">
        <v>33.757576</v>
      </c>
      <c r="CH74" s="5" t="n">
        <v>36.042988</v>
      </c>
      <c r="CI74" s="5" t="n">
        <v>35.116444</v>
      </c>
      <c r="CJ74" s="5" t="n">
        <v>36.62476</v>
      </c>
      <c r="CK74" s="5" t="n">
        <v>33.361649</v>
      </c>
      <c r="CL74" s="5" t="n">
        <v>33.475925</v>
      </c>
      <c r="CM74" s="5" t="n">
        <v>34.112949</v>
      </c>
      <c r="CN74" s="5" t="n">
        <v>34.900928</v>
      </c>
      <c r="CO74" s="5" t="n">
        <v>35.687099</v>
      </c>
      <c r="CP74" s="5" t="n">
        <v>32.594059</v>
      </c>
      <c r="CQ74" s="5" t="n">
        <v>33.478966</v>
      </c>
      <c r="CR74" s="5" t="n">
        <v>31.942308</v>
      </c>
      <c r="CS74" s="5" t="n">
        <v>34.112324</v>
      </c>
      <c r="CT74" s="5" t="n">
        <v>33.414902</v>
      </c>
      <c r="CU74" s="5" t="n">
        <v>35.667141</v>
      </c>
      <c r="CV74" s="5" t="n">
        <v>32.950382</v>
      </c>
      <c r="CW74" s="5" t="n">
        <v>33.970898</v>
      </c>
      <c r="CX74" s="5" t="n">
        <v>34.939426</v>
      </c>
      <c r="CY74" s="5" t="n">
        <v>33.072876</v>
      </c>
      <c r="CZ74" s="5" t="n">
        <v>35.449024</v>
      </c>
      <c r="DA74" s="5" t="n">
        <v>33.061787</v>
      </c>
      <c r="DB74" s="5" t="n">
        <v>35.097122</v>
      </c>
      <c r="DC74" s="5" t="n">
        <v>34.907814</v>
      </c>
      <c r="DD74" s="5" t="n">
        <v>33.535549</v>
      </c>
      <c r="DE74" s="5" t="n">
        <v>32.232582</v>
      </c>
      <c r="DF74" s="5" t="n">
        <v>35.055279</v>
      </c>
      <c r="DG74" s="5" t="n">
        <v>32.924187</v>
      </c>
      <c r="DH74" s="5" t="n">
        <v>33.527176</v>
      </c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  <c r="EM74" s="5" t="n"/>
      <c r="EN74" s="5" t="n"/>
      <c r="EO74" s="5" t="n"/>
      <c r="EP74" s="5" t="n"/>
      <c r="EQ74" s="5" t="n"/>
      <c r="ER74" s="5" t="n"/>
      <c r="ES74" s="5" t="n"/>
      <c r="ET74" s="5" t="n"/>
      <c r="EU74" s="5" t="n"/>
      <c r="EV74" s="5" t="n"/>
      <c r="EW74" s="5" t="n"/>
      <c r="EX74" s="5" t="n"/>
      <c r="EY74" s="5" t="n"/>
      <c r="EZ74" s="5" t="n"/>
      <c r="FA74" s="5" t="n"/>
      <c r="FB74" s="5" t="n"/>
      <c r="FC74" s="5" t="n"/>
      <c r="FD74" s="5" t="n"/>
      <c r="FE74" s="5" t="n"/>
      <c r="FF74" s="5" t="n"/>
      <c r="FG74" s="5" t="n"/>
      <c r="FH74" s="5" t="n"/>
      <c r="FI74" s="5" t="n"/>
      <c r="FJ74" s="5" t="n"/>
      <c r="FK74" s="5" t="n"/>
      <c r="FL74" s="5" t="n"/>
      <c r="FM74" s="5" t="n"/>
      <c r="FN74" s="5" t="n"/>
      <c r="FO74" s="5" t="n"/>
      <c r="FP74" s="5" t="n"/>
      <c r="FQ74" s="5" t="n"/>
      <c r="FR74" s="5" t="n"/>
      <c r="FS74" s="5" t="n"/>
      <c r="FT74" s="5" t="n"/>
      <c r="FU74" s="5" t="n"/>
      <c r="FV74" s="5" t="n"/>
      <c r="FW74" s="5" t="n"/>
      <c r="FX74" s="5" t="n"/>
      <c r="FY74" s="5" t="n"/>
      <c r="FZ74" s="5" t="n"/>
      <c r="GA74" s="5" t="n"/>
      <c r="GB74" s="5" t="n"/>
      <c r="GC74" s="5" t="n"/>
      <c r="GD74" s="5" t="n"/>
      <c r="GE74" s="5" t="n"/>
      <c r="GF74" s="5" t="n"/>
      <c r="GG74" s="5" t="n"/>
      <c r="GH74" s="5" t="n"/>
      <c r="GI74" s="5" t="n"/>
      <c r="GJ74" s="5" t="n"/>
      <c r="GK74" s="5" t="n"/>
      <c r="GL74" s="5" t="n"/>
      <c r="GM74" s="5" t="n"/>
      <c r="GN74" s="5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  <c r="GY74" s="5" t="n"/>
    </row>
    <row r="75">
      <c r="B75" s="2" t="inlineStr">
        <is>
          <t>start_time': '2020-03-12'</t>
        </is>
      </c>
      <c r="G75" s="5" t="n"/>
      <c r="H75" s="5" t="n"/>
      <c r="I75" s="5" t="n"/>
      <c r="J75" s="5" t="n"/>
      <c r="K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  <c r="EM75" s="5" t="n"/>
      <c r="EN75" s="5" t="n"/>
      <c r="EO75" s="5" t="n"/>
      <c r="EP75" s="5" t="n"/>
      <c r="EQ75" s="5" t="n"/>
      <c r="ER75" s="5" t="n"/>
      <c r="ES75" s="5" t="n"/>
      <c r="ET75" s="5" t="n"/>
      <c r="EU75" s="5" t="n"/>
      <c r="EV75" s="5" t="n"/>
      <c r="EW75" s="5" t="n"/>
      <c r="EX75" s="5" t="n"/>
      <c r="EY75" s="5" t="n"/>
      <c r="EZ75" s="5" t="n"/>
      <c r="FA75" s="5" t="n"/>
      <c r="FB75" s="5" t="n"/>
      <c r="FC75" s="5" t="n"/>
      <c r="FD75" s="5" t="n"/>
      <c r="FE75" s="5" t="n"/>
      <c r="FF75" s="5" t="n"/>
      <c r="FG75" s="5" t="n"/>
      <c r="FH75" s="5" t="n"/>
      <c r="FI75" s="5" t="n"/>
      <c r="FJ75" s="5" t="n"/>
      <c r="FK75" s="5" t="n"/>
      <c r="FL75" s="5" t="n"/>
      <c r="FM75" s="5" t="n"/>
      <c r="FN75" s="5" t="n"/>
      <c r="FO75" s="5" t="n"/>
      <c r="FP75" s="5" t="n"/>
      <c r="FQ75" s="5" t="n"/>
      <c r="FR75" s="5" t="n"/>
      <c r="FS75" s="5" t="n"/>
      <c r="FT75" s="5" t="n"/>
      <c r="FU75" s="5" t="n"/>
      <c r="FV75" s="5" t="n"/>
      <c r="FW75" s="5" t="n"/>
      <c r="FX75" s="5" t="n"/>
      <c r="FY75" s="5" t="n"/>
      <c r="FZ75" s="5" t="n"/>
      <c r="GA75" s="5" t="n"/>
      <c r="GB75" s="5" t="n"/>
      <c r="GC75" s="5" t="n"/>
      <c r="GD75" s="5" t="n"/>
      <c r="GE75" s="5" t="n"/>
      <c r="GF75" s="5" t="n"/>
      <c r="GG75" s="5" t="n"/>
      <c r="GH75" s="5" t="n"/>
      <c r="GI75" s="5" t="n"/>
      <c r="GJ75" s="5" t="n"/>
      <c r="GK75" s="5" t="n"/>
      <c r="GL75" s="5" t="n"/>
      <c r="GM75" s="5" t="n"/>
      <c r="GN75" s="5" t="n"/>
      <c r="GO75" s="5" t="n"/>
      <c r="GP75" s="5" t="n"/>
      <c r="GQ75" s="5" t="n"/>
      <c r="GR75" s="5" t="n"/>
      <c r="GS75" s="5" t="n"/>
      <c r="GT75" s="5" t="n"/>
      <c r="GU75" s="5" t="n"/>
      <c r="GV75" s="5" t="n"/>
      <c r="GW75" s="5" t="n"/>
      <c r="GX75" s="5" t="n"/>
      <c r="GY75" s="5" t="n"/>
    </row>
    <row r="76">
      <c r="B76" s="2" t="inlineStr">
        <is>
          <t>end_time': '2020-03-25'</t>
        </is>
      </c>
      <c r="D76" t="inlineStr">
        <is>
          <t>WindowGRU</t>
        </is>
      </c>
      <c r="E76" t="inlineStr">
        <is>
          <t>MAE</t>
        </is>
      </c>
      <c r="F76">
        <f>COUNT(M76:GJ76)</f>
        <v/>
      </c>
      <c r="G76" s="5">
        <f>AVERAGE(M76:GJ76)</f>
        <v/>
      </c>
      <c r="H76" s="5">
        <f>MAX(M76:GJ76)</f>
        <v/>
      </c>
      <c r="I76" s="5">
        <f>MIN(M76:GJ76)</f>
        <v/>
      </c>
      <c r="J76" s="5">
        <f>_xlfn.STDEV.P(M76:GJ76)</f>
        <v/>
      </c>
      <c r="K76" s="5">
        <f>_xlfn.VAR.S(M76:GJ76)</f>
        <v/>
      </c>
      <c r="M76" s="5" t="n">
        <v>31.174755</v>
      </c>
      <c r="N76" s="5" t="n">
        <v>35.742542</v>
      </c>
      <c r="O76" s="5" t="n">
        <v>32.185284</v>
      </c>
      <c r="P76" s="5" t="n">
        <v>41.217213</v>
      </c>
      <c r="Q76" s="5" t="n">
        <v>33.889549</v>
      </c>
      <c r="R76" s="5" t="n">
        <v>31.258413</v>
      </c>
      <c r="S76" s="5" t="n">
        <v>35.554893</v>
      </c>
      <c r="T76" s="5" t="n">
        <v>37.022831</v>
      </c>
      <c r="U76" s="5" t="n">
        <v>33.363815</v>
      </c>
      <c r="V76" s="5" t="n">
        <v>34.835567</v>
      </c>
      <c r="W76" s="5" t="n">
        <v>30.383362</v>
      </c>
      <c r="X76" s="5" t="n">
        <v>33.604111</v>
      </c>
      <c r="Y76" s="5" t="n">
        <v>34.839245</v>
      </c>
      <c r="Z76" s="5" t="n">
        <v>32.491989</v>
      </c>
      <c r="AA76" s="5" t="n">
        <v>36.500237</v>
      </c>
      <c r="AB76" s="5" t="n">
        <v>35.7686</v>
      </c>
      <c r="AC76" s="5" t="n">
        <v>32.619953</v>
      </c>
      <c r="AD76" s="5" t="n">
        <v>32.90221</v>
      </c>
      <c r="AE76" s="5" t="n">
        <v>36.887108</v>
      </c>
      <c r="AF76" s="5" t="n">
        <v>32.413441</v>
      </c>
      <c r="AG76" s="5" t="n">
        <v>40.929527</v>
      </c>
      <c r="AH76" s="5" t="n">
        <v>33.203125</v>
      </c>
      <c r="AI76" s="5" t="n">
        <v>36.392086</v>
      </c>
      <c r="AJ76" s="5" t="n">
        <v>33.178429</v>
      </c>
      <c r="AK76" s="5" t="n">
        <v>40.14394</v>
      </c>
      <c r="AL76" s="5" t="n">
        <v>31.63533</v>
      </c>
      <c r="AM76" s="5" t="n">
        <v>31.788542</v>
      </c>
      <c r="AN76" s="5" t="n">
        <v>33.27264</v>
      </c>
      <c r="AO76" s="5" t="n">
        <v>30.581604</v>
      </c>
      <c r="AP76" s="5" t="n">
        <v>31.107031</v>
      </c>
      <c r="AQ76" s="5" t="n">
        <v>29.238234</v>
      </c>
      <c r="AR76" s="5" t="n">
        <v>30.530254</v>
      </c>
      <c r="AS76" s="5" t="n">
        <v>28.957067</v>
      </c>
      <c r="AT76" s="5" t="n">
        <v>30.537613</v>
      </c>
      <c r="AU76" s="5" t="n">
        <v>36.985279</v>
      </c>
      <c r="AV76" s="5" t="n">
        <v>34.441765</v>
      </c>
      <c r="AW76" s="5" t="n">
        <v>34.957836</v>
      </c>
      <c r="AX76" s="5" t="n">
        <v>30.846121</v>
      </c>
      <c r="AY76" s="5" t="n">
        <v>35.833927</v>
      </c>
      <c r="AZ76" s="5" t="n">
        <v>32.708267</v>
      </c>
      <c r="BA76" s="5" t="n">
        <v>35.748718</v>
      </c>
      <c r="BB76" s="5" t="n">
        <v>30.088625</v>
      </c>
      <c r="BC76" s="5" t="n">
        <v>31.926485</v>
      </c>
      <c r="BD76" s="5" t="n">
        <v>32.844948</v>
      </c>
      <c r="BE76" s="5" t="n">
        <v>35.659397</v>
      </c>
      <c r="BF76" s="5" t="n">
        <v>38.206223</v>
      </c>
      <c r="BG76" s="5" t="n">
        <v>31.465509</v>
      </c>
      <c r="BH76" s="5" t="n">
        <v>33.739449</v>
      </c>
      <c r="BI76" s="5" t="n">
        <v>34.624043</v>
      </c>
      <c r="BJ76" s="5" t="n">
        <v>31.444269</v>
      </c>
      <c r="BK76" s="5" t="n">
        <v>32.632988</v>
      </c>
      <c r="BL76" s="5" t="n">
        <v>32.423367</v>
      </c>
      <c r="BM76" s="5" t="n">
        <v>28.961336</v>
      </c>
      <c r="BN76" s="5" t="n">
        <v>31.596048</v>
      </c>
      <c r="BO76" s="5" t="n">
        <v>28.403343</v>
      </c>
      <c r="BP76" s="5" t="n">
        <v>27.993727</v>
      </c>
      <c r="BQ76" s="5" t="n">
        <v>30.294319</v>
      </c>
      <c r="BR76" s="5" t="n">
        <v>31.891365</v>
      </c>
      <c r="BS76" s="5" t="n">
        <v>31.203354</v>
      </c>
      <c r="BT76" s="5" t="n">
        <v>32.726566</v>
      </c>
      <c r="BU76" s="5" t="n">
        <v>31.969572</v>
      </c>
      <c r="BV76" s="5" t="n">
        <v>31.389578</v>
      </c>
      <c r="BW76" s="5" t="n">
        <v>29.459906</v>
      </c>
      <c r="BX76" s="5" t="n">
        <v>33.872597</v>
      </c>
      <c r="BY76" s="5" t="n">
        <v>34.66993</v>
      </c>
      <c r="BZ76" s="5" t="n">
        <v>35.294399</v>
      </c>
      <c r="CA76" s="5" t="n">
        <v>33.247494</v>
      </c>
      <c r="CB76" s="5" t="n">
        <v>28.981823</v>
      </c>
      <c r="CC76" s="5" t="n">
        <v>28.901096</v>
      </c>
      <c r="CD76" s="5" t="n">
        <v>30.321365</v>
      </c>
      <c r="CE76" s="5" t="n">
        <v>35.44466</v>
      </c>
      <c r="CF76" s="5" t="n">
        <v>32.980068</v>
      </c>
      <c r="CG76" s="5" t="n">
        <v>34.476204</v>
      </c>
      <c r="CH76" s="5" t="n">
        <v>33.89394</v>
      </c>
      <c r="CI76" s="5" t="n">
        <v>32.971405</v>
      </c>
      <c r="CJ76" s="5" t="n">
        <v>30.893064</v>
      </c>
      <c r="CK76" s="5" t="n">
        <v>33.076023</v>
      </c>
      <c r="CL76" s="5" t="n">
        <v>32.11924</v>
      </c>
      <c r="CM76" s="5" t="n">
        <v>34.087688</v>
      </c>
      <c r="CN76" s="5" t="n">
        <v>30.560003</v>
      </c>
      <c r="CO76" s="5" t="n">
        <v>27.856195</v>
      </c>
      <c r="CP76" s="5" t="n">
        <v>29.639887</v>
      </c>
      <c r="CQ76" s="5" t="n">
        <v>28.778946</v>
      </c>
      <c r="CR76" s="5" t="n">
        <v>29.540327</v>
      </c>
      <c r="CS76" s="5" t="n">
        <v>32.514187</v>
      </c>
      <c r="CT76" s="5" t="n">
        <v>37.169781</v>
      </c>
      <c r="CU76" s="5" t="n">
        <v>28.275358</v>
      </c>
      <c r="CV76" s="5" t="n">
        <v>29.50321</v>
      </c>
      <c r="CW76" s="5" t="n">
        <v>34.448025</v>
      </c>
      <c r="CX76" s="5" t="n">
        <v>31.833851</v>
      </c>
      <c r="CY76" s="5" t="n">
        <v>32.972324</v>
      </c>
      <c r="CZ76" s="5" t="n">
        <v>30.815859</v>
      </c>
      <c r="DA76" s="5" t="n">
        <v>30.782736</v>
      </c>
      <c r="DB76" s="5" t="n">
        <v>29.292591</v>
      </c>
      <c r="DC76" s="5" t="n">
        <v>29.636013</v>
      </c>
      <c r="DD76" s="5" t="n">
        <v>34.676418</v>
      </c>
      <c r="DE76" s="5" t="n">
        <v>29.734756</v>
      </c>
      <c r="DF76" s="5" t="n">
        <v>32.120014</v>
      </c>
      <c r="DG76" s="5" t="n">
        <v>35.436096</v>
      </c>
      <c r="DH76" s="5" t="n">
        <v>33.254726</v>
      </c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  <c r="EM76" s="5" t="n"/>
      <c r="EN76" s="5" t="n"/>
      <c r="EO76" s="5" t="n"/>
      <c r="EP76" s="5" t="n"/>
      <c r="EQ76" s="5" t="n"/>
      <c r="ER76" s="5" t="n"/>
      <c r="ES76" s="5" t="n"/>
      <c r="ET76" s="5" t="n"/>
      <c r="EU76" s="5" t="n"/>
      <c r="EV76" s="5" t="n"/>
      <c r="EW76" s="5" t="n"/>
      <c r="EX76" s="5" t="n"/>
      <c r="EY76" s="5" t="n"/>
      <c r="EZ76" s="5" t="n"/>
      <c r="FA76" s="5" t="n"/>
      <c r="FB76" s="5" t="n"/>
      <c r="FC76" s="5" t="n"/>
      <c r="FD76" s="5" t="n"/>
      <c r="FE76" s="5" t="n"/>
      <c r="FF76" s="5" t="n"/>
      <c r="FG76" s="5" t="n"/>
      <c r="FH76" s="5" t="n"/>
      <c r="FI76" s="5" t="n"/>
      <c r="FJ76" s="5" t="n"/>
      <c r="FK76" s="5" t="n"/>
      <c r="FL76" s="5" t="n"/>
      <c r="FM76" s="5" t="n"/>
      <c r="FN76" s="5" t="n"/>
      <c r="FO76" s="5" t="n"/>
      <c r="FP76" s="5" t="n"/>
      <c r="FQ76" s="5" t="n"/>
      <c r="FR76" s="5" t="n"/>
      <c r="FS76" s="5" t="n"/>
      <c r="FT76" s="5" t="n"/>
      <c r="FU76" s="5" t="n"/>
      <c r="FV76" s="5" t="n"/>
      <c r="FW76" s="5" t="n"/>
      <c r="FX76" s="5" t="n"/>
      <c r="FY76" s="5" t="n"/>
      <c r="FZ76" s="5" t="n"/>
      <c r="GA76" s="5" t="n"/>
      <c r="GB76" s="5" t="n"/>
      <c r="GC76" s="5" t="n"/>
      <c r="GD76" s="5" t="n"/>
      <c r="GE76" s="5" t="n"/>
      <c r="GF76" s="5" t="n"/>
      <c r="GG76" s="5" t="n"/>
      <c r="GH76" s="5" t="n"/>
      <c r="GI76" s="5" t="n"/>
      <c r="GJ76" s="5" t="n"/>
      <c r="GK76" s="5" t="n"/>
      <c r="GL76" s="5" t="n"/>
      <c r="GM76" s="5" t="n"/>
      <c r="GN76" s="5" t="n"/>
      <c r="GO76" s="5" t="n"/>
      <c r="GP76" s="5" t="n"/>
      <c r="GQ76" s="5" t="n"/>
      <c r="GR76" s="5" t="n"/>
      <c r="GS76" s="5" t="n"/>
      <c r="GT76" s="5" t="n"/>
      <c r="GU76" s="5" t="n"/>
      <c r="GV76" s="5" t="n"/>
      <c r="GW76" s="5" t="n"/>
      <c r="GX76" s="5" t="n"/>
      <c r="GY76" s="5" t="n"/>
    </row>
    <row r="77">
      <c r="G77" s="5" t="n"/>
      <c r="H77" s="5" t="n"/>
      <c r="I77" s="5" t="n"/>
      <c r="J77" s="5" t="n"/>
      <c r="K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  <c r="EM77" s="5" t="n"/>
      <c r="EN77" s="5" t="n"/>
      <c r="EO77" s="5" t="n"/>
      <c r="EP77" s="5" t="n"/>
      <c r="EQ77" s="5" t="n"/>
      <c r="ER77" s="5" t="n"/>
      <c r="ES77" s="5" t="n"/>
      <c r="ET77" s="5" t="n"/>
      <c r="EU77" s="5" t="n"/>
      <c r="EV77" s="5" t="n"/>
      <c r="EW77" s="5" t="n"/>
      <c r="EX77" s="5" t="n"/>
      <c r="EY77" s="5" t="n"/>
      <c r="EZ77" s="5" t="n"/>
      <c r="FA77" s="5" t="n"/>
      <c r="FB77" s="5" t="n"/>
      <c r="FC77" s="5" t="n"/>
      <c r="FD77" s="5" t="n"/>
      <c r="FE77" s="5" t="n"/>
      <c r="FF77" s="5" t="n"/>
      <c r="FG77" s="5" t="n"/>
      <c r="FH77" s="5" t="n"/>
      <c r="FI77" s="5" t="n"/>
      <c r="FJ77" s="5" t="n"/>
      <c r="FK77" s="5" t="n"/>
      <c r="FL77" s="5" t="n"/>
      <c r="FM77" s="5" t="n"/>
      <c r="FN77" s="5" t="n"/>
      <c r="FO77" s="5" t="n"/>
      <c r="FP77" s="5" t="n"/>
      <c r="FQ77" s="5" t="n"/>
      <c r="FR77" s="5" t="n"/>
      <c r="FS77" s="5" t="n"/>
      <c r="FT77" s="5" t="n"/>
      <c r="FU77" s="5" t="n"/>
      <c r="FV77" s="5" t="n"/>
      <c r="FW77" s="5" t="n"/>
      <c r="FX77" s="5" t="n"/>
      <c r="FY77" s="5" t="n"/>
      <c r="FZ77" s="5" t="n"/>
      <c r="GA77" s="5" t="n"/>
      <c r="GB77" s="5" t="n"/>
      <c r="GC77" s="5" t="n"/>
      <c r="GD77" s="5" t="n"/>
      <c r="GE77" s="5" t="n"/>
      <c r="GF77" s="5" t="n"/>
      <c r="GG77" s="5" t="n"/>
      <c r="GH77" s="5" t="n"/>
      <c r="GI77" s="5" t="n"/>
      <c r="GJ77" s="5" t="n"/>
      <c r="GK77" s="5" t="n"/>
      <c r="GL77" s="5" t="n"/>
      <c r="GM77" s="5" t="n"/>
      <c r="GN77" s="5" t="n"/>
      <c r="GO77" s="5" t="n"/>
      <c r="GP77" s="5" t="n"/>
      <c r="GQ77" s="5" t="n"/>
      <c r="GR77" s="5" t="n"/>
      <c r="GS77" s="5" t="n"/>
      <c r="GT77" s="5" t="n"/>
      <c r="GU77" s="5" t="n"/>
      <c r="GV77" s="5" t="n"/>
      <c r="GW77" s="5" t="n"/>
      <c r="GX77" s="5" t="n"/>
      <c r="GY77" s="5" t="n"/>
    </row>
    <row r="78">
      <c r="D78" t="inlineStr">
        <is>
          <t>DAE</t>
        </is>
      </c>
      <c r="E78" t="inlineStr">
        <is>
          <t>MAE</t>
        </is>
      </c>
      <c r="F78">
        <f>COUNT(M78:GJ78)</f>
        <v/>
      </c>
      <c r="G78" s="5">
        <f>AVERAGE(M78:GJ78)</f>
        <v/>
      </c>
      <c r="H78" s="5">
        <f>MAX(M78:GJ78)</f>
        <v/>
      </c>
      <c r="I78" s="5">
        <f>MIN(M78:GJ78)</f>
        <v/>
      </c>
      <c r="J78" s="5">
        <f>_xlfn.STDEV.P(M78:GJ78)</f>
        <v/>
      </c>
      <c r="K78" s="5">
        <f>_xlfn.VAR.S(M78:GJ78)</f>
        <v/>
      </c>
      <c r="M78" s="5" t="n">
        <v>36.576416</v>
      </c>
      <c r="N78" s="5" t="n">
        <v>42.07938</v>
      </c>
      <c r="O78" s="5" t="n">
        <v>39.074329</v>
      </c>
      <c r="P78" s="5" t="n">
        <v>38.623962</v>
      </c>
      <c r="Q78" s="5" t="n">
        <v>45.596748</v>
      </c>
      <c r="R78" s="5" t="n">
        <v>38.771881</v>
      </c>
      <c r="S78" s="5" t="n">
        <v>41.047832</v>
      </c>
      <c r="T78" s="5" t="n">
        <v>37.302265</v>
      </c>
      <c r="U78" s="5" t="n">
        <v>39.430897</v>
      </c>
      <c r="V78" s="5" t="n">
        <v>37.639389</v>
      </c>
      <c r="W78" s="5" t="n">
        <v>44.026745</v>
      </c>
      <c r="X78" s="5" t="n">
        <v>41.149521</v>
      </c>
      <c r="Y78" s="5" t="n">
        <v>38.37326</v>
      </c>
      <c r="Z78" s="5" t="n">
        <v>38.151943</v>
      </c>
      <c r="AA78" s="5" t="n">
        <v>38.739834</v>
      </c>
      <c r="AB78" s="5" t="n">
        <v>42.337719</v>
      </c>
      <c r="AC78" s="5" t="n">
        <v>39.009251</v>
      </c>
      <c r="AD78" s="5" t="n">
        <v>38.786682</v>
      </c>
      <c r="AE78" s="5" t="n">
        <v>39.319294</v>
      </c>
      <c r="AF78" s="5" t="n">
        <v>38.744614</v>
      </c>
      <c r="AG78" s="5" t="n">
        <v>40.407646</v>
      </c>
      <c r="AH78" s="5" t="n">
        <v>42.100483</v>
      </c>
      <c r="AI78" s="5" t="n">
        <v>37.940971</v>
      </c>
      <c r="AJ78" s="5" t="n">
        <v>41.326061</v>
      </c>
      <c r="AK78" s="5" t="n">
        <v>39.6847</v>
      </c>
      <c r="AL78" s="5" t="n">
        <v>38.316372</v>
      </c>
      <c r="AM78" s="5" t="n">
        <v>40.953972</v>
      </c>
      <c r="AN78" s="5" t="n">
        <v>38.617035</v>
      </c>
      <c r="AO78" s="5" t="n">
        <v>38.300991</v>
      </c>
      <c r="AP78" s="5" t="n">
        <v>43.075222</v>
      </c>
      <c r="AQ78" s="5" t="n">
        <v>37.180927</v>
      </c>
      <c r="AR78" s="5" t="n">
        <v>40.575832</v>
      </c>
      <c r="AS78" s="5" t="n">
        <v>37.055538</v>
      </c>
      <c r="AT78" s="5" t="n">
        <v>41.978371</v>
      </c>
      <c r="AU78" s="5" t="n">
        <v>36.960083</v>
      </c>
      <c r="AV78" s="5" t="n">
        <v>42.714619</v>
      </c>
      <c r="AW78" s="5" t="n">
        <v>40.554585</v>
      </c>
      <c r="AX78" s="5" t="n">
        <v>40.735611</v>
      </c>
      <c r="AY78" s="5" t="n">
        <v>39.401672</v>
      </c>
      <c r="AZ78" s="5" t="n">
        <v>38.831856</v>
      </c>
      <c r="BA78" s="5" t="n">
        <v>39.467682</v>
      </c>
      <c r="BB78" s="5" t="n">
        <v>37.435169</v>
      </c>
      <c r="BC78" s="5" t="n">
        <v>40.404453</v>
      </c>
      <c r="BD78" s="5" t="n">
        <v>37.419388</v>
      </c>
      <c r="BE78" s="5" t="n">
        <v>39.68605</v>
      </c>
      <c r="BF78" s="5" t="n">
        <v>39.003407</v>
      </c>
      <c r="BG78" s="5" t="n">
        <v>42.39925</v>
      </c>
      <c r="BH78" s="5" t="n">
        <v>37.482403</v>
      </c>
      <c r="BI78" s="5" t="n">
        <v>42.217846</v>
      </c>
      <c r="BJ78" s="5" t="n">
        <v>36.900204</v>
      </c>
      <c r="BK78" s="5" t="n">
        <v>36.021553</v>
      </c>
      <c r="BL78" s="5" t="n">
        <v>42.137608</v>
      </c>
      <c r="BM78" s="5" t="n">
        <v>39.740162</v>
      </c>
      <c r="BN78" s="5" t="n">
        <v>39.105923</v>
      </c>
      <c r="BO78" s="5" t="n">
        <v>45.179348</v>
      </c>
      <c r="BP78" s="5" t="n">
        <v>35.046062</v>
      </c>
      <c r="BQ78" s="5" t="n">
        <v>41.355751</v>
      </c>
      <c r="BR78" s="5" t="n">
        <v>35.287659</v>
      </c>
      <c r="BS78" s="5" t="n">
        <v>41.763378</v>
      </c>
      <c r="BT78" s="5" t="n">
        <v>38.267262</v>
      </c>
      <c r="BU78" s="5" t="n">
        <v>42.903034</v>
      </c>
      <c r="BV78" s="5" t="n">
        <v>40.186958</v>
      </c>
      <c r="BW78" s="5" t="n">
        <v>41.191776</v>
      </c>
      <c r="BX78" s="5" t="n">
        <v>41.131611</v>
      </c>
      <c r="BY78" s="5" t="n">
        <v>39.535267</v>
      </c>
      <c r="BZ78" s="5" t="n">
        <v>43.405235</v>
      </c>
      <c r="CA78" s="5" t="n">
        <v>41.838223</v>
      </c>
      <c r="CB78" s="5" t="n">
        <v>41.960342</v>
      </c>
      <c r="CC78" s="5" t="n">
        <v>37.884777</v>
      </c>
      <c r="CD78" s="5" t="n">
        <v>42.044857</v>
      </c>
      <c r="CE78" s="5" t="n">
        <v>39.655121</v>
      </c>
      <c r="CF78" s="5" t="n">
        <v>41.790733</v>
      </c>
      <c r="CG78" s="5" t="n">
        <v>39.074566</v>
      </c>
      <c r="CH78" s="5" t="n">
        <v>40.623665</v>
      </c>
      <c r="CI78" s="5" t="n">
        <v>37.17223</v>
      </c>
      <c r="CJ78" s="5" t="n">
        <v>38.654129</v>
      </c>
      <c r="CK78" s="5" t="n">
        <v>41.284515</v>
      </c>
      <c r="CL78" s="5" t="n">
        <v>41.851402</v>
      </c>
      <c r="CM78" s="5" t="n">
        <v>40.372807</v>
      </c>
      <c r="CN78" s="5" t="n">
        <v>44.047592</v>
      </c>
      <c r="CO78" s="5" t="n">
        <v>37.945297</v>
      </c>
      <c r="CP78" s="5" t="n">
        <v>41.507904</v>
      </c>
      <c r="CQ78" s="5" t="n">
        <v>37.197071</v>
      </c>
      <c r="CR78" s="5" t="n">
        <v>39.413795</v>
      </c>
      <c r="CS78" s="5" t="n">
        <v>43.881119</v>
      </c>
      <c r="CT78" s="5" t="n">
        <v>40.725056</v>
      </c>
      <c r="CU78" s="5" t="n">
        <v>40.89497</v>
      </c>
      <c r="CV78" s="5" t="n">
        <v>40.667618</v>
      </c>
      <c r="CW78" s="5" t="n">
        <v>38.994869</v>
      </c>
      <c r="CX78" s="5" t="n">
        <v>41.450272</v>
      </c>
      <c r="CY78" s="5" t="n">
        <v>40.535309</v>
      </c>
      <c r="CZ78" s="5" t="n">
        <v>38.41238</v>
      </c>
      <c r="DA78" s="5" t="n">
        <v>40.457962</v>
      </c>
      <c r="DB78" s="5" t="n">
        <v>39.472149</v>
      </c>
      <c r="DC78" s="5" t="n">
        <v>40.617264</v>
      </c>
      <c r="DD78" s="5" t="n">
        <v>39.452553</v>
      </c>
      <c r="DE78" s="5" t="n">
        <v>46.338234</v>
      </c>
      <c r="DF78" s="5" t="n">
        <v>39.345966</v>
      </c>
      <c r="DG78" s="5" t="n">
        <v>41.327682</v>
      </c>
      <c r="DH78" s="5" t="n">
        <v>37.827244</v>
      </c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  <c r="EM78" s="5" t="n"/>
      <c r="EN78" s="5" t="n"/>
      <c r="EO78" s="5" t="n"/>
      <c r="EP78" s="5" t="n"/>
      <c r="EQ78" s="5" t="n"/>
      <c r="ER78" s="5" t="n"/>
      <c r="ES78" s="5" t="n"/>
      <c r="ET78" s="5" t="n"/>
      <c r="EU78" s="5" t="n"/>
      <c r="EV78" s="5" t="n"/>
      <c r="EW78" s="5" t="n"/>
      <c r="EX78" s="5" t="n"/>
      <c r="EY78" s="5" t="n"/>
      <c r="EZ78" s="5" t="n"/>
      <c r="FA78" s="5" t="n"/>
      <c r="FB78" s="5" t="n"/>
      <c r="FC78" s="5" t="n"/>
      <c r="FD78" s="5" t="n"/>
      <c r="FE78" s="5" t="n"/>
      <c r="FF78" s="5" t="n"/>
      <c r="FG78" s="5" t="n"/>
      <c r="FH78" s="5" t="n"/>
      <c r="FI78" s="5" t="n"/>
      <c r="FJ78" s="5" t="n"/>
      <c r="FK78" s="5" t="n"/>
      <c r="FL78" s="5" t="n"/>
      <c r="FM78" s="5" t="n"/>
      <c r="FN78" s="5" t="n"/>
      <c r="FO78" s="5" t="n"/>
      <c r="FP78" s="5" t="n"/>
      <c r="FQ78" s="5" t="n"/>
      <c r="FR78" s="5" t="n"/>
      <c r="FS78" s="5" t="n"/>
      <c r="FT78" s="5" t="n"/>
      <c r="FU78" s="5" t="n"/>
      <c r="FV78" s="5" t="n"/>
      <c r="FW78" s="5" t="n"/>
      <c r="FX78" s="5" t="n"/>
      <c r="FY78" s="5" t="n"/>
      <c r="FZ78" s="5" t="n"/>
      <c r="GA78" s="5" t="n"/>
      <c r="GB78" s="5" t="n"/>
      <c r="GC78" s="5" t="n"/>
      <c r="GD78" s="5" t="n"/>
      <c r="GE78" s="5" t="n"/>
      <c r="GF78" s="5" t="n"/>
      <c r="GG78" s="5" t="n"/>
      <c r="GH78" s="5" t="n"/>
      <c r="GI78" s="5" t="n"/>
      <c r="GJ78" s="5" t="n"/>
      <c r="GK78" s="5" t="n"/>
      <c r="GL78" s="5" t="n"/>
      <c r="GM78" s="5" t="n"/>
      <c r="GN78" s="5" t="n"/>
      <c r="GO78" s="5" t="n"/>
      <c r="GP78" s="5" t="n"/>
      <c r="GQ78" s="5" t="n"/>
      <c r="GR78" s="5" t="n"/>
      <c r="GS78" s="5" t="n"/>
      <c r="GT78" s="5" t="n"/>
      <c r="GU78" s="5" t="n"/>
      <c r="GV78" s="5" t="n"/>
      <c r="GW78" s="5" t="n"/>
      <c r="GX78" s="5" t="n"/>
      <c r="GY78" s="5" t="n"/>
    </row>
    <row r="79">
      <c r="G79" s="5" t="n"/>
      <c r="H79" s="5" t="n"/>
      <c r="I79" s="5" t="n"/>
      <c r="J79" s="5" t="n"/>
      <c r="K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  <c r="EM79" s="5" t="n"/>
      <c r="EN79" s="5" t="n"/>
      <c r="EO79" s="5" t="n"/>
      <c r="EP79" s="5" t="n"/>
      <c r="EQ79" s="5" t="n"/>
      <c r="ER79" s="5" t="n"/>
      <c r="ES79" s="5" t="n"/>
      <c r="ET79" s="5" t="n"/>
      <c r="EU79" s="5" t="n"/>
      <c r="EV79" s="5" t="n"/>
      <c r="EW79" s="5" t="n"/>
      <c r="EX79" s="5" t="n"/>
      <c r="EY79" s="5" t="n"/>
      <c r="EZ79" s="5" t="n"/>
      <c r="FA79" s="5" t="n"/>
      <c r="FB79" s="5" t="n"/>
      <c r="FC79" s="5" t="n"/>
      <c r="FD79" s="5" t="n"/>
      <c r="FE79" s="5" t="n"/>
      <c r="FF79" s="5" t="n"/>
      <c r="FG79" s="5" t="n"/>
      <c r="FH79" s="5" t="n"/>
      <c r="FI79" s="5" t="n"/>
      <c r="FJ79" s="5" t="n"/>
      <c r="FK79" s="5" t="n"/>
      <c r="FL79" s="5" t="n"/>
      <c r="FM79" s="5" t="n"/>
      <c r="FN79" s="5" t="n"/>
      <c r="FO79" s="5" t="n"/>
      <c r="FP79" s="5" t="n"/>
      <c r="FQ79" s="5" t="n"/>
      <c r="FR79" s="5" t="n"/>
      <c r="FS79" s="5" t="n"/>
      <c r="FT79" s="5" t="n"/>
      <c r="FU79" s="5" t="n"/>
      <c r="FV79" s="5" t="n"/>
      <c r="FW79" s="5" t="n"/>
      <c r="FX79" s="5" t="n"/>
      <c r="FY79" s="5" t="n"/>
      <c r="FZ79" s="5" t="n"/>
      <c r="GA79" s="5" t="n"/>
      <c r="GB79" s="5" t="n"/>
      <c r="GC79" s="5" t="n"/>
      <c r="GD79" s="5" t="n"/>
      <c r="GE79" s="5" t="n"/>
      <c r="GF79" s="5" t="n"/>
      <c r="GG79" s="5" t="n"/>
      <c r="GH79" s="5" t="n"/>
      <c r="GI79" s="5" t="n"/>
      <c r="GJ79" s="5" t="n"/>
      <c r="GK79" s="5" t="n"/>
      <c r="GL79" s="5" t="n"/>
      <c r="GM79" s="5" t="n"/>
      <c r="GN79" s="5" t="n"/>
      <c r="GO79" s="5" t="n"/>
      <c r="GP79" s="5" t="n"/>
      <c r="GQ79" s="5" t="n"/>
      <c r="GR79" s="5" t="n"/>
      <c r="GS79" s="5" t="n"/>
      <c r="GT79" s="5" t="n"/>
      <c r="GU79" s="5" t="n"/>
      <c r="GV79" s="5" t="n"/>
      <c r="GW79" s="5" t="n"/>
      <c r="GX79" s="5" t="n"/>
      <c r="GY79" s="5" t="n"/>
    </row>
    <row r="80">
      <c r="D80" t="inlineStr">
        <is>
          <t>Seq2Seq</t>
        </is>
      </c>
      <c r="E80" t="inlineStr">
        <is>
          <t>MAE</t>
        </is>
      </c>
      <c r="F80">
        <f>COUNT(M80:GJ80)</f>
        <v/>
      </c>
      <c r="G80" s="5">
        <f>AVERAGE(M80:GJ80)</f>
        <v/>
      </c>
      <c r="H80" s="5">
        <f>MAX(M80:GJ80)</f>
        <v/>
      </c>
      <c r="I80" s="5">
        <f>MIN(M80:GJ80)</f>
        <v/>
      </c>
      <c r="J80" s="5">
        <f>_xlfn.STDEV.P(M80:GJ80)</f>
        <v/>
      </c>
      <c r="K80" s="5">
        <f>_xlfn.VAR.S(M80:GJ80)</f>
        <v/>
      </c>
      <c r="M80" s="5" t="n">
        <v>32.485527</v>
      </c>
      <c r="N80" s="5" t="n">
        <v>32.991184</v>
      </c>
      <c r="O80" s="5" t="n">
        <v>32.476261</v>
      </c>
      <c r="P80" s="5" t="n">
        <v>33.241337</v>
      </c>
      <c r="Q80" s="5" t="n">
        <v>33.074036</v>
      </c>
      <c r="R80" s="5" t="n">
        <v>34.1026</v>
      </c>
      <c r="S80" s="5" t="n">
        <v>30.151125</v>
      </c>
      <c r="T80" s="5" t="n">
        <v>32.994568</v>
      </c>
      <c r="U80" s="5" t="n">
        <v>33.438042</v>
      </c>
      <c r="V80" s="5" t="n">
        <v>33.007977</v>
      </c>
      <c r="W80" s="5" t="n">
        <v>35.492886</v>
      </c>
      <c r="X80" s="5" t="n">
        <v>31.510118</v>
      </c>
      <c r="Y80" s="5" t="n">
        <v>33.016266</v>
      </c>
      <c r="Z80" s="5" t="n">
        <v>32.539791</v>
      </c>
      <c r="AA80" s="5" t="n">
        <v>34.531857</v>
      </c>
      <c r="AB80" s="5" t="n">
        <v>37.150757</v>
      </c>
      <c r="AC80" s="5" t="n">
        <v>35.106075</v>
      </c>
      <c r="AD80" s="5" t="n">
        <v>33.936684</v>
      </c>
      <c r="AE80" s="5" t="n">
        <v>33.590591</v>
      </c>
      <c r="AF80" s="5" t="n">
        <v>33.216862</v>
      </c>
      <c r="AG80" s="5" t="n">
        <v>31.759203</v>
      </c>
      <c r="AH80" s="5" t="n">
        <v>33.881073</v>
      </c>
      <c r="AI80" s="5" t="n">
        <v>30.640249</v>
      </c>
      <c r="AJ80" s="5" t="n">
        <v>35.845573</v>
      </c>
      <c r="AK80" s="5" t="n">
        <v>33.237385</v>
      </c>
      <c r="AL80" s="5" t="n">
        <v>32.34581</v>
      </c>
      <c r="AM80" s="5" t="n">
        <v>32.714867</v>
      </c>
      <c r="AN80" s="5" t="n">
        <v>31.413887</v>
      </c>
      <c r="AO80" s="5" t="n">
        <v>32.650749</v>
      </c>
      <c r="AP80" s="5" t="n">
        <v>33.275494</v>
      </c>
      <c r="AQ80" s="5" t="n">
        <v>34.328293</v>
      </c>
      <c r="AR80" s="5" t="n">
        <v>30.490143</v>
      </c>
      <c r="AS80" s="5" t="n">
        <v>32.802814</v>
      </c>
      <c r="AT80" s="5" t="n">
        <v>37.991299</v>
      </c>
      <c r="AU80" s="5" t="n">
        <v>33.220291</v>
      </c>
      <c r="AV80" s="5" t="n">
        <v>32.76384</v>
      </c>
      <c r="AW80" s="5" t="n">
        <v>33.656181</v>
      </c>
      <c r="AX80" s="5" t="n">
        <v>33.361256</v>
      </c>
      <c r="AY80" s="5" t="n">
        <v>30.657524</v>
      </c>
      <c r="AZ80" s="5" t="n">
        <v>34.31916</v>
      </c>
      <c r="BA80" s="5" t="n">
        <v>38.236439</v>
      </c>
      <c r="BB80" s="5" t="n">
        <v>34.326424</v>
      </c>
      <c r="BC80" s="5" t="n">
        <v>34.473511</v>
      </c>
      <c r="BD80" s="5" t="n">
        <v>31.171476</v>
      </c>
      <c r="BE80" s="5" t="n">
        <v>35.998779</v>
      </c>
      <c r="BF80" s="5" t="n">
        <v>32.913586</v>
      </c>
      <c r="BG80" s="5" t="n">
        <v>33.429291</v>
      </c>
      <c r="BH80" s="5" t="n">
        <v>30.130898</v>
      </c>
      <c r="BI80" s="5" t="n">
        <v>32.145027</v>
      </c>
      <c r="BJ80" s="5" t="n">
        <v>31.631933</v>
      </c>
      <c r="BK80" s="5" t="n">
        <v>32.277378</v>
      </c>
      <c r="BL80" s="5" t="n">
        <v>32.459129</v>
      </c>
      <c r="BM80" s="5" t="n">
        <v>29.809202</v>
      </c>
      <c r="BN80" s="5" t="n">
        <v>31.310493</v>
      </c>
      <c r="BO80" s="5" t="n">
        <v>32.822002</v>
      </c>
      <c r="BP80" s="5" t="n">
        <v>34.616219</v>
      </c>
      <c r="BQ80" s="5" t="n">
        <v>30.050694</v>
      </c>
      <c r="BR80" s="5" t="n">
        <v>32.203018</v>
      </c>
      <c r="BS80" s="5" t="n">
        <v>32.870419</v>
      </c>
      <c r="BT80" s="5" t="n">
        <v>32.73666</v>
      </c>
      <c r="BU80" s="5" t="n">
        <v>35.013245</v>
      </c>
      <c r="BV80" s="5" t="n">
        <v>35.250782</v>
      </c>
      <c r="BW80" s="5" t="n">
        <v>33.338535</v>
      </c>
      <c r="BX80" s="5" t="n">
        <v>31.2423</v>
      </c>
      <c r="BY80" s="5" t="n">
        <v>32.670158</v>
      </c>
      <c r="BZ80" s="5" t="n">
        <v>33.462162</v>
      </c>
      <c r="CA80" s="5" t="n">
        <v>32.97224</v>
      </c>
      <c r="CB80" s="5" t="n">
        <v>36.45631</v>
      </c>
      <c r="CC80" s="5" t="n">
        <v>33.835869</v>
      </c>
      <c r="CD80" s="5" t="n">
        <v>32.191921</v>
      </c>
      <c r="CE80" s="5" t="n">
        <v>29.827805</v>
      </c>
      <c r="CF80" s="5" t="n">
        <v>31.849497</v>
      </c>
      <c r="CG80" s="5" t="n">
        <v>31.41581</v>
      </c>
      <c r="CH80" s="5" t="n">
        <v>31.223722</v>
      </c>
      <c r="CI80" s="5" t="n">
        <v>31.318134</v>
      </c>
      <c r="CJ80" s="5" t="n">
        <v>32.580578</v>
      </c>
      <c r="CK80" s="5" t="n">
        <v>32.493416</v>
      </c>
      <c r="CL80" s="5" t="n">
        <v>31.867632</v>
      </c>
      <c r="CM80" s="5" t="n">
        <v>31.535334</v>
      </c>
      <c r="CN80" s="5" t="n">
        <v>31.145977</v>
      </c>
      <c r="CO80" s="5" t="n">
        <v>34.444351</v>
      </c>
      <c r="CP80" s="5" t="n">
        <v>31.105234</v>
      </c>
      <c r="CQ80" s="5" t="n">
        <v>31.334198</v>
      </c>
      <c r="CR80" s="5" t="n">
        <v>36.811504</v>
      </c>
      <c r="CS80" s="5" t="n">
        <v>32.96553</v>
      </c>
      <c r="CT80" s="5" t="n">
        <v>32.575886</v>
      </c>
      <c r="CU80" s="5" t="n">
        <v>33.263428</v>
      </c>
      <c r="CV80" s="5" t="n">
        <v>32.520927</v>
      </c>
      <c r="CW80" s="5" t="n">
        <v>32.951881</v>
      </c>
      <c r="CX80" s="5" t="n">
        <v>34.551914</v>
      </c>
      <c r="CY80" s="5" t="n">
        <v>35.223511</v>
      </c>
      <c r="CZ80" s="5" t="n">
        <v>31.002151</v>
      </c>
      <c r="DA80" s="5" t="n">
        <v>35.432999</v>
      </c>
      <c r="DB80" s="5" t="n">
        <v>33.090263</v>
      </c>
      <c r="DC80" s="5" t="n">
        <v>31.570408</v>
      </c>
      <c r="DD80" s="5" t="n">
        <v>31.80727</v>
      </c>
      <c r="DE80" s="5" t="n">
        <v>32.555344</v>
      </c>
      <c r="DF80" s="5" t="n">
        <v>29.946819</v>
      </c>
      <c r="DG80" s="5" t="n">
        <v>32.537621</v>
      </c>
      <c r="DH80" s="5" t="n">
        <v>33.169647</v>
      </c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  <c r="EM80" s="5" t="n"/>
      <c r="EN80" s="5" t="n"/>
      <c r="EO80" s="5" t="n"/>
      <c r="EP80" s="5" t="n"/>
      <c r="EQ80" s="5" t="n"/>
      <c r="ER80" s="5" t="n"/>
      <c r="ES80" s="5" t="n"/>
      <c r="ET80" s="5" t="n"/>
      <c r="EU80" s="5" t="n"/>
      <c r="EV80" s="5" t="n"/>
      <c r="EW80" s="5" t="n"/>
      <c r="EX80" s="5" t="n"/>
      <c r="EY80" s="5" t="n"/>
      <c r="EZ80" s="5" t="n"/>
      <c r="FA80" s="5" t="n"/>
      <c r="FB80" s="5" t="n"/>
      <c r="FC80" s="5" t="n"/>
      <c r="FD80" s="5" t="n"/>
      <c r="FE80" s="5" t="n"/>
      <c r="FF80" s="5" t="n"/>
      <c r="FG80" s="5" t="n"/>
      <c r="FH80" s="5" t="n"/>
      <c r="FI80" s="5" t="n"/>
      <c r="FJ80" s="5" t="n"/>
      <c r="FK80" s="5" t="n"/>
      <c r="FL80" s="5" t="n"/>
      <c r="FM80" s="5" t="n"/>
      <c r="FN80" s="5" t="n"/>
      <c r="FO80" s="5" t="n"/>
      <c r="FP80" s="5" t="n"/>
      <c r="FQ80" s="5" t="n"/>
      <c r="FR80" s="5" t="n"/>
      <c r="FS80" s="5" t="n"/>
      <c r="FT80" s="5" t="n"/>
      <c r="FU80" s="5" t="n"/>
      <c r="FV80" s="5" t="n"/>
      <c r="FW80" s="5" t="n"/>
      <c r="FX80" s="5" t="n"/>
      <c r="FY80" s="5" t="n"/>
      <c r="FZ80" s="5" t="n"/>
      <c r="GA80" s="5" t="n"/>
      <c r="GB80" s="5" t="n"/>
      <c r="GC80" s="5" t="n"/>
      <c r="GD80" s="5" t="n"/>
      <c r="GE80" s="5" t="n"/>
      <c r="GF80" s="5" t="n"/>
      <c r="GG80" s="5" t="n"/>
      <c r="GH80" s="5" t="n"/>
      <c r="GI80" s="5" t="n"/>
      <c r="GJ80" s="5" t="n"/>
      <c r="GK80" s="5" t="n"/>
      <c r="GL80" s="5" t="n"/>
      <c r="GM80" s="5" t="n"/>
      <c r="GN80" s="5" t="n"/>
      <c r="GO80" s="5" t="n"/>
      <c r="GP80" s="5" t="n"/>
      <c r="GQ80" s="5" t="n"/>
      <c r="GR80" s="5" t="n"/>
      <c r="GS80" s="5" t="n"/>
      <c r="GT80" s="5" t="n"/>
      <c r="GU80" s="5" t="n"/>
      <c r="GV80" s="5" t="n"/>
      <c r="GW80" s="5" t="n"/>
      <c r="GX80" s="5" t="n"/>
      <c r="GY80" s="5" t="n"/>
    </row>
    <row r="81">
      <c r="G81" s="5" t="n"/>
      <c r="H81" s="5" t="n"/>
      <c r="I81" s="5" t="n"/>
      <c r="J81" s="5" t="n"/>
      <c r="K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  <c r="EM81" s="5" t="n"/>
      <c r="EN81" s="5" t="n"/>
      <c r="EO81" s="5" t="n"/>
      <c r="EP81" s="5" t="n"/>
      <c r="EQ81" s="5" t="n"/>
      <c r="ER81" s="5" t="n"/>
      <c r="ES81" s="5" t="n"/>
      <c r="ET81" s="5" t="n"/>
      <c r="EU81" s="5" t="n"/>
      <c r="EV81" s="5" t="n"/>
      <c r="EW81" s="5" t="n"/>
      <c r="EX81" s="5" t="n"/>
      <c r="EY81" s="5" t="n"/>
      <c r="EZ81" s="5" t="n"/>
      <c r="FA81" s="5" t="n"/>
      <c r="FB81" s="5" t="n"/>
      <c r="FC81" s="5" t="n"/>
      <c r="FD81" s="5" t="n"/>
      <c r="FE81" s="5" t="n"/>
      <c r="FF81" s="5" t="n"/>
      <c r="FG81" s="5" t="n"/>
      <c r="FH81" s="5" t="n"/>
      <c r="FI81" s="5" t="n"/>
      <c r="FJ81" s="5" t="n"/>
      <c r="FK81" s="5" t="n"/>
      <c r="FL81" s="5" t="n"/>
      <c r="FM81" s="5" t="n"/>
      <c r="FN81" s="5" t="n"/>
      <c r="FO81" s="5" t="n"/>
      <c r="FP81" s="5" t="n"/>
      <c r="FQ81" s="5" t="n"/>
      <c r="FR81" s="5" t="n"/>
      <c r="FS81" s="5" t="n"/>
      <c r="FT81" s="5" t="n"/>
      <c r="FU81" s="5" t="n"/>
      <c r="FV81" s="5" t="n"/>
      <c r="FW81" s="5" t="n"/>
      <c r="FX81" s="5" t="n"/>
      <c r="FY81" s="5" t="n"/>
      <c r="FZ81" s="5" t="n"/>
      <c r="GA81" s="5" t="n"/>
      <c r="GB81" s="5" t="n"/>
      <c r="GC81" s="5" t="n"/>
      <c r="GD81" s="5" t="n"/>
      <c r="GE81" s="5" t="n"/>
      <c r="GF81" s="5" t="n"/>
      <c r="GG81" s="5" t="n"/>
      <c r="GH81" s="5" t="n"/>
      <c r="GI81" s="5" t="n"/>
      <c r="GJ81" s="5" t="n"/>
      <c r="GK81" s="5" t="n"/>
      <c r="GL81" s="5" t="n"/>
      <c r="GM81" s="5" t="n"/>
      <c r="GN81" s="5" t="n"/>
      <c r="GO81" s="5" t="n"/>
      <c r="GP81" s="5" t="n"/>
      <c r="GQ81" s="5" t="n"/>
      <c r="GR81" s="5" t="n"/>
      <c r="GS81" s="5" t="n"/>
      <c r="GT81" s="5" t="n"/>
      <c r="GU81" s="5" t="n"/>
      <c r="GV81" s="5" t="n"/>
      <c r="GW81" s="5" t="n"/>
      <c r="GX81" s="5" t="n"/>
      <c r="GY81" s="5" t="n"/>
    </row>
    <row r="82">
      <c r="D82" t="inlineStr">
        <is>
          <t>Seq2Point</t>
        </is>
      </c>
      <c r="E82" t="inlineStr">
        <is>
          <t>MAE</t>
        </is>
      </c>
      <c r="F82">
        <f>COUNT(M82:GJ82)</f>
        <v/>
      </c>
      <c r="G82" s="5">
        <f>AVERAGE(M82:GJ82)</f>
        <v/>
      </c>
      <c r="H82" s="5">
        <f>MAX(M82:GJ82)</f>
        <v/>
      </c>
      <c r="I82" s="5">
        <f>MIN(M82:GJ82)</f>
        <v/>
      </c>
      <c r="J82" s="5">
        <f>_xlfn.STDEV.P(M82:GJ82)</f>
        <v/>
      </c>
      <c r="K82" s="5">
        <f>_xlfn.VAR.S(M82:GJ82)</f>
        <v/>
      </c>
      <c r="M82" s="5" t="n">
        <v>35.513157</v>
      </c>
      <c r="N82" s="5" t="n">
        <v>33.955059</v>
      </c>
      <c r="O82" s="5" t="n">
        <v>32.607868</v>
      </c>
      <c r="P82" s="5" t="n">
        <v>37.83292</v>
      </c>
      <c r="Q82" s="5" t="n">
        <v>32.640537</v>
      </c>
      <c r="R82" s="5" t="n">
        <v>37.584305</v>
      </c>
      <c r="S82" s="5" t="n">
        <v>34.547279</v>
      </c>
      <c r="T82" s="5" t="n">
        <v>37.200436</v>
      </c>
      <c r="U82" s="5" t="n">
        <v>32.036995</v>
      </c>
      <c r="V82" s="5" t="n">
        <v>35.563915</v>
      </c>
      <c r="W82" s="5" t="n">
        <v>39.561939</v>
      </c>
      <c r="X82" s="5" t="n">
        <v>34.413967</v>
      </c>
      <c r="Y82" s="5" t="n">
        <v>35.268661</v>
      </c>
      <c r="Z82" s="5" t="n">
        <v>32.989601</v>
      </c>
      <c r="AA82" s="5" t="n">
        <v>35.332935</v>
      </c>
      <c r="AB82" s="5" t="n">
        <v>39.99107</v>
      </c>
      <c r="AC82" s="5" t="n">
        <v>31.082323</v>
      </c>
      <c r="AD82" s="5" t="n">
        <v>34.059307</v>
      </c>
      <c r="AE82" s="5" t="n">
        <v>31.11936</v>
      </c>
      <c r="AF82" s="5" t="n">
        <v>34.770172</v>
      </c>
      <c r="AG82" s="5" t="n">
        <v>36.019485</v>
      </c>
      <c r="AH82" s="5" t="n">
        <v>36.454418</v>
      </c>
      <c r="AI82" s="5" t="n">
        <v>34.370613</v>
      </c>
      <c r="AJ82" s="5" t="n">
        <v>38.734482</v>
      </c>
      <c r="AK82" s="5" t="n">
        <v>32.753185</v>
      </c>
      <c r="AL82" s="5" t="n">
        <v>34.259426</v>
      </c>
      <c r="AM82" s="5" t="n">
        <v>33.717091</v>
      </c>
      <c r="AN82" s="5" t="n">
        <v>31.639511</v>
      </c>
      <c r="AO82" s="5" t="n">
        <v>34.028149</v>
      </c>
      <c r="AP82" s="5" t="n">
        <v>32.056877</v>
      </c>
      <c r="AQ82" s="5" t="n">
        <v>36.592796</v>
      </c>
      <c r="AR82" s="5" t="n">
        <v>35.689888</v>
      </c>
      <c r="AS82" s="5" t="n">
        <v>37.740925</v>
      </c>
      <c r="AT82" s="5" t="n">
        <v>33.254093</v>
      </c>
      <c r="AU82" s="5" t="n">
        <v>35.624966</v>
      </c>
      <c r="AV82" s="5" t="n">
        <v>35.891869</v>
      </c>
      <c r="AW82" s="5" t="n">
        <v>33.313614</v>
      </c>
      <c r="AX82" s="5" t="n">
        <v>36.387829</v>
      </c>
      <c r="AY82" s="5" t="n">
        <v>33.978622</v>
      </c>
      <c r="AZ82" s="5" t="n">
        <v>37.539562</v>
      </c>
      <c r="BA82" s="5" t="n">
        <v>38.961372</v>
      </c>
      <c r="BB82" s="5" t="n">
        <v>35.358585</v>
      </c>
      <c r="BC82" s="5" t="n">
        <v>36.748814</v>
      </c>
      <c r="BD82" s="5" t="n">
        <v>30.904076</v>
      </c>
      <c r="BE82" s="5" t="n">
        <v>33.941734</v>
      </c>
      <c r="BF82" s="5" t="n">
        <v>35.717976</v>
      </c>
      <c r="BG82" s="5" t="n">
        <v>36.632587</v>
      </c>
      <c r="BH82" s="5" t="n">
        <v>34.613457</v>
      </c>
      <c r="BI82" s="5" t="n">
        <v>36.424145</v>
      </c>
      <c r="BJ82" s="5" t="n">
        <v>30.220387</v>
      </c>
      <c r="BK82" s="5" t="n">
        <v>33.814651</v>
      </c>
      <c r="BL82" s="5" t="n">
        <v>35.558895</v>
      </c>
      <c r="BM82" s="5" t="n">
        <v>30.991819</v>
      </c>
      <c r="BN82" s="5" t="n">
        <v>34.847916</v>
      </c>
      <c r="BO82" s="5" t="n">
        <v>30.542143</v>
      </c>
      <c r="BP82" s="5" t="n">
        <v>38.022408</v>
      </c>
      <c r="BQ82" s="5" t="n">
        <v>32.105442</v>
      </c>
      <c r="BR82" s="5" t="n">
        <v>37.719841</v>
      </c>
      <c r="BS82" s="5" t="n">
        <v>34.909992</v>
      </c>
      <c r="BT82" s="5" t="n">
        <v>33.823189</v>
      </c>
      <c r="BU82" s="5" t="n">
        <v>39.226494</v>
      </c>
      <c r="BV82" s="5" t="n">
        <v>35.153389</v>
      </c>
      <c r="BW82" s="5" t="n">
        <v>35.353985</v>
      </c>
      <c r="BX82" s="5" t="n">
        <v>32.883667</v>
      </c>
      <c r="BY82" s="5" t="n">
        <v>37.386574</v>
      </c>
      <c r="BZ82" s="5" t="n">
        <v>43.041348</v>
      </c>
      <c r="CA82" s="5" t="n">
        <v>36.028835</v>
      </c>
      <c r="CB82" s="5" t="n">
        <v>36.310692</v>
      </c>
      <c r="CC82" s="5" t="n">
        <v>31.449421</v>
      </c>
      <c r="CD82" s="5" t="n">
        <v>30.197281</v>
      </c>
      <c r="CE82" s="5" t="n">
        <v>35.087662</v>
      </c>
      <c r="CF82" s="5" t="n">
        <v>36.835026</v>
      </c>
      <c r="CG82" s="5" t="n">
        <v>31.891201</v>
      </c>
      <c r="CH82" s="5" t="n">
        <v>33.070431</v>
      </c>
      <c r="CI82" s="5" t="n">
        <v>30.099379</v>
      </c>
      <c r="CJ82" s="5" t="n">
        <v>33.629826</v>
      </c>
      <c r="CK82" s="5" t="n">
        <v>36.542007</v>
      </c>
      <c r="CL82" s="5" t="n">
        <v>32.71397</v>
      </c>
      <c r="CM82" s="5" t="n">
        <v>37.071507</v>
      </c>
      <c r="CN82" s="5" t="n">
        <v>30.835287</v>
      </c>
      <c r="CO82" s="5" t="n">
        <v>36.494694</v>
      </c>
      <c r="CP82" s="5" t="n">
        <v>34.882622</v>
      </c>
      <c r="CQ82" s="5" t="n">
        <v>36.22998</v>
      </c>
      <c r="CR82" s="5" t="n">
        <v>31.798214</v>
      </c>
      <c r="CS82" s="5" t="n">
        <v>36.241302</v>
      </c>
      <c r="CT82" s="5" t="n">
        <v>36.729359</v>
      </c>
      <c r="CU82" s="5" t="n">
        <v>34.68288</v>
      </c>
      <c r="CV82" s="5" t="n">
        <v>34.957321</v>
      </c>
      <c r="CW82" s="5" t="n">
        <v>33.227406</v>
      </c>
      <c r="CX82" s="5" t="n">
        <v>37.100388</v>
      </c>
      <c r="CY82" s="5" t="n">
        <v>44.127312</v>
      </c>
      <c r="CZ82" s="5" t="n">
        <v>37.269226</v>
      </c>
      <c r="DA82" s="5" t="n">
        <v>34.075485</v>
      </c>
      <c r="DB82" s="5" t="n">
        <v>32.703163</v>
      </c>
      <c r="DC82" s="5" t="n">
        <v>33.798363</v>
      </c>
      <c r="DD82" s="5" t="n">
        <v>37.089191</v>
      </c>
      <c r="DE82" s="5" t="n">
        <v>39.354446</v>
      </c>
      <c r="DF82" s="5" t="n">
        <v>35.650906</v>
      </c>
      <c r="DG82" s="5" t="n">
        <v>35.293301</v>
      </c>
      <c r="DH82" s="5" t="n">
        <v>30.677599</v>
      </c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  <c r="EM82" s="5" t="n"/>
      <c r="EN82" s="5" t="n"/>
      <c r="EO82" s="5" t="n"/>
      <c r="EP82" s="5" t="n"/>
      <c r="EQ82" s="5" t="n"/>
      <c r="ER82" s="5" t="n"/>
      <c r="ES82" s="5" t="n"/>
      <c r="ET82" s="5" t="n"/>
      <c r="EU82" s="5" t="n"/>
      <c r="EV82" s="5" t="n"/>
      <c r="EW82" s="5" t="n"/>
      <c r="EX82" s="5" t="n"/>
      <c r="EY82" s="5" t="n"/>
      <c r="EZ82" s="5" t="n"/>
      <c r="FA82" s="5" t="n"/>
      <c r="FB82" s="5" t="n"/>
      <c r="FC82" s="5" t="n"/>
      <c r="FD82" s="5" t="n"/>
      <c r="FE82" s="5" t="n"/>
      <c r="FF82" s="5" t="n"/>
      <c r="FG82" s="5" t="n"/>
      <c r="FH82" s="5" t="n"/>
      <c r="FI82" s="5" t="n"/>
      <c r="FJ82" s="5" t="n"/>
      <c r="FK82" s="5" t="n"/>
      <c r="FL82" s="5" t="n"/>
      <c r="FM82" s="5" t="n"/>
      <c r="FN82" s="5" t="n"/>
      <c r="FO82" s="5" t="n"/>
      <c r="FP82" s="5" t="n"/>
      <c r="FQ82" s="5" t="n"/>
      <c r="FR82" s="5" t="n"/>
      <c r="FS82" s="5" t="n"/>
      <c r="FT82" s="5" t="n"/>
      <c r="FU82" s="5" t="n"/>
      <c r="FV82" s="5" t="n"/>
      <c r="FW82" s="5" t="n"/>
      <c r="FX82" s="5" t="n"/>
      <c r="FY82" s="5" t="n"/>
      <c r="FZ82" s="5" t="n"/>
      <c r="GA82" s="5" t="n"/>
      <c r="GB82" s="5" t="n"/>
      <c r="GC82" s="5" t="n"/>
      <c r="GD82" s="5" t="n"/>
      <c r="GE82" s="5" t="n"/>
      <c r="GF82" s="5" t="n"/>
      <c r="GG82" s="5" t="n"/>
      <c r="GH82" s="5" t="n"/>
      <c r="GI82" s="5" t="n"/>
      <c r="GJ82" s="5" t="n"/>
      <c r="GK82" s="5" t="n"/>
      <c r="GL82" s="5" t="n"/>
      <c r="GM82" s="5" t="n"/>
      <c r="GN82" s="5" t="n"/>
      <c r="GO82" s="5" t="n"/>
      <c r="GP82" s="5" t="n"/>
      <c r="GQ82" s="5" t="n"/>
      <c r="GR82" s="5" t="n"/>
      <c r="GS82" s="5" t="n"/>
      <c r="GT82" s="5" t="n"/>
      <c r="GU82" s="5" t="n"/>
      <c r="GV82" s="5" t="n"/>
      <c r="GW82" s="5" t="n"/>
      <c r="GX82" s="5" t="n"/>
      <c r="GY82" s="5" t="n"/>
    </row>
    <row r="83"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  <c r="EM83" s="5" t="n"/>
      <c r="EN83" s="5" t="n"/>
      <c r="EO83" s="5" t="n"/>
      <c r="EP83" s="5" t="n"/>
      <c r="EQ83" s="5" t="n"/>
      <c r="ER83" s="5" t="n"/>
      <c r="ES83" s="5" t="n"/>
      <c r="ET83" s="5" t="n"/>
      <c r="EU83" s="5" t="n"/>
      <c r="EV83" s="5" t="n"/>
      <c r="EW83" s="5" t="n"/>
      <c r="EX83" s="5" t="n"/>
      <c r="EY83" s="5" t="n"/>
      <c r="EZ83" s="5" t="n"/>
      <c r="FA83" s="5" t="n"/>
      <c r="FB83" s="5" t="n"/>
      <c r="FC83" s="5" t="n"/>
      <c r="FD83" s="5" t="n"/>
      <c r="FE83" s="5" t="n"/>
      <c r="FF83" s="5" t="n"/>
      <c r="FG83" s="5" t="n"/>
      <c r="FH83" s="5" t="n"/>
      <c r="FI83" s="5" t="n"/>
      <c r="FJ83" s="5" t="n"/>
      <c r="FK83" s="5" t="n"/>
      <c r="FL83" s="5" t="n"/>
      <c r="FM83" s="5" t="n"/>
      <c r="FN83" s="5" t="n"/>
      <c r="FO83" s="5" t="n"/>
      <c r="FP83" s="5" t="n"/>
      <c r="FQ83" s="5" t="n"/>
      <c r="FR83" s="5" t="n"/>
      <c r="FS83" s="5" t="n"/>
      <c r="FT83" s="5" t="n"/>
      <c r="FU83" s="5" t="n"/>
      <c r="FV83" s="5" t="n"/>
      <c r="FW83" s="5" t="n"/>
      <c r="FX83" s="5" t="n"/>
      <c r="FY83" s="5" t="n"/>
      <c r="FZ83" s="5" t="n"/>
      <c r="GA83" s="5" t="n"/>
      <c r="GB83" s="5" t="n"/>
      <c r="GC83" s="5" t="n"/>
      <c r="GD83" s="5" t="n"/>
      <c r="GE83" s="5" t="n"/>
      <c r="GF83" s="5" t="n"/>
      <c r="GG83" s="5" t="n"/>
      <c r="GH83" s="5" t="n"/>
      <c r="GI83" s="5" t="n"/>
      <c r="GJ83" s="5" t="n"/>
      <c r="GK83" s="5" t="n"/>
      <c r="GL83" s="5" t="n"/>
      <c r="GM83" s="5" t="n"/>
      <c r="GN83" s="5" t="n"/>
      <c r="GO83" s="5" t="n"/>
    </row>
    <row r="84"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  <c r="EM84" s="5" t="n"/>
      <c r="EN84" s="5" t="n"/>
      <c r="EO84" s="5" t="n"/>
      <c r="EP84" s="5" t="n"/>
      <c r="EQ84" s="5" t="n"/>
      <c r="ER84" s="5" t="n"/>
      <c r="ES84" s="5" t="n"/>
      <c r="ET84" s="5" t="n"/>
      <c r="EU84" s="5" t="n"/>
      <c r="EV84" s="5" t="n"/>
      <c r="EW84" s="5" t="n"/>
      <c r="EX84" s="5" t="n"/>
      <c r="EY84" s="5" t="n"/>
      <c r="EZ84" s="5" t="n"/>
      <c r="FA84" s="5" t="n"/>
      <c r="FB84" s="5" t="n"/>
      <c r="FC84" s="5" t="n"/>
      <c r="FD84" s="5" t="n"/>
      <c r="FE84" s="5" t="n"/>
      <c r="FF84" s="5" t="n"/>
      <c r="FG84" s="5" t="n"/>
      <c r="FH84" s="5" t="n"/>
      <c r="FI84" s="5" t="n"/>
      <c r="FJ84" s="5" t="n"/>
      <c r="FK84" s="5" t="n"/>
      <c r="FL84" s="5" t="n"/>
      <c r="FM84" s="5" t="n"/>
      <c r="FN84" s="5" t="n"/>
      <c r="FO84" s="5" t="n"/>
      <c r="FP84" s="5" t="n"/>
      <c r="FQ84" s="5" t="n"/>
      <c r="FR84" s="5" t="n"/>
      <c r="FS84" s="5" t="n"/>
      <c r="FT84" s="5" t="n"/>
      <c r="FU84" s="5" t="n"/>
      <c r="FV84" s="5" t="n"/>
      <c r="FW84" s="5" t="n"/>
      <c r="FX84" s="5" t="n"/>
      <c r="FY84" s="5" t="n"/>
      <c r="FZ84" s="5" t="n"/>
      <c r="GA84" s="5" t="n"/>
      <c r="GB84" s="5" t="n"/>
      <c r="GC84" s="5" t="n"/>
      <c r="GD84" s="5" t="n"/>
      <c r="GE84" s="5" t="n"/>
      <c r="GF84" s="5" t="n"/>
      <c r="GG84" s="5" t="n"/>
      <c r="GH84" s="5" t="n"/>
      <c r="GI84" s="5" t="n"/>
      <c r="GJ84" s="5" t="n"/>
      <c r="GK84" s="5" t="n"/>
      <c r="GL84" s="5" t="n"/>
      <c r="GM84" s="5" t="n"/>
      <c r="GN84" s="5" t="n"/>
      <c r="GO84" s="5" t="n"/>
    </row>
    <row r="85">
      <c r="B85" t="inlineStr">
        <is>
          <t>test_dataset.h5</t>
        </is>
      </c>
      <c r="D85" s="1" t="inlineStr">
        <is>
          <t>reale Testdaten(hh_20):</t>
        </is>
      </c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  <c r="EM85" s="5" t="n"/>
      <c r="EN85" s="5" t="n"/>
      <c r="EO85" s="5" t="n"/>
      <c r="EP85" s="5" t="n"/>
      <c r="EQ85" s="5" t="n"/>
      <c r="ER85" s="5" t="n"/>
      <c r="ES85" s="5" t="n"/>
      <c r="ET85" s="5" t="n"/>
      <c r="EU85" s="5" t="n"/>
      <c r="EV85" s="5" t="n"/>
      <c r="EW85" s="5" t="n"/>
      <c r="EX85" s="5" t="n"/>
      <c r="EY85" s="5" t="n"/>
      <c r="EZ85" s="5" t="n"/>
      <c r="FA85" s="5" t="n"/>
      <c r="FB85" s="5" t="n"/>
      <c r="FC85" s="5" t="n"/>
      <c r="FD85" s="5" t="n"/>
      <c r="FE85" s="5" t="n"/>
      <c r="FF85" s="5" t="n"/>
      <c r="FG85" s="5" t="n"/>
      <c r="FH85" s="5" t="n"/>
      <c r="FI85" s="5" t="n"/>
      <c r="FJ85" s="5" t="n"/>
      <c r="FK85" s="5" t="n"/>
      <c r="FL85" s="5" t="n"/>
      <c r="FM85" s="5" t="n"/>
      <c r="FN85" s="5" t="n"/>
      <c r="FO85" s="5" t="n"/>
      <c r="FP85" s="5" t="n"/>
      <c r="FQ85" s="5" t="n"/>
      <c r="FR85" s="5" t="n"/>
      <c r="FS85" s="5" t="n"/>
      <c r="FT85" s="5" t="n"/>
      <c r="FU85" s="5" t="n"/>
      <c r="FV85" s="5" t="n"/>
      <c r="FW85" s="5" t="n"/>
      <c r="FX85" s="5" t="n"/>
      <c r="FY85" s="5" t="n"/>
      <c r="FZ85" s="5" t="n"/>
      <c r="GA85" s="5" t="n"/>
      <c r="GB85" s="5" t="n"/>
      <c r="GC85" s="5" t="n"/>
      <c r="GD85" s="5" t="n"/>
      <c r="GE85" s="5" t="n"/>
      <c r="GF85" s="5" t="n"/>
      <c r="GG85" s="5" t="n"/>
      <c r="GH85" s="5" t="n"/>
      <c r="GI85" s="5" t="n"/>
      <c r="GJ85" s="5" t="n"/>
      <c r="GK85" s="5" t="n"/>
      <c r="GL85" s="5" t="n"/>
      <c r="GM85" s="5" t="n"/>
      <c r="GN85" s="5" t="n"/>
      <c r="GO85" s="5" t="n"/>
    </row>
    <row r="86">
      <c r="B86" s="2" t="inlineStr">
        <is>
          <t>buildings': 20</t>
        </is>
      </c>
      <c r="D86" t="inlineStr">
        <is>
          <t>RNN</t>
        </is>
      </c>
      <c r="E86" t="inlineStr">
        <is>
          <t>MAE</t>
        </is>
      </c>
      <c r="F86">
        <f>COUNT(M86:GJ86)</f>
        <v/>
      </c>
      <c r="G86" s="5">
        <f>AVERAGE(M86:GJ86)</f>
        <v/>
      </c>
      <c r="H86" s="5">
        <f>MAX(M86:GJ86)</f>
        <v/>
      </c>
      <c r="I86" s="5">
        <f>MIN(M86:GJ86)</f>
        <v/>
      </c>
      <c r="J86" s="5">
        <f>_xlfn.STDEV.P(M86:GJ86)</f>
        <v/>
      </c>
      <c r="K86" s="5">
        <f>_xlfn.VAR.S(M86:GJ86)</f>
        <v/>
      </c>
      <c r="M86" s="5" t="n">
        <v>13.880813</v>
      </c>
      <c r="N86" s="5" t="n">
        <v>14.352215</v>
      </c>
      <c r="O86" s="5" t="n">
        <v>14.273354</v>
      </c>
      <c r="P86" s="5" t="n">
        <v>18.197586</v>
      </c>
      <c r="Q86" s="5" t="n">
        <v>15.255463</v>
      </c>
      <c r="R86" s="5" t="n">
        <v>13.264693</v>
      </c>
      <c r="S86" s="5" t="n">
        <v>15.29109</v>
      </c>
      <c r="T86" s="5" t="n">
        <v>13.396749</v>
      </c>
      <c r="U86" s="5" t="n">
        <v>13.188536</v>
      </c>
      <c r="V86" s="5" t="n">
        <v>14.418953</v>
      </c>
      <c r="W86" s="5" t="n">
        <v>13.409335</v>
      </c>
      <c r="X86" s="5" t="n">
        <v>13.498892</v>
      </c>
      <c r="Y86" s="5" t="n">
        <v>18.081425</v>
      </c>
      <c r="Z86" s="5" t="n">
        <v>13.639753</v>
      </c>
      <c r="AA86" s="5" t="n">
        <v>18.15321</v>
      </c>
      <c r="AB86" s="5" t="n">
        <v>14.623117</v>
      </c>
      <c r="AC86" s="5" t="n">
        <v>15.814684</v>
      </c>
      <c r="AD86" s="5" t="n">
        <v>16.33334</v>
      </c>
      <c r="AE86" s="5" t="n">
        <v>14.681445</v>
      </c>
      <c r="AF86" s="5" t="n">
        <v>19.03874</v>
      </c>
      <c r="AG86" s="5" t="n">
        <v>13.954444</v>
      </c>
      <c r="AH86" s="5" t="n">
        <v>14.334578</v>
      </c>
      <c r="AI86" s="5" t="n">
        <v>17.713844</v>
      </c>
      <c r="AJ86" s="5" t="n">
        <v>16.055492</v>
      </c>
      <c r="AK86" s="5" t="n">
        <v>18.31909</v>
      </c>
      <c r="AL86" s="5" t="n">
        <v>13.411228</v>
      </c>
      <c r="AM86" s="5" t="n">
        <v>14.057469</v>
      </c>
      <c r="AN86" s="5" t="n">
        <v>14.081983</v>
      </c>
      <c r="AO86" s="5" t="n">
        <v>18.123201</v>
      </c>
      <c r="AP86" s="5" t="n">
        <v>13.981112</v>
      </c>
      <c r="AQ86" s="5" t="n">
        <v>17.273367</v>
      </c>
      <c r="AR86" s="5" t="n">
        <v>14.121965</v>
      </c>
      <c r="AS86" s="5" t="n">
        <v>13.500323</v>
      </c>
      <c r="AT86" s="5" t="n">
        <v>14.618311</v>
      </c>
      <c r="AU86" s="5" t="n">
        <v>13.983374</v>
      </c>
      <c r="AV86" s="5" t="n">
        <v>15.378839</v>
      </c>
      <c r="AW86" s="5" t="n">
        <v>14.403921</v>
      </c>
      <c r="AX86" s="5" t="n">
        <v>14.06599</v>
      </c>
      <c r="AY86" s="5" t="n">
        <v>14.225661</v>
      </c>
      <c r="AZ86" s="5" t="n">
        <v>14.685326</v>
      </c>
      <c r="BA86" s="5" t="n">
        <v>14.239449</v>
      </c>
      <c r="BB86" s="5" t="n">
        <v>14.270548</v>
      </c>
      <c r="BC86" s="5" t="n">
        <v>14.148911</v>
      </c>
      <c r="BD86" s="5" t="n">
        <v>13.99178</v>
      </c>
      <c r="BE86" s="5" t="n">
        <v>16.167562</v>
      </c>
      <c r="BF86" s="5" t="n">
        <v>13.960485</v>
      </c>
      <c r="BG86" s="5" t="n">
        <v>14.847496</v>
      </c>
      <c r="BH86" s="5" t="n">
        <v>15.505411</v>
      </c>
      <c r="BI86" s="5" t="n">
        <v>14.947401</v>
      </c>
      <c r="BJ86" s="5" t="n">
        <v>14.187334</v>
      </c>
      <c r="BK86" s="5" t="n">
        <v>15.139325</v>
      </c>
      <c r="BL86" s="5" t="n">
        <v>14.733538</v>
      </c>
      <c r="BM86" s="5" t="n">
        <v>17.23616</v>
      </c>
      <c r="BN86" s="5" t="n">
        <v>16.444485</v>
      </c>
      <c r="BO86" s="5" t="n">
        <v>13.714058</v>
      </c>
      <c r="BP86" s="5" t="n">
        <v>14.63053</v>
      </c>
      <c r="BQ86" s="5" t="n">
        <v>14.746403</v>
      </c>
      <c r="BR86" s="5" t="n">
        <v>13.387437</v>
      </c>
      <c r="BS86" s="5" t="n">
        <v>14.403789</v>
      </c>
      <c r="BT86" s="5" t="n">
        <v>14.308621</v>
      </c>
      <c r="BU86" s="5" t="n">
        <v>14.208872</v>
      </c>
      <c r="BV86" s="5" t="n">
        <v>15.920377</v>
      </c>
      <c r="BW86" s="5" t="n">
        <v>14.356898</v>
      </c>
      <c r="BX86" s="5" t="n">
        <v>14.198449</v>
      </c>
      <c r="BY86" s="5" t="n">
        <v>15.366976</v>
      </c>
      <c r="BZ86" s="5" t="n">
        <v>14.61248</v>
      </c>
      <c r="CA86" s="5" t="n">
        <v>14.321583</v>
      </c>
      <c r="CB86" s="5" t="n">
        <v>14.571405</v>
      </c>
      <c r="CC86" s="5" t="n">
        <v>14.124991</v>
      </c>
      <c r="CD86" s="5" t="n">
        <v>16.380741</v>
      </c>
      <c r="CE86" s="5" t="n">
        <v>13.863935</v>
      </c>
      <c r="CF86" s="5" t="n">
        <v>14.025479</v>
      </c>
      <c r="CG86" s="5" t="n">
        <v>14.021196</v>
      </c>
      <c r="CH86" s="5" t="n">
        <v>15.684014</v>
      </c>
      <c r="CI86" s="5" t="n">
        <v>15.364089</v>
      </c>
      <c r="CJ86" s="5" t="n">
        <v>15.417781</v>
      </c>
      <c r="CK86" s="5" t="n">
        <v>14.991883</v>
      </c>
      <c r="CL86" s="5" t="n">
        <v>13.984196</v>
      </c>
      <c r="CM86" s="5" t="n">
        <v>14.630416</v>
      </c>
      <c r="CN86" s="5" t="n">
        <v>15.826549</v>
      </c>
      <c r="CO86" s="5" t="n">
        <v>17.511349</v>
      </c>
      <c r="CP86" s="5" t="n">
        <v>16.77483</v>
      </c>
      <c r="CQ86" s="5" t="n">
        <v>13.748425</v>
      </c>
      <c r="CR86" s="5" t="n">
        <v>14.076694</v>
      </c>
      <c r="CS86" s="5" t="n">
        <v>13.996531</v>
      </c>
      <c r="CT86" s="5" t="n">
        <v>13.791371</v>
      </c>
      <c r="CU86" s="5" t="n">
        <v>15.938225</v>
      </c>
      <c r="CV86" s="5" t="n">
        <v>14.624981</v>
      </c>
      <c r="CW86" s="5" t="n">
        <v>13.85994</v>
      </c>
      <c r="CX86" s="5" t="n">
        <v>14.549788</v>
      </c>
      <c r="CY86" s="5" t="n">
        <v>15.470611</v>
      </c>
      <c r="CZ86" s="5" t="n">
        <v>13.975682</v>
      </c>
      <c r="DA86" s="5" t="n">
        <v>14.779078</v>
      </c>
      <c r="DB86" s="5" t="n">
        <v>14.059142</v>
      </c>
      <c r="DC86" s="5" t="n">
        <v>14.36904</v>
      </c>
      <c r="DD86" s="5" t="n">
        <v>14.57182</v>
      </c>
      <c r="DE86" s="5" t="n">
        <v>14.332045</v>
      </c>
      <c r="DF86" s="5" t="n">
        <v>16.53257</v>
      </c>
      <c r="DG86" s="5" t="n">
        <v>14.396309</v>
      </c>
      <c r="DH86" s="5" t="n">
        <v>14.255906</v>
      </c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  <c r="EM86" s="5" t="n"/>
      <c r="EN86" s="5" t="n"/>
      <c r="EO86" s="5" t="n"/>
      <c r="EP86" s="5" t="n"/>
      <c r="EQ86" s="5" t="n"/>
      <c r="ER86" s="5" t="n"/>
      <c r="ES86" s="5" t="n"/>
      <c r="ET86" s="5" t="n"/>
      <c r="EU86" s="5" t="n"/>
      <c r="EV86" s="5" t="n"/>
      <c r="EW86" s="5" t="n"/>
      <c r="EX86" s="5" t="n"/>
      <c r="EY86" s="5" t="n"/>
      <c r="EZ86" s="5" t="n"/>
      <c r="FA86" s="5" t="n"/>
      <c r="FB86" s="5" t="n"/>
      <c r="FC86" s="5" t="n"/>
      <c r="FD86" s="5" t="n"/>
      <c r="FE86" s="5" t="n"/>
      <c r="FF86" s="5" t="n"/>
      <c r="FG86" s="5" t="n"/>
      <c r="FH86" s="5" t="n"/>
      <c r="FI86" s="5" t="n"/>
      <c r="FJ86" s="5" t="n"/>
      <c r="FK86" s="5" t="n"/>
      <c r="FL86" s="5" t="n"/>
      <c r="FM86" s="5" t="n"/>
      <c r="FN86" s="5" t="n"/>
      <c r="FO86" s="5" t="n"/>
      <c r="FP86" s="5" t="n"/>
      <c r="FQ86" s="5" t="n"/>
      <c r="FR86" s="5" t="n"/>
      <c r="FS86" s="5" t="n"/>
      <c r="FT86" s="5" t="n"/>
      <c r="FU86" s="5" t="n"/>
      <c r="FV86" s="5" t="n"/>
      <c r="FW86" s="5" t="n"/>
      <c r="FX86" s="5" t="n"/>
      <c r="FY86" s="5" t="n"/>
      <c r="FZ86" s="5" t="n"/>
      <c r="GA86" s="5" t="n"/>
      <c r="GB86" s="5" t="n"/>
      <c r="GC86" s="5" t="n"/>
      <c r="GD86" s="5" t="n"/>
      <c r="GE86" s="5" t="n"/>
      <c r="GF86" s="5" t="n"/>
      <c r="GG86" s="5" t="n"/>
      <c r="GH86" s="5" t="n"/>
      <c r="GI86" s="5" t="n"/>
      <c r="GJ86" s="5" t="n"/>
      <c r="GK86" s="5" t="n"/>
      <c r="GL86" s="5" t="n"/>
      <c r="GM86" s="5" t="n"/>
      <c r="GN86" s="5" t="n"/>
      <c r="GO86" s="5" t="n"/>
      <c r="GP86" s="5" t="n"/>
      <c r="GQ86" s="5" t="n"/>
      <c r="GR86" s="5" t="n"/>
      <c r="GS86" s="5" t="n"/>
      <c r="GT86" s="5" t="n"/>
      <c r="GU86" s="5" t="n"/>
      <c r="GV86" s="5" t="n"/>
      <c r="GW86" s="5" t="n"/>
      <c r="GX86" s="5" t="n"/>
      <c r="GY86" s="5" t="n"/>
    </row>
    <row r="87">
      <c r="B87" s="2" t="inlineStr">
        <is>
          <t>start_time': '2019-12-17'</t>
        </is>
      </c>
      <c r="G87" s="5" t="n"/>
      <c r="H87" s="5" t="n"/>
      <c r="I87" s="5" t="n"/>
      <c r="J87" s="5" t="n"/>
      <c r="K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  <c r="EM87" s="5" t="n"/>
      <c r="EN87" s="5" t="n"/>
      <c r="EO87" s="5" t="n"/>
      <c r="EP87" s="5" t="n"/>
      <c r="EQ87" s="5" t="n"/>
      <c r="ER87" s="5" t="n"/>
      <c r="ES87" s="5" t="n"/>
      <c r="ET87" s="5" t="n"/>
      <c r="EU87" s="5" t="n"/>
      <c r="EV87" s="5" t="n"/>
      <c r="EW87" s="5" t="n"/>
      <c r="EX87" s="5" t="n"/>
      <c r="EY87" s="5" t="n"/>
      <c r="EZ87" s="5" t="n"/>
      <c r="FA87" s="5" t="n"/>
      <c r="FB87" s="5" t="n"/>
      <c r="FC87" s="5" t="n"/>
      <c r="FD87" s="5" t="n"/>
      <c r="FE87" s="5" t="n"/>
      <c r="FF87" s="5" t="n"/>
      <c r="FG87" s="5" t="n"/>
      <c r="FH87" s="5" t="n"/>
      <c r="FI87" s="5" t="n"/>
      <c r="FJ87" s="5" t="n"/>
      <c r="FK87" s="5" t="n"/>
      <c r="FL87" s="5" t="n"/>
      <c r="FM87" s="5" t="n"/>
      <c r="FN87" s="5" t="n"/>
      <c r="FO87" s="5" t="n"/>
      <c r="FP87" s="5" t="n"/>
      <c r="FQ87" s="5" t="n"/>
      <c r="FR87" s="5" t="n"/>
      <c r="FS87" s="5" t="n"/>
      <c r="FT87" s="5" t="n"/>
      <c r="FU87" s="5" t="n"/>
      <c r="FV87" s="5" t="n"/>
      <c r="FW87" s="5" t="n"/>
      <c r="FX87" s="5" t="n"/>
      <c r="FY87" s="5" t="n"/>
      <c r="FZ87" s="5" t="n"/>
      <c r="GA87" s="5" t="n"/>
      <c r="GB87" s="5" t="n"/>
      <c r="GC87" s="5" t="n"/>
      <c r="GD87" s="5" t="n"/>
      <c r="GE87" s="5" t="n"/>
      <c r="GF87" s="5" t="n"/>
      <c r="GG87" s="5" t="n"/>
      <c r="GH87" s="5" t="n"/>
      <c r="GI87" s="5" t="n"/>
      <c r="GJ87" s="5" t="n"/>
      <c r="GK87" s="5" t="n"/>
      <c r="GL87" s="5" t="n"/>
      <c r="GM87" s="5" t="n"/>
      <c r="GN87" s="5" t="n"/>
      <c r="GO87" s="5" t="n"/>
      <c r="GP87" s="5" t="n"/>
      <c r="GQ87" s="5" t="n"/>
      <c r="GR87" s="5" t="n"/>
      <c r="GS87" s="5" t="n"/>
      <c r="GT87" s="5" t="n"/>
      <c r="GU87" s="5" t="n"/>
      <c r="GV87" s="5" t="n"/>
      <c r="GW87" s="5" t="n"/>
      <c r="GX87" s="5" t="n"/>
      <c r="GY87" s="5" t="n"/>
    </row>
    <row r="88">
      <c r="B88" s="2" t="inlineStr">
        <is>
          <t>end_time': '2019-12-30'</t>
        </is>
      </c>
      <c r="D88" t="inlineStr">
        <is>
          <t>WindowGRU</t>
        </is>
      </c>
      <c r="E88" t="inlineStr">
        <is>
          <t>MAE</t>
        </is>
      </c>
      <c r="F88">
        <f>COUNT(M88:GJ88)</f>
        <v/>
      </c>
      <c r="G88" s="5">
        <f>AVERAGE(M88:GJ88)</f>
        <v/>
      </c>
      <c r="H88" s="5">
        <f>MAX(M88:GJ88)</f>
        <v/>
      </c>
      <c r="I88" s="5">
        <f>MIN(M88:GJ88)</f>
        <v/>
      </c>
      <c r="J88" s="5">
        <f>_xlfn.STDEV.P(M88:GJ88)</f>
        <v/>
      </c>
      <c r="K88" s="5">
        <f>_xlfn.VAR.S(M88:GJ88)</f>
        <v/>
      </c>
      <c r="M88" s="5" t="n">
        <v>12.350388</v>
      </c>
      <c r="N88" s="5" t="n">
        <v>15.898319</v>
      </c>
      <c r="O88" s="5" t="n">
        <v>15.902546</v>
      </c>
      <c r="P88" s="5" t="n">
        <v>15.413592</v>
      </c>
      <c r="Q88" s="5" t="n">
        <v>14.337558</v>
      </c>
      <c r="R88" s="5" t="n">
        <v>14.643318</v>
      </c>
      <c r="S88" s="5" t="n">
        <v>11.495398</v>
      </c>
      <c r="T88" s="5" t="n">
        <v>17.581635</v>
      </c>
      <c r="U88" s="5" t="n">
        <v>13.491304</v>
      </c>
      <c r="V88" s="5" t="n">
        <v>15.414079</v>
      </c>
      <c r="W88" s="5" t="n">
        <v>13.052665</v>
      </c>
      <c r="X88" s="5" t="n">
        <v>13.907295</v>
      </c>
      <c r="Y88" s="5" t="n">
        <v>13.730751</v>
      </c>
      <c r="Z88" s="5" t="n">
        <v>16.400742</v>
      </c>
      <c r="AA88" s="5" t="n">
        <v>14.0671</v>
      </c>
      <c r="AB88" s="5" t="n">
        <v>13.928121</v>
      </c>
      <c r="AC88" s="5" t="n">
        <v>15.349278</v>
      </c>
      <c r="AD88" s="5" t="n">
        <v>14.976559</v>
      </c>
      <c r="AE88" s="5" t="n">
        <v>16.318964</v>
      </c>
      <c r="AF88" s="5" t="n">
        <v>15.410977</v>
      </c>
      <c r="AG88" s="5" t="n">
        <v>17.2941</v>
      </c>
      <c r="AH88" s="5" t="n">
        <v>13.781433</v>
      </c>
      <c r="AI88" s="5" t="n">
        <v>13.181369</v>
      </c>
      <c r="AJ88" s="5" t="n">
        <v>14.256178</v>
      </c>
      <c r="AK88" s="5" t="n">
        <v>16.017208</v>
      </c>
      <c r="AL88" s="5" t="n">
        <v>12.938153</v>
      </c>
      <c r="AM88" s="5" t="n">
        <v>12.942336</v>
      </c>
      <c r="AN88" s="5" t="n">
        <v>13.840314</v>
      </c>
      <c r="AO88" s="5" t="n">
        <v>13.620427</v>
      </c>
      <c r="AP88" s="5" t="n">
        <v>13.648813</v>
      </c>
      <c r="AQ88" s="5" t="n">
        <v>13.747829</v>
      </c>
      <c r="AR88" s="5" t="n">
        <v>9.263736</v>
      </c>
      <c r="AS88" s="5" t="n">
        <v>11.48151</v>
      </c>
      <c r="AT88" s="5" t="n">
        <v>13.028379</v>
      </c>
      <c r="AU88" s="5" t="n">
        <v>14.545892</v>
      </c>
      <c r="AV88" s="5" t="n">
        <v>11.580672</v>
      </c>
      <c r="AW88" s="5" t="n">
        <v>9.963266000000001</v>
      </c>
      <c r="AX88" s="5" t="n">
        <v>13.54998</v>
      </c>
      <c r="AY88" s="5" t="n">
        <v>14.649133</v>
      </c>
      <c r="AZ88" s="5" t="n">
        <v>11.427692</v>
      </c>
      <c r="BA88" s="5" t="n">
        <v>13.296767</v>
      </c>
      <c r="BB88" s="5" t="n">
        <v>11.899557</v>
      </c>
      <c r="BC88" s="5" t="n">
        <v>13.038433</v>
      </c>
      <c r="BD88" s="5" t="n">
        <v>13.914224</v>
      </c>
      <c r="BE88" s="5" t="n">
        <v>16.194326</v>
      </c>
      <c r="BF88" s="5" t="n">
        <v>12.131916</v>
      </c>
      <c r="BG88" s="5" t="n">
        <v>13.969032</v>
      </c>
      <c r="BH88" s="5" t="n">
        <v>15.176547</v>
      </c>
      <c r="BI88" s="5" t="n">
        <v>13.513703</v>
      </c>
      <c r="BJ88" s="5" t="n">
        <v>11.756815</v>
      </c>
      <c r="BK88" s="5" t="n">
        <v>13.954222</v>
      </c>
      <c r="BL88" s="5" t="n">
        <v>11.12684</v>
      </c>
      <c r="BM88" s="5" t="n">
        <v>10.725539</v>
      </c>
      <c r="BN88" s="5" t="n">
        <v>10.40276</v>
      </c>
      <c r="BO88" s="5" t="n">
        <v>12.976084</v>
      </c>
      <c r="BP88" s="5" t="n">
        <v>13.006964</v>
      </c>
      <c r="BQ88" s="5" t="n">
        <v>12.478847</v>
      </c>
      <c r="BR88" s="5" t="n">
        <v>13.445786</v>
      </c>
      <c r="BS88" s="5" t="n">
        <v>11.503206</v>
      </c>
      <c r="BT88" s="5" t="n">
        <v>13.077516</v>
      </c>
      <c r="BU88" s="5" t="n">
        <v>12.987095</v>
      </c>
      <c r="BV88" s="5" t="n">
        <v>10.013143</v>
      </c>
      <c r="BW88" s="5" t="n">
        <v>13.146704</v>
      </c>
      <c r="BX88" s="5" t="n">
        <v>16.500303</v>
      </c>
      <c r="BY88" s="5" t="n">
        <v>13.998518</v>
      </c>
      <c r="BZ88" s="5" t="n">
        <v>12.605441</v>
      </c>
      <c r="CA88" s="5" t="n">
        <v>13.306566</v>
      </c>
      <c r="CB88" s="5" t="n">
        <v>15.693078</v>
      </c>
      <c r="CC88" s="5" t="n">
        <v>15.016427</v>
      </c>
      <c r="CD88" s="5" t="n">
        <v>16.624582</v>
      </c>
      <c r="CE88" s="5" t="n">
        <v>14.945598</v>
      </c>
      <c r="CF88" s="5" t="n">
        <v>13.391165</v>
      </c>
      <c r="CG88" s="5" t="n">
        <v>13.547889</v>
      </c>
      <c r="CH88" s="5" t="n">
        <v>9.581073</v>
      </c>
      <c r="CI88" s="5" t="n">
        <v>11.128098</v>
      </c>
      <c r="CJ88" s="5" t="n">
        <v>12.410259</v>
      </c>
      <c r="CK88" s="5" t="n">
        <v>12.416294</v>
      </c>
      <c r="CL88" s="5" t="n">
        <v>13.248917</v>
      </c>
      <c r="CM88" s="5" t="n">
        <v>11.783216</v>
      </c>
      <c r="CN88" s="5" t="n">
        <v>14.214778</v>
      </c>
      <c r="CO88" s="5" t="n">
        <v>10.906146</v>
      </c>
      <c r="CP88" s="5" t="n">
        <v>11.308163</v>
      </c>
      <c r="CQ88" s="5" t="n">
        <v>14.990314</v>
      </c>
      <c r="CR88" s="5" t="n">
        <v>12.384679</v>
      </c>
      <c r="CS88" s="5" t="n">
        <v>14.082582</v>
      </c>
      <c r="CT88" s="5" t="n">
        <v>13.473637</v>
      </c>
      <c r="CU88" s="5" t="n">
        <v>15.145909</v>
      </c>
      <c r="CV88" s="5" t="n">
        <v>15.501475</v>
      </c>
      <c r="CW88" s="5" t="n">
        <v>12.44786</v>
      </c>
      <c r="CX88" s="5" t="n">
        <v>10.463442</v>
      </c>
      <c r="CY88" s="5" t="n">
        <v>13.026106</v>
      </c>
      <c r="CZ88" s="5" t="n">
        <v>11.757907</v>
      </c>
      <c r="DA88" s="5" t="n">
        <v>13.441055</v>
      </c>
      <c r="DB88" s="5" t="n">
        <v>15.737444</v>
      </c>
      <c r="DC88" s="5" t="n">
        <v>13.739378</v>
      </c>
      <c r="DD88" s="5" t="n">
        <v>12.963778</v>
      </c>
      <c r="DE88" s="5" t="n">
        <v>12.578714</v>
      </c>
      <c r="DF88" s="5" t="n">
        <v>16.205637</v>
      </c>
      <c r="DG88" s="5" t="n">
        <v>9.962738</v>
      </c>
      <c r="DH88" s="5" t="n">
        <v>13.295875</v>
      </c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  <c r="EM88" s="5" t="n"/>
      <c r="EN88" s="5" t="n"/>
      <c r="EO88" s="5" t="n"/>
      <c r="EP88" s="5" t="n"/>
      <c r="EQ88" s="5" t="n"/>
      <c r="ER88" s="5" t="n"/>
      <c r="ES88" s="5" t="n"/>
      <c r="ET88" s="5" t="n"/>
      <c r="EU88" s="5" t="n"/>
      <c r="EV88" s="5" t="n"/>
      <c r="EW88" s="5" t="n"/>
      <c r="EX88" s="5" t="n"/>
      <c r="EY88" s="5" t="n"/>
      <c r="EZ88" s="5" t="n"/>
      <c r="FA88" s="5" t="n"/>
      <c r="FB88" s="5" t="n"/>
      <c r="FC88" s="5" t="n"/>
      <c r="FD88" s="5" t="n"/>
      <c r="FE88" s="5" t="n"/>
      <c r="FF88" s="5" t="n"/>
      <c r="FG88" s="5" t="n"/>
      <c r="FH88" s="5" t="n"/>
      <c r="FI88" s="5" t="n"/>
      <c r="FJ88" s="5" t="n"/>
      <c r="FK88" s="5" t="n"/>
      <c r="FL88" s="5" t="n"/>
      <c r="FM88" s="5" t="n"/>
      <c r="FN88" s="5" t="n"/>
      <c r="FO88" s="5" t="n"/>
      <c r="FP88" s="5" t="n"/>
      <c r="FQ88" s="5" t="n"/>
      <c r="FR88" s="5" t="n"/>
      <c r="FS88" s="5" t="n"/>
      <c r="FT88" s="5" t="n"/>
      <c r="FU88" s="5" t="n"/>
      <c r="FV88" s="5" t="n"/>
      <c r="FW88" s="5" t="n"/>
      <c r="FX88" s="5" t="n"/>
      <c r="FY88" s="5" t="n"/>
      <c r="FZ88" s="5" t="n"/>
      <c r="GA88" s="5" t="n"/>
      <c r="GB88" s="5" t="n"/>
      <c r="GC88" s="5" t="n"/>
      <c r="GD88" s="5" t="n"/>
      <c r="GE88" s="5" t="n"/>
      <c r="GF88" s="5" t="n"/>
      <c r="GG88" s="5" t="n"/>
      <c r="GH88" s="5" t="n"/>
      <c r="GI88" s="5" t="n"/>
      <c r="GJ88" s="5" t="n"/>
      <c r="GK88" s="5" t="n"/>
      <c r="GL88" s="5" t="n"/>
      <c r="GM88" s="5" t="n"/>
      <c r="GN88" s="5" t="n"/>
      <c r="GO88" s="5" t="n"/>
      <c r="GP88" s="5" t="n"/>
      <c r="GQ88" s="5" t="n"/>
      <c r="GR88" s="5" t="n"/>
      <c r="GS88" s="5" t="n"/>
      <c r="GT88" s="5" t="n"/>
      <c r="GU88" s="5" t="n"/>
      <c r="GV88" s="5" t="n"/>
      <c r="GW88" s="5" t="n"/>
      <c r="GX88" s="5" t="n"/>
      <c r="GY88" s="5" t="n"/>
    </row>
    <row r="89">
      <c r="G89" s="5" t="n"/>
      <c r="H89" s="5" t="n"/>
      <c r="I89" s="5" t="n"/>
      <c r="J89" s="5" t="n"/>
      <c r="K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  <c r="EM89" s="5" t="n"/>
      <c r="EN89" s="5" t="n"/>
      <c r="EO89" s="5" t="n"/>
      <c r="EP89" s="5" t="n"/>
      <c r="EQ89" s="5" t="n"/>
      <c r="ER89" s="5" t="n"/>
      <c r="ES89" s="5" t="n"/>
      <c r="ET89" s="5" t="n"/>
      <c r="EU89" s="5" t="n"/>
      <c r="EV89" s="5" t="n"/>
      <c r="EW89" s="5" t="n"/>
      <c r="EX89" s="5" t="n"/>
      <c r="EY89" s="5" t="n"/>
      <c r="EZ89" s="5" t="n"/>
      <c r="FA89" s="5" t="n"/>
      <c r="FB89" s="5" t="n"/>
      <c r="FC89" s="5" t="n"/>
      <c r="FD89" s="5" t="n"/>
      <c r="FE89" s="5" t="n"/>
      <c r="FF89" s="5" t="n"/>
      <c r="FG89" s="5" t="n"/>
      <c r="FH89" s="5" t="n"/>
      <c r="FI89" s="5" t="n"/>
      <c r="FJ89" s="5" t="n"/>
      <c r="FK89" s="5" t="n"/>
      <c r="FL89" s="5" t="n"/>
      <c r="FM89" s="5" t="n"/>
      <c r="FN89" s="5" t="n"/>
      <c r="FO89" s="5" t="n"/>
      <c r="FP89" s="5" t="n"/>
      <c r="FQ89" s="5" t="n"/>
      <c r="FR89" s="5" t="n"/>
      <c r="FS89" s="5" t="n"/>
      <c r="FT89" s="5" t="n"/>
      <c r="FU89" s="5" t="n"/>
      <c r="FV89" s="5" t="n"/>
      <c r="FW89" s="5" t="n"/>
      <c r="FX89" s="5" t="n"/>
      <c r="FY89" s="5" t="n"/>
      <c r="FZ89" s="5" t="n"/>
      <c r="GA89" s="5" t="n"/>
      <c r="GB89" s="5" t="n"/>
      <c r="GC89" s="5" t="n"/>
      <c r="GD89" s="5" t="n"/>
      <c r="GE89" s="5" t="n"/>
      <c r="GF89" s="5" t="n"/>
      <c r="GG89" s="5" t="n"/>
      <c r="GH89" s="5" t="n"/>
      <c r="GI89" s="5" t="n"/>
      <c r="GJ89" s="5" t="n"/>
      <c r="GK89" s="5" t="n"/>
      <c r="GL89" s="5" t="n"/>
      <c r="GM89" s="5" t="n"/>
      <c r="GN89" s="5" t="n"/>
      <c r="GO89" s="5" t="n"/>
      <c r="GP89" s="5" t="n"/>
      <c r="GQ89" s="5" t="n"/>
      <c r="GR89" s="5" t="n"/>
      <c r="GS89" s="5" t="n"/>
      <c r="GT89" s="5" t="n"/>
      <c r="GU89" s="5" t="n"/>
      <c r="GV89" s="5" t="n"/>
      <c r="GW89" s="5" t="n"/>
      <c r="GX89" s="5" t="n"/>
      <c r="GY89" s="5" t="n"/>
    </row>
    <row r="90">
      <c r="D90" t="inlineStr">
        <is>
          <t>DAE</t>
        </is>
      </c>
      <c r="E90" t="inlineStr">
        <is>
          <t>MAE</t>
        </is>
      </c>
      <c r="F90">
        <f>COUNT(M90:GJ90)</f>
        <v/>
      </c>
      <c r="G90" s="5">
        <f>AVERAGE(M90:GJ90)</f>
        <v/>
      </c>
      <c r="H90" s="5">
        <f>MAX(M90:GJ90)</f>
        <v/>
      </c>
      <c r="I90" s="5">
        <f>MIN(M90:GJ90)</f>
        <v/>
      </c>
      <c r="J90" s="5">
        <f>_xlfn.STDEV.P(M90:GJ90)</f>
        <v/>
      </c>
      <c r="K90" s="5">
        <f>_xlfn.VAR.S(M90:GJ90)</f>
        <v/>
      </c>
      <c r="M90" s="5" t="n">
        <v>16.309921</v>
      </c>
      <c r="N90" s="5" t="n">
        <v>14.185389</v>
      </c>
      <c r="O90" s="5" t="n">
        <v>14.077627</v>
      </c>
      <c r="P90" s="5" t="n">
        <v>13.783676</v>
      </c>
      <c r="Q90" s="5" t="n">
        <v>16.006042</v>
      </c>
      <c r="R90" s="5" t="n">
        <v>14.077511</v>
      </c>
      <c r="S90" s="5" t="n">
        <v>13.91381</v>
      </c>
      <c r="T90" s="5" t="n">
        <v>15.562812</v>
      </c>
      <c r="U90" s="5" t="n">
        <v>14.440831</v>
      </c>
      <c r="V90" s="5" t="n">
        <v>15.737515</v>
      </c>
      <c r="W90" s="5" t="n">
        <v>13.192243</v>
      </c>
      <c r="X90" s="5" t="n">
        <v>20.043928</v>
      </c>
      <c r="Y90" s="5" t="n">
        <v>14.556777</v>
      </c>
      <c r="Z90" s="5" t="n">
        <v>14.690902</v>
      </c>
      <c r="AA90" s="5" t="n">
        <v>14.725743</v>
      </c>
      <c r="AB90" s="5" t="n">
        <v>15.934604</v>
      </c>
      <c r="AC90" s="5" t="n">
        <v>15.71878</v>
      </c>
      <c r="AD90" s="5" t="n">
        <v>13.954406</v>
      </c>
      <c r="AE90" s="5" t="n">
        <v>15.018115</v>
      </c>
      <c r="AF90" s="5" t="n">
        <v>15.620454</v>
      </c>
      <c r="AG90" s="5" t="n">
        <v>13.467061</v>
      </c>
      <c r="AH90" s="5" t="n">
        <v>15.736636</v>
      </c>
      <c r="AI90" s="5" t="n">
        <v>14.782989</v>
      </c>
      <c r="AJ90" s="5" t="n">
        <v>14.946835</v>
      </c>
      <c r="AK90" s="5" t="n">
        <v>14.83258</v>
      </c>
      <c r="AL90" s="5" t="n">
        <v>15.786056</v>
      </c>
      <c r="AM90" s="5" t="n">
        <v>14.118607</v>
      </c>
      <c r="AN90" s="5" t="n">
        <v>14.159841</v>
      </c>
      <c r="AO90" s="5" t="n">
        <v>14.036192</v>
      </c>
      <c r="AP90" s="5" t="n">
        <v>14.83744</v>
      </c>
      <c r="AQ90" s="5" t="n">
        <v>15.698222</v>
      </c>
      <c r="AR90" s="5" t="n">
        <v>14.316072</v>
      </c>
      <c r="AS90" s="5" t="n">
        <v>16.854504</v>
      </c>
      <c r="AT90" s="5" t="n">
        <v>14.986613</v>
      </c>
      <c r="AU90" s="5" t="n">
        <v>15.766247</v>
      </c>
      <c r="AV90" s="5" t="n">
        <v>13.831279</v>
      </c>
      <c r="AW90" s="5" t="n">
        <v>19.911949</v>
      </c>
      <c r="AX90" s="5" t="n">
        <v>15.107606</v>
      </c>
      <c r="AY90" s="5" t="n">
        <v>15.509993</v>
      </c>
      <c r="AZ90" s="5" t="n">
        <v>13.563448</v>
      </c>
      <c r="BA90" s="5" t="n">
        <v>13.570265</v>
      </c>
      <c r="BB90" s="5" t="n">
        <v>15.421794</v>
      </c>
      <c r="BC90" s="5" t="n">
        <v>13.845905</v>
      </c>
      <c r="BD90" s="5" t="n">
        <v>14.864259</v>
      </c>
      <c r="BE90" s="5" t="n">
        <v>17.5928</v>
      </c>
      <c r="BF90" s="5" t="n">
        <v>14.239794</v>
      </c>
      <c r="BG90" s="5" t="n">
        <v>15.223331</v>
      </c>
      <c r="BH90" s="5" t="n">
        <v>15.897593</v>
      </c>
      <c r="BI90" s="5" t="n">
        <v>14.295104</v>
      </c>
      <c r="BJ90" s="5" t="n">
        <v>14.829422</v>
      </c>
      <c r="BK90" s="5" t="n">
        <v>15.456347</v>
      </c>
      <c r="BL90" s="5" t="n">
        <v>14.17769</v>
      </c>
      <c r="BM90" s="5" t="n">
        <v>15.440463</v>
      </c>
      <c r="BN90" s="5" t="n">
        <v>14.158357</v>
      </c>
      <c r="BO90" s="5" t="n">
        <v>15.540749</v>
      </c>
      <c r="BP90" s="5" t="n">
        <v>15.282972</v>
      </c>
      <c r="BQ90" s="5" t="n">
        <v>13.109618</v>
      </c>
      <c r="BR90" s="5" t="n">
        <v>15.988594</v>
      </c>
      <c r="BS90" s="5" t="n">
        <v>14.030301</v>
      </c>
      <c r="BT90" s="5" t="n">
        <v>14.879197</v>
      </c>
      <c r="BU90" s="5" t="n">
        <v>13.381068</v>
      </c>
      <c r="BV90" s="5" t="n">
        <v>19.750937</v>
      </c>
      <c r="BW90" s="5" t="n">
        <v>14.4047</v>
      </c>
      <c r="BX90" s="5" t="n">
        <v>14.456501</v>
      </c>
      <c r="BY90" s="5" t="n">
        <v>14.401632</v>
      </c>
      <c r="BZ90" s="5" t="n">
        <v>16.103464</v>
      </c>
      <c r="CA90" s="5" t="n">
        <v>15.68291</v>
      </c>
      <c r="CB90" s="5" t="n">
        <v>13.820532</v>
      </c>
      <c r="CC90" s="5" t="n">
        <v>14.859674</v>
      </c>
      <c r="CD90" s="5" t="n">
        <v>17.97529</v>
      </c>
      <c r="CE90" s="5" t="n">
        <v>14.31736</v>
      </c>
      <c r="CF90" s="5" t="n">
        <v>14.966441</v>
      </c>
      <c r="CG90" s="5" t="n">
        <v>15.101435</v>
      </c>
      <c r="CH90" s="5" t="n">
        <v>14.888792</v>
      </c>
      <c r="CI90" s="5" t="n">
        <v>14.39927</v>
      </c>
      <c r="CJ90" s="5" t="n">
        <v>16.897734</v>
      </c>
      <c r="CK90" s="5" t="n">
        <v>14.382137</v>
      </c>
      <c r="CL90" s="5" t="n">
        <v>16.323055</v>
      </c>
      <c r="CM90" s="5" t="n">
        <v>14.467419</v>
      </c>
      <c r="CN90" s="5" t="n">
        <v>14.996002</v>
      </c>
      <c r="CO90" s="5" t="n">
        <v>15.505906</v>
      </c>
      <c r="CP90" s="5" t="n">
        <v>14.251035</v>
      </c>
      <c r="CQ90" s="5" t="n">
        <v>15.586697</v>
      </c>
      <c r="CR90" s="5" t="n">
        <v>15.268203</v>
      </c>
      <c r="CS90" s="5" t="n">
        <v>13.668865</v>
      </c>
      <c r="CT90" s="5" t="n">
        <v>13.153378</v>
      </c>
      <c r="CU90" s="5" t="n">
        <v>19.467833</v>
      </c>
      <c r="CV90" s="5" t="n">
        <v>15.399185</v>
      </c>
      <c r="CW90" s="5" t="n">
        <v>15.868924</v>
      </c>
      <c r="CX90" s="5" t="n">
        <v>14.293283</v>
      </c>
      <c r="CY90" s="5" t="n">
        <v>14.575243</v>
      </c>
      <c r="CZ90" s="5" t="n">
        <v>14.832357</v>
      </c>
      <c r="DA90" s="5" t="n">
        <v>14.0825</v>
      </c>
      <c r="DB90" s="5" t="n">
        <v>16.069984</v>
      </c>
      <c r="DC90" s="5" t="n">
        <v>18.595785</v>
      </c>
      <c r="DD90" s="5" t="n">
        <v>14.968369</v>
      </c>
      <c r="DE90" s="5" t="n">
        <v>19.277918</v>
      </c>
      <c r="DF90" s="5" t="n">
        <v>15.966711</v>
      </c>
      <c r="DG90" s="5" t="n">
        <v>14.076376</v>
      </c>
      <c r="DH90" s="5" t="n">
        <v>14.965763</v>
      </c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  <c r="EM90" s="5" t="n"/>
      <c r="EN90" s="5" t="n"/>
      <c r="EO90" s="5" t="n"/>
      <c r="EP90" s="5" t="n"/>
      <c r="EQ90" s="5" t="n"/>
      <c r="ER90" s="5" t="n"/>
      <c r="ES90" s="5" t="n"/>
      <c r="ET90" s="5" t="n"/>
      <c r="EU90" s="5" t="n"/>
      <c r="EV90" s="5" t="n"/>
      <c r="EW90" s="5" t="n"/>
      <c r="EX90" s="5" t="n"/>
      <c r="EY90" s="5" t="n"/>
      <c r="EZ90" s="5" t="n"/>
      <c r="FA90" s="5" t="n"/>
      <c r="FB90" s="5" t="n"/>
      <c r="FC90" s="5" t="n"/>
      <c r="FD90" s="5" t="n"/>
      <c r="FE90" s="5" t="n"/>
      <c r="FF90" s="5" t="n"/>
      <c r="FG90" s="5" t="n"/>
      <c r="FH90" s="5" t="n"/>
      <c r="FI90" s="5" t="n"/>
      <c r="FJ90" s="5" t="n"/>
      <c r="FK90" s="5" t="n"/>
      <c r="FL90" s="5" t="n"/>
      <c r="FM90" s="5" t="n"/>
      <c r="FN90" s="5" t="n"/>
      <c r="FO90" s="5" t="n"/>
      <c r="FP90" s="5" t="n"/>
      <c r="FQ90" s="5" t="n"/>
      <c r="FR90" s="5" t="n"/>
      <c r="FS90" s="5" t="n"/>
      <c r="FT90" s="5" t="n"/>
      <c r="FU90" s="5" t="n"/>
      <c r="FV90" s="5" t="n"/>
      <c r="FW90" s="5" t="n"/>
      <c r="FX90" s="5" t="n"/>
      <c r="FY90" s="5" t="n"/>
      <c r="FZ90" s="5" t="n"/>
      <c r="GA90" s="5" t="n"/>
      <c r="GB90" s="5" t="n"/>
      <c r="GC90" s="5" t="n"/>
      <c r="GD90" s="5" t="n"/>
      <c r="GE90" s="5" t="n"/>
      <c r="GF90" s="5" t="n"/>
      <c r="GG90" s="5" t="n"/>
      <c r="GH90" s="5" t="n"/>
      <c r="GI90" s="5" t="n"/>
      <c r="GJ90" s="5" t="n"/>
      <c r="GK90" s="5" t="n"/>
      <c r="GL90" s="5" t="n"/>
      <c r="GM90" s="5" t="n"/>
      <c r="GN90" s="5" t="n"/>
      <c r="GO90" s="5" t="n"/>
      <c r="GP90" s="5" t="n"/>
      <c r="GQ90" s="5" t="n"/>
      <c r="GR90" s="5" t="n"/>
      <c r="GS90" s="5" t="n"/>
      <c r="GT90" s="5" t="n"/>
      <c r="GU90" s="5" t="n"/>
      <c r="GV90" s="5" t="n"/>
      <c r="GW90" s="5" t="n"/>
      <c r="GX90" s="5" t="n"/>
      <c r="GY90" s="5" t="n"/>
    </row>
    <row r="91">
      <c r="G91" s="5" t="n"/>
      <c r="H91" s="5" t="n"/>
      <c r="I91" s="5" t="n"/>
      <c r="J91" s="5" t="n"/>
      <c r="K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  <c r="EM91" s="5" t="n"/>
      <c r="EN91" s="5" t="n"/>
      <c r="EO91" s="5" t="n"/>
      <c r="EP91" s="5" t="n"/>
      <c r="EQ91" s="5" t="n"/>
      <c r="ER91" s="5" t="n"/>
      <c r="ES91" s="5" t="n"/>
      <c r="ET91" s="5" t="n"/>
      <c r="EU91" s="5" t="n"/>
      <c r="EV91" s="5" t="n"/>
      <c r="EW91" s="5" t="n"/>
      <c r="EX91" s="5" t="n"/>
      <c r="EY91" s="5" t="n"/>
      <c r="EZ91" s="5" t="n"/>
      <c r="FA91" s="5" t="n"/>
      <c r="FB91" s="5" t="n"/>
      <c r="FC91" s="5" t="n"/>
      <c r="FD91" s="5" t="n"/>
      <c r="FE91" s="5" t="n"/>
      <c r="FF91" s="5" t="n"/>
      <c r="FG91" s="5" t="n"/>
      <c r="FH91" s="5" t="n"/>
      <c r="FI91" s="5" t="n"/>
      <c r="FJ91" s="5" t="n"/>
      <c r="FK91" s="5" t="n"/>
      <c r="FL91" s="5" t="n"/>
      <c r="FM91" s="5" t="n"/>
      <c r="FN91" s="5" t="n"/>
      <c r="FO91" s="5" t="n"/>
      <c r="FP91" s="5" t="n"/>
      <c r="FQ91" s="5" t="n"/>
      <c r="FR91" s="5" t="n"/>
      <c r="FS91" s="5" t="n"/>
      <c r="FT91" s="5" t="n"/>
      <c r="FU91" s="5" t="n"/>
      <c r="FV91" s="5" t="n"/>
      <c r="FW91" s="5" t="n"/>
      <c r="FX91" s="5" t="n"/>
      <c r="FY91" s="5" t="n"/>
      <c r="FZ91" s="5" t="n"/>
      <c r="GA91" s="5" t="n"/>
      <c r="GB91" s="5" t="n"/>
      <c r="GC91" s="5" t="n"/>
      <c r="GD91" s="5" t="n"/>
      <c r="GE91" s="5" t="n"/>
      <c r="GF91" s="5" t="n"/>
      <c r="GG91" s="5" t="n"/>
      <c r="GH91" s="5" t="n"/>
      <c r="GI91" s="5" t="n"/>
      <c r="GJ91" s="5" t="n"/>
      <c r="GK91" s="5" t="n"/>
      <c r="GL91" s="5" t="n"/>
      <c r="GM91" s="5" t="n"/>
      <c r="GN91" s="5" t="n"/>
      <c r="GO91" s="5" t="n"/>
      <c r="GP91" s="5" t="n"/>
      <c r="GQ91" s="5" t="n"/>
      <c r="GR91" s="5" t="n"/>
      <c r="GS91" s="5" t="n"/>
      <c r="GT91" s="5" t="n"/>
      <c r="GU91" s="5" t="n"/>
      <c r="GV91" s="5" t="n"/>
      <c r="GW91" s="5" t="n"/>
      <c r="GX91" s="5" t="n"/>
      <c r="GY91" s="5" t="n"/>
    </row>
    <row r="92">
      <c r="D92" t="inlineStr">
        <is>
          <t>Seq2Seq</t>
        </is>
      </c>
      <c r="E92" t="inlineStr">
        <is>
          <t>MAE</t>
        </is>
      </c>
      <c r="F92">
        <f>COUNT(M92:GJ92)</f>
        <v/>
      </c>
      <c r="G92" s="5">
        <f>AVERAGE(M92:GJ92)</f>
        <v/>
      </c>
      <c r="H92" s="5">
        <f>MAX(M92:GJ92)</f>
        <v/>
      </c>
      <c r="I92" s="5">
        <f>MIN(M92:GJ92)</f>
        <v/>
      </c>
      <c r="J92" s="5">
        <f>_xlfn.STDEV.P(M92:GJ92)</f>
        <v/>
      </c>
      <c r="K92" s="5">
        <f>_xlfn.VAR.S(M92:GJ92)</f>
        <v/>
      </c>
      <c r="M92" s="5" t="n">
        <v>15.839841</v>
      </c>
      <c r="N92" s="5" t="n">
        <v>15.657655</v>
      </c>
      <c r="O92" s="5" t="n">
        <v>15.849903</v>
      </c>
      <c r="P92" s="5" t="n">
        <v>14.165429</v>
      </c>
      <c r="Q92" s="5" t="n">
        <v>14.536583</v>
      </c>
      <c r="R92" s="5" t="n">
        <v>16.567869</v>
      </c>
      <c r="S92" s="5" t="n">
        <v>15.995053</v>
      </c>
      <c r="T92" s="5" t="n">
        <v>15.848653</v>
      </c>
      <c r="U92" s="5" t="n">
        <v>16.4314</v>
      </c>
      <c r="V92" s="5" t="n">
        <v>16.206255</v>
      </c>
      <c r="W92" s="5" t="n">
        <v>15.161147</v>
      </c>
      <c r="X92" s="5" t="n">
        <v>15.533253</v>
      </c>
      <c r="Y92" s="5" t="n">
        <v>14.920579</v>
      </c>
      <c r="Z92" s="5" t="n">
        <v>17.410078</v>
      </c>
      <c r="AA92" s="5" t="n">
        <v>14.792382</v>
      </c>
      <c r="AB92" s="5" t="n">
        <v>16.18808</v>
      </c>
      <c r="AC92" s="5" t="n">
        <v>14.959612</v>
      </c>
      <c r="AD92" s="5" t="n">
        <v>15.850834</v>
      </c>
      <c r="AE92" s="5" t="n">
        <v>15.77325</v>
      </c>
      <c r="AF92" s="5" t="n">
        <v>16.692022</v>
      </c>
      <c r="AG92" s="5" t="n">
        <v>15.539286</v>
      </c>
      <c r="AH92" s="5" t="n">
        <v>15.981897</v>
      </c>
      <c r="AI92" s="5" t="n">
        <v>16.391888</v>
      </c>
      <c r="AJ92" s="5" t="n">
        <v>16.433569</v>
      </c>
      <c r="AK92" s="5" t="n">
        <v>16.566383</v>
      </c>
      <c r="AL92" s="5" t="n">
        <v>16.325588</v>
      </c>
      <c r="AM92" s="5" t="n">
        <v>15.983784</v>
      </c>
      <c r="AN92" s="5" t="n">
        <v>13.128679</v>
      </c>
      <c r="AO92" s="5" t="n">
        <v>13.043798</v>
      </c>
      <c r="AP92" s="5" t="n">
        <v>14.880925</v>
      </c>
      <c r="AQ92" s="5" t="n">
        <v>15.925054</v>
      </c>
      <c r="AR92" s="5" t="n">
        <v>15.075427</v>
      </c>
      <c r="AS92" s="5" t="n">
        <v>14.77712</v>
      </c>
      <c r="AT92" s="5" t="n">
        <v>14.603903</v>
      </c>
      <c r="AU92" s="5" t="n">
        <v>15.936836</v>
      </c>
      <c r="AV92" s="5" t="n">
        <v>14.11632</v>
      </c>
      <c r="AW92" s="5" t="n">
        <v>16.043322</v>
      </c>
      <c r="AX92" s="5" t="n">
        <v>16.781933</v>
      </c>
      <c r="AY92" s="5" t="n">
        <v>15.254034</v>
      </c>
      <c r="AZ92" s="5" t="n">
        <v>17.804096</v>
      </c>
      <c r="BA92" s="5" t="n">
        <v>15.335391</v>
      </c>
      <c r="BB92" s="5" t="n">
        <v>16.154705</v>
      </c>
      <c r="BC92" s="5" t="n">
        <v>15.545456</v>
      </c>
      <c r="BD92" s="5" t="n">
        <v>16.276865</v>
      </c>
      <c r="BE92" s="5" t="n">
        <v>16.681557</v>
      </c>
      <c r="BF92" s="5" t="n">
        <v>16.945639</v>
      </c>
      <c r="BG92" s="5" t="n">
        <v>16.987516</v>
      </c>
      <c r="BH92" s="5" t="n">
        <v>14.33574</v>
      </c>
      <c r="BI92" s="5" t="n">
        <v>16.618988</v>
      </c>
      <c r="BJ92" s="5" t="n">
        <v>15.825747</v>
      </c>
      <c r="BK92" s="5" t="n">
        <v>17.115257</v>
      </c>
      <c r="BL92" s="5" t="n">
        <v>15.680271</v>
      </c>
      <c r="BM92" s="5" t="n">
        <v>13.455043</v>
      </c>
      <c r="BN92" s="5" t="n">
        <v>13.043275</v>
      </c>
      <c r="BO92" s="5" t="n">
        <v>14.033967</v>
      </c>
      <c r="BP92" s="5" t="n">
        <v>15.997317</v>
      </c>
      <c r="BQ92" s="5" t="n">
        <v>16.400412</v>
      </c>
      <c r="BR92" s="5" t="n">
        <v>16.132172</v>
      </c>
      <c r="BS92" s="5" t="n">
        <v>15.243728</v>
      </c>
      <c r="BT92" s="5" t="n">
        <v>16.233265</v>
      </c>
      <c r="BU92" s="5" t="n">
        <v>15.786731</v>
      </c>
      <c r="BV92" s="5" t="n">
        <v>16.56953</v>
      </c>
      <c r="BW92" s="5" t="n">
        <v>15.25122</v>
      </c>
      <c r="BX92" s="5" t="n">
        <v>16.464273</v>
      </c>
      <c r="BY92" s="5" t="n">
        <v>15.159593</v>
      </c>
      <c r="BZ92" s="5" t="n">
        <v>14.940684</v>
      </c>
      <c r="CA92" s="5" t="n">
        <v>15.201426</v>
      </c>
      <c r="CB92" s="5" t="n">
        <v>16.822863</v>
      </c>
      <c r="CC92" s="5" t="n">
        <v>15.359795</v>
      </c>
      <c r="CD92" s="5" t="n">
        <v>16.294622</v>
      </c>
      <c r="CE92" s="5" t="n">
        <v>15.745461</v>
      </c>
      <c r="CF92" s="5" t="n">
        <v>15.155034</v>
      </c>
      <c r="CG92" s="5" t="n">
        <v>16.756798</v>
      </c>
      <c r="CH92" s="5" t="n">
        <v>15.11117</v>
      </c>
      <c r="CI92" s="5" t="n">
        <v>14.940098</v>
      </c>
      <c r="CJ92" s="5" t="n">
        <v>15.694607</v>
      </c>
      <c r="CK92" s="5" t="n">
        <v>15.646402</v>
      </c>
      <c r="CL92" s="5" t="n">
        <v>15.099893</v>
      </c>
      <c r="CM92" s="5" t="n">
        <v>12.145689</v>
      </c>
      <c r="CN92" s="5" t="n">
        <v>14.597973</v>
      </c>
      <c r="CO92" s="5" t="n">
        <v>16.82518</v>
      </c>
      <c r="CP92" s="5" t="n">
        <v>14.770251</v>
      </c>
      <c r="CQ92" s="5" t="n">
        <v>14.935163</v>
      </c>
      <c r="CR92" s="5" t="n">
        <v>16.0401</v>
      </c>
      <c r="CS92" s="5" t="n">
        <v>16.128359</v>
      </c>
      <c r="CT92" s="5" t="n">
        <v>14.940346</v>
      </c>
      <c r="CU92" s="5" t="n">
        <v>16.243998</v>
      </c>
      <c r="CV92" s="5" t="n">
        <v>15.317847</v>
      </c>
      <c r="CW92" s="5" t="n">
        <v>16.819258</v>
      </c>
      <c r="CX92" s="5" t="n">
        <v>14.838407</v>
      </c>
      <c r="CY92" s="5" t="n">
        <v>15.601908</v>
      </c>
      <c r="CZ92" s="5" t="n">
        <v>14.866256</v>
      </c>
      <c r="DA92" s="5" t="n">
        <v>15.666778</v>
      </c>
      <c r="DB92" s="5" t="n">
        <v>14.482169</v>
      </c>
      <c r="DC92" s="5" t="n">
        <v>15.519255</v>
      </c>
      <c r="DD92" s="5" t="n">
        <v>15.697274</v>
      </c>
      <c r="DE92" s="5" t="n">
        <v>16.949848</v>
      </c>
      <c r="DF92" s="5" t="n">
        <v>14.662719</v>
      </c>
      <c r="DG92" s="5" t="n">
        <v>15.152379</v>
      </c>
      <c r="DH92" s="5" t="n">
        <v>14.155933</v>
      </c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  <c r="EM92" s="5" t="n"/>
      <c r="EN92" s="5" t="n"/>
      <c r="EO92" s="5" t="n"/>
      <c r="EP92" s="5" t="n"/>
      <c r="EQ92" s="5" t="n"/>
      <c r="ER92" s="5" t="n"/>
      <c r="ES92" s="5" t="n"/>
      <c r="ET92" s="5" t="n"/>
      <c r="EU92" s="5" t="n"/>
      <c r="EV92" s="5" t="n"/>
      <c r="EW92" s="5" t="n"/>
      <c r="EX92" s="5" t="n"/>
      <c r="EY92" s="5" t="n"/>
      <c r="EZ92" s="5" t="n"/>
      <c r="FA92" s="5" t="n"/>
      <c r="FB92" s="5" t="n"/>
      <c r="FC92" s="5" t="n"/>
      <c r="FD92" s="5" t="n"/>
      <c r="FE92" s="5" t="n"/>
      <c r="FF92" s="5" t="n"/>
      <c r="FG92" s="5" t="n"/>
      <c r="FH92" s="5" t="n"/>
      <c r="FI92" s="5" t="n"/>
      <c r="FJ92" s="5" t="n"/>
      <c r="FK92" s="5" t="n"/>
      <c r="FL92" s="5" t="n"/>
      <c r="FM92" s="5" t="n"/>
      <c r="FN92" s="5" t="n"/>
      <c r="FO92" s="5" t="n"/>
      <c r="FP92" s="5" t="n"/>
      <c r="FQ92" s="5" t="n"/>
      <c r="FR92" s="5" t="n"/>
      <c r="FS92" s="5" t="n"/>
      <c r="FT92" s="5" t="n"/>
      <c r="FU92" s="5" t="n"/>
      <c r="FV92" s="5" t="n"/>
      <c r="FW92" s="5" t="n"/>
      <c r="FX92" s="5" t="n"/>
      <c r="FY92" s="5" t="n"/>
      <c r="FZ92" s="5" t="n"/>
      <c r="GA92" s="5" t="n"/>
      <c r="GB92" s="5" t="n"/>
      <c r="GC92" s="5" t="n"/>
      <c r="GD92" s="5" t="n"/>
      <c r="GE92" s="5" t="n"/>
      <c r="GF92" s="5" t="n"/>
      <c r="GG92" s="5" t="n"/>
      <c r="GH92" s="5" t="n"/>
      <c r="GI92" s="5" t="n"/>
      <c r="GJ92" s="5" t="n"/>
      <c r="GK92" s="5" t="n"/>
      <c r="GL92" s="5" t="n"/>
      <c r="GM92" s="5" t="n"/>
      <c r="GN92" s="5" t="n"/>
      <c r="GO92" s="5" t="n"/>
      <c r="GP92" s="5" t="n"/>
      <c r="GQ92" s="5" t="n"/>
      <c r="GR92" s="5" t="n"/>
      <c r="GS92" s="5" t="n"/>
      <c r="GT92" s="5" t="n"/>
      <c r="GU92" s="5" t="n"/>
      <c r="GV92" s="5" t="n"/>
      <c r="GW92" s="5" t="n"/>
      <c r="GX92" s="5" t="n"/>
      <c r="GY92" s="5" t="n"/>
    </row>
    <row r="93">
      <c r="G93" s="5" t="n"/>
      <c r="H93" s="5" t="n"/>
      <c r="I93" s="5" t="n"/>
      <c r="J93" s="5" t="n"/>
      <c r="K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  <c r="EM93" s="5" t="n"/>
      <c r="EN93" s="5" t="n"/>
      <c r="EO93" s="5" t="n"/>
      <c r="EP93" s="5" t="n"/>
      <c r="EQ93" s="5" t="n"/>
      <c r="ER93" s="5" t="n"/>
      <c r="ES93" s="5" t="n"/>
      <c r="ET93" s="5" t="n"/>
      <c r="EU93" s="5" t="n"/>
      <c r="EV93" s="5" t="n"/>
      <c r="EW93" s="5" t="n"/>
      <c r="EX93" s="5" t="n"/>
      <c r="EY93" s="5" t="n"/>
      <c r="EZ93" s="5" t="n"/>
      <c r="FA93" s="5" t="n"/>
      <c r="FB93" s="5" t="n"/>
      <c r="FC93" s="5" t="n"/>
      <c r="FD93" s="5" t="n"/>
      <c r="FE93" s="5" t="n"/>
      <c r="FF93" s="5" t="n"/>
      <c r="FG93" s="5" t="n"/>
      <c r="FH93" s="5" t="n"/>
      <c r="FI93" s="5" t="n"/>
      <c r="FJ93" s="5" t="n"/>
      <c r="FK93" s="5" t="n"/>
      <c r="FL93" s="5" t="n"/>
      <c r="FM93" s="5" t="n"/>
      <c r="FN93" s="5" t="n"/>
      <c r="FO93" s="5" t="n"/>
      <c r="FP93" s="5" t="n"/>
      <c r="FQ93" s="5" t="n"/>
      <c r="FR93" s="5" t="n"/>
      <c r="FS93" s="5" t="n"/>
      <c r="FT93" s="5" t="n"/>
      <c r="FU93" s="5" t="n"/>
      <c r="FV93" s="5" t="n"/>
      <c r="FW93" s="5" t="n"/>
      <c r="FX93" s="5" t="n"/>
      <c r="FY93" s="5" t="n"/>
      <c r="FZ93" s="5" t="n"/>
      <c r="GA93" s="5" t="n"/>
      <c r="GB93" s="5" t="n"/>
      <c r="GC93" s="5" t="n"/>
      <c r="GD93" s="5" t="n"/>
      <c r="GE93" s="5" t="n"/>
      <c r="GF93" s="5" t="n"/>
      <c r="GG93" s="5" t="n"/>
      <c r="GH93" s="5" t="n"/>
      <c r="GI93" s="5" t="n"/>
      <c r="GJ93" s="5" t="n"/>
      <c r="GK93" s="5" t="n"/>
      <c r="GL93" s="5" t="n"/>
      <c r="GM93" s="5" t="n"/>
      <c r="GN93" s="5" t="n"/>
      <c r="GO93" s="5" t="n"/>
      <c r="GP93" s="5" t="n"/>
      <c r="GQ93" s="5" t="n"/>
      <c r="GR93" s="5" t="n"/>
      <c r="GS93" s="5" t="n"/>
      <c r="GT93" s="5" t="n"/>
      <c r="GU93" s="5" t="n"/>
      <c r="GV93" s="5" t="n"/>
      <c r="GW93" s="5" t="n"/>
      <c r="GX93" s="5" t="n"/>
      <c r="GY93" s="5" t="n"/>
    </row>
    <row r="94">
      <c r="D94" t="inlineStr">
        <is>
          <t>Seq2Point</t>
        </is>
      </c>
      <c r="E94" t="inlineStr">
        <is>
          <t>MAE</t>
        </is>
      </c>
      <c r="F94">
        <f>COUNT(M94:GJ94)</f>
        <v/>
      </c>
      <c r="G94" s="5">
        <f>AVERAGE(M94:GJ94)</f>
        <v/>
      </c>
      <c r="H94" s="5">
        <f>MAX(M94:GJ94)</f>
        <v/>
      </c>
      <c r="I94" s="5">
        <f>MIN(M94:GJ94)</f>
        <v/>
      </c>
      <c r="J94" s="5">
        <f>_xlfn.STDEV.P(M94:GJ94)</f>
        <v/>
      </c>
      <c r="K94" s="5">
        <f>_xlfn.VAR.S(M94:GJ94)</f>
        <v/>
      </c>
      <c r="M94" s="5" t="n">
        <v>14.08218</v>
      </c>
      <c r="N94" s="5" t="n">
        <v>15.381543</v>
      </c>
      <c r="O94" s="5" t="n">
        <v>15.593939</v>
      </c>
      <c r="P94" s="5" t="n">
        <v>16.22258</v>
      </c>
      <c r="Q94" s="5" t="n">
        <v>16.50189</v>
      </c>
      <c r="R94" s="5" t="n">
        <v>17.354132</v>
      </c>
      <c r="S94" s="5" t="n">
        <v>15.627085</v>
      </c>
      <c r="T94" s="5" t="n">
        <v>16.06571</v>
      </c>
      <c r="U94" s="5" t="n">
        <v>16.675402</v>
      </c>
      <c r="V94" s="5" t="n">
        <v>16.555405</v>
      </c>
      <c r="W94" s="5" t="n">
        <v>19.926895</v>
      </c>
      <c r="X94" s="5" t="n">
        <v>15.4206</v>
      </c>
      <c r="Y94" s="5" t="n">
        <v>16.018267</v>
      </c>
      <c r="Z94" s="5" t="n">
        <v>14.900393</v>
      </c>
      <c r="AA94" s="5" t="n">
        <v>15.567556</v>
      </c>
      <c r="AB94" s="5" t="n">
        <v>14.892479</v>
      </c>
      <c r="AC94" s="5" t="n">
        <v>14.650751</v>
      </c>
      <c r="AD94" s="5" t="n">
        <v>16.224136</v>
      </c>
      <c r="AE94" s="5" t="n">
        <v>14.998826</v>
      </c>
      <c r="AF94" s="5" t="n">
        <v>16.617588</v>
      </c>
      <c r="AG94" s="5" t="n">
        <v>16.798052</v>
      </c>
      <c r="AH94" s="5" t="n">
        <v>14.379994</v>
      </c>
      <c r="AI94" s="5" t="n">
        <v>15.608371</v>
      </c>
      <c r="AJ94" s="5" t="n">
        <v>15.663316</v>
      </c>
      <c r="AK94" s="5" t="n">
        <v>16.473488</v>
      </c>
      <c r="AL94" s="5" t="n">
        <v>14.691942</v>
      </c>
      <c r="AM94" s="5" t="n">
        <v>15.326037</v>
      </c>
      <c r="AN94" s="5" t="n">
        <v>16.926283</v>
      </c>
      <c r="AO94" s="5" t="n">
        <v>14.915573</v>
      </c>
      <c r="AP94" s="5" t="n">
        <v>16.57868</v>
      </c>
      <c r="AQ94" s="5" t="n">
        <v>15.904578</v>
      </c>
      <c r="AR94" s="5" t="n">
        <v>16.89193</v>
      </c>
      <c r="AS94" s="5" t="n">
        <v>15.50438</v>
      </c>
      <c r="AT94" s="5" t="n">
        <v>15.702637</v>
      </c>
      <c r="AU94" s="5" t="n">
        <v>16.711357</v>
      </c>
      <c r="AV94" s="5" t="n">
        <v>15.338587</v>
      </c>
      <c r="AW94" s="5" t="n">
        <v>15.893456</v>
      </c>
      <c r="AX94" s="5" t="n">
        <v>14.820086</v>
      </c>
      <c r="AY94" s="5" t="n">
        <v>16.770155</v>
      </c>
      <c r="AZ94" s="5" t="n">
        <v>16.141428</v>
      </c>
      <c r="BA94" s="5" t="n">
        <v>14.94886</v>
      </c>
      <c r="BB94" s="5" t="n">
        <v>16.016497</v>
      </c>
      <c r="BC94" s="5" t="n">
        <v>16.720644</v>
      </c>
      <c r="BD94" s="5" t="n">
        <v>16.633051</v>
      </c>
      <c r="BE94" s="5" t="n">
        <v>15.522845</v>
      </c>
      <c r="BF94" s="5" t="n">
        <v>15.654574</v>
      </c>
      <c r="BG94" s="5" t="n">
        <v>15.605128</v>
      </c>
      <c r="BH94" s="5" t="n">
        <v>15.786354</v>
      </c>
      <c r="BI94" s="5" t="n">
        <v>15.10699</v>
      </c>
      <c r="BJ94" s="5" t="n">
        <v>15.681242</v>
      </c>
      <c r="BK94" s="5" t="n">
        <v>15.640161</v>
      </c>
      <c r="BL94" s="5" t="n">
        <v>15.789376</v>
      </c>
      <c r="BM94" s="5" t="n">
        <v>15.981329</v>
      </c>
      <c r="BN94" s="5" t="n">
        <v>14.658116</v>
      </c>
      <c r="BO94" s="5" t="n">
        <v>16.58514</v>
      </c>
      <c r="BP94" s="5" t="n">
        <v>16.75144</v>
      </c>
      <c r="BQ94" s="5" t="n">
        <v>16.159397</v>
      </c>
      <c r="BR94" s="5" t="n">
        <v>16.015173</v>
      </c>
      <c r="BS94" s="5" t="n">
        <v>15.947376</v>
      </c>
      <c r="BT94" s="5" t="n">
        <v>16.04401</v>
      </c>
      <c r="BU94" s="5" t="n">
        <v>15.519608</v>
      </c>
      <c r="BV94" s="5" t="n">
        <v>17.001938</v>
      </c>
      <c r="BW94" s="5" t="n">
        <v>14.598529</v>
      </c>
      <c r="BX94" s="5" t="n">
        <v>16.529581</v>
      </c>
      <c r="BY94" s="5" t="n">
        <v>15.888335</v>
      </c>
      <c r="BZ94" s="5" t="n">
        <v>20.437244</v>
      </c>
      <c r="CA94" s="5" t="n">
        <v>15.487967</v>
      </c>
      <c r="CB94" s="5" t="n">
        <v>16.384766</v>
      </c>
      <c r="CC94" s="5" t="n">
        <v>15.726454</v>
      </c>
      <c r="CD94" s="5" t="n">
        <v>15.922396</v>
      </c>
      <c r="CE94" s="5" t="n">
        <v>15.578596</v>
      </c>
      <c r="CF94" s="5" t="n">
        <v>16.021938</v>
      </c>
      <c r="CG94" s="5" t="n">
        <v>16.375206</v>
      </c>
      <c r="CH94" s="5" t="n">
        <v>16.608572</v>
      </c>
      <c r="CI94" s="5" t="n">
        <v>15.75109</v>
      </c>
      <c r="CJ94" s="5" t="n">
        <v>15.578112</v>
      </c>
      <c r="CK94" s="5" t="n">
        <v>15.56376</v>
      </c>
      <c r="CL94" s="5" t="n">
        <v>16.119808</v>
      </c>
      <c r="CM94" s="5" t="n">
        <v>14.581848</v>
      </c>
      <c r="CN94" s="5" t="n">
        <v>16.726601</v>
      </c>
      <c r="CO94" s="5" t="n">
        <v>15.546206</v>
      </c>
      <c r="CP94" s="5" t="n">
        <v>16.594355</v>
      </c>
      <c r="CQ94" s="5" t="n">
        <v>16.141048</v>
      </c>
      <c r="CR94" s="5" t="n">
        <v>16.172953</v>
      </c>
      <c r="CS94" s="5" t="n">
        <v>16.465361</v>
      </c>
      <c r="CT94" s="5" t="n">
        <v>14.591872</v>
      </c>
      <c r="CU94" s="5" t="n">
        <v>16.076889</v>
      </c>
      <c r="CV94" s="5" t="n">
        <v>14.758169</v>
      </c>
      <c r="CW94" s="5" t="n">
        <v>16.21953</v>
      </c>
      <c r="CX94" s="5" t="n">
        <v>15.10262</v>
      </c>
      <c r="CY94" s="5" t="n">
        <v>14.974176</v>
      </c>
      <c r="CZ94" s="5" t="n">
        <v>14.50735</v>
      </c>
      <c r="DA94" s="5" t="n">
        <v>16.58164</v>
      </c>
      <c r="DB94" s="5" t="n">
        <v>16.172638</v>
      </c>
      <c r="DC94" s="5" t="n">
        <v>15.881533</v>
      </c>
      <c r="DD94" s="5" t="n">
        <v>15.617894</v>
      </c>
      <c r="DE94" s="5" t="n">
        <v>15.992054</v>
      </c>
      <c r="DF94" s="5" t="n">
        <v>16.37648</v>
      </c>
      <c r="DG94" s="5" t="n">
        <v>16.497871</v>
      </c>
      <c r="DH94" s="5" t="n">
        <v>15.35393</v>
      </c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  <c r="EM94" s="5" t="n"/>
      <c r="EN94" s="5" t="n"/>
      <c r="EO94" s="5" t="n"/>
      <c r="EP94" s="5" t="n"/>
      <c r="EQ94" s="5" t="n"/>
      <c r="ER94" s="5" t="n"/>
      <c r="ES94" s="5" t="n"/>
      <c r="ET94" s="5" t="n"/>
      <c r="EU94" s="5" t="n"/>
      <c r="EV94" s="5" t="n"/>
      <c r="EW94" s="5" t="n"/>
      <c r="EX94" s="5" t="n"/>
      <c r="EY94" s="5" t="n"/>
      <c r="EZ94" s="5" t="n"/>
      <c r="FA94" s="5" t="n"/>
      <c r="FB94" s="5" t="n"/>
      <c r="FC94" s="5" t="n"/>
      <c r="FD94" s="5" t="n"/>
      <c r="FE94" s="5" t="n"/>
      <c r="FF94" s="5" t="n"/>
      <c r="FG94" s="5" t="n"/>
      <c r="FH94" s="5" t="n"/>
      <c r="FI94" s="5" t="n"/>
      <c r="FJ94" s="5" t="n"/>
      <c r="FK94" s="5" t="n"/>
      <c r="FL94" s="5" t="n"/>
      <c r="FM94" s="5" t="n"/>
      <c r="FN94" s="5" t="n"/>
      <c r="FO94" s="5" t="n"/>
      <c r="FP94" s="5" t="n"/>
      <c r="FQ94" s="5" t="n"/>
      <c r="FR94" s="5" t="n"/>
      <c r="FS94" s="5" t="n"/>
      <c r="FT94" s="5" t="n"/>
      <c r="FU94" s="5" t="n"/>
      <c r="FV94" s="5" t="n"/>
      <c r="FW94" s="5" t="n"/>
      <c r="FX94" s="5" t="n"/>
      <c r="FY94" s="5" t="n"/>
      <c r="FZ94" s="5" t="n"/>
      <c r="GA94" s="5" t="n"/>
      <c r="GB94" s="5" t="n"/>
      <c r="GC94" s="5" t="n"/>
      <c r="GD94" s="5" t="n"/>
      <c r="GE94" s="5" t="n"/>
      <c r="GF94" s="5" t="n"/>
      <c r="GG94" s="5" t="n"/>
      <c r="GH94" s="5" t="n"/>
      <c r="GI94" s="5" t="n"/>
      <c r="GJ94" s="5" t="n"/>
      <c r="GK94" s="5" t="n"/>
      <c r="GL94" s="5" t="n"/>
      <c r="GM94" s="5" t="n"/>
      <c r="GN94" s="5" t="n"/>
      <c r="GO94" s="5" t="n"/>
      <c r="GP94" s="5" t="n"/>
      <c r="GQ94" s="5" t="n"/>
      <c r="GR94" s="5" t="n"/>
      <c r="GS94" s="5" t="n"/>
      <c r="GT94" s="5" t="n"/>
      <c r="GU94" s="5" t="n"/>
      <c r="GV94" s="5" t="n"/>
      <c r="GW94" s="5" t="n"/>
      <c r="GX94" s="5" t="n"/>
      <c r="GY94" s="5" t="n"/>
    </row>
    <row r="95"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  <c r="EM95" s="5" t="n"/>
      <c r="EN95" s="5" t="n"/>
      <c r="EO95" s="5" t="n"/>
      <c r="EP95" s="5" t="n"/>
      <c r="EQ95" s="5" t="n"/>
      <c r="ER95" s="5" t="n"/>
      <c r="ES95" s="5" t="n"/>
      <c r="ET95" s="5" t="n"/>
      <c r="EU95" s="5" t="n"/>
      <c r="EV95" s="5" t="n"/>
      <c r="EW95" s="5" t="n"/>
      <c r="EX95" s="5" t="n"/>
      <c r="EY95" s="5" t="n"/>
      <c r="EZ95" s="5" t="n"/>
      <c r="FA95" s="5" t="n"/>
      <c r="FB95" s="5" t="n"/>
      <c r="FC95" s="5" t="n"/>
      <c r="FD95" s="5" t="n"/>
      <c r="FE95" s="5" t="n"/>
      <c r="FF95" s="5" t="n"/>
      <c r="FG95" s="5" t="n"/>
      <c r="FH95" s="5" t="n"/>
      <c r="FI95" s="5" t="n"/>
      <c r="FJ95" s="5" t="n"/>
      <c r="FK95" s="5" t="n"/>
      <c r="FL95" s="5" t="n"/>
      <c r="FM95" s="5" t="n"/>
      <c r="FN95" s="5" t="n"/>
      <c r="FO95" s="5" t="n"/>
      <c r="FP95" s="5" t="n"/>
      <c r="FQ95" s="5" t="n"/>
      <c r="FR95" s="5" t="n"/>
      <c r="FS95" s="5" t="n"/>
      <c r="FT95" s="5" t="n"/>
      <c r="FU95" s="5" t="n"/>
      <c r="FV95" s="5" t="n"/>
      <c r="FW95" s="5" t="n"/>
      <c r="FX95" s="5" t="n"/>
      <c r="FY95" s="5" t="n"/>
      <c r="FZ95" s="5" t="n"/>
      <c r="GA95" s="5" t="n"/>
      <c r="GB95" s="5" t="n"/>
      <c r="GC95" s="5" t="n"/>
      <c r="GD95" s="5" t="n"/>
      <c r="GE95" s="5" t="n"/>
      <c r="GF95" s="5" t="n"/>
      <c r="GG95" s="5" t="n"/>
      <c r="GH95" s="5" t="n"/>
      <c r="GI95" s="5" t="n"/>
      <c r="GJ95" s="5" t="n"/>
      <c r="GK95" s="5" t="n"/>
      <c r="GL95" s="5" t="n"/>
      <c r="GM95" s="5" t="n"/>
      <c r="GN95" s="5" t="n"/>
      <c r="GO95" s="5" t="n"/>
    </row>
    <row r="96"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  <c r="EM96" s="5" t="n"/>
      <c r="EN96" s="5" t="n"/>
      <c r="EO96" s="5" t="n"/>
      <c r="EP96" s="5" t="n"/>
      <c r="EQ96" s="5" t="n"/>
      <c r="ER96" s="5" t="n"/>
      <c r="ES96" s="5" t="n"/>
      <c r="ET96" s="5" t="n"/>
      <c r="EU96" s="5" t="n"/>
      <c r="EV96" s="5" t="n"/>
      <c r="EW96" s="5" t="n"/>
      <c r="EX96" s="5" t="n"/>
      <c r="EY96" s="5" t="n"/>
      <c r="EZ96" s="5" t="n"/>
      <c r="FA96" s="5" t="n"/>
      <c r="FB96" s="5" t="n"/>
      <c r="FC96" s="5" t="n"/>
      <c r="FD96" s="5" t="n"/>
      <c r="FE96" s="5" t="n"/>
      <c r="FF96" s="5" t="n"/>
      <c r="FG96" s="5" t="n"/>
      <c r="FH96" s="5" t="n"/>
      <c r="FI96" s="5" t="n"/>
      <c r="FJ96" s="5" t="n"/>
      <c r="FK96" s="5" t="n"/>
      <c r="FL96" s="5" t="n"/>
      <c r="FM96" s="5" t="n"/>
      <c r="FN96" s="5" t="n"/>
      <c r="FO96" s="5" t="n"/>
      <c r="FP96" s="5" t="n"/>
      <c r="FQ96" s="5" t="n"/>
      <c r="FR96" s="5" t="n"/>
      <c r="FS96" s="5" t="n"/>
      <c r="FT96" s="5" t="n"/>
      <c r="FU96" s="5" t="n"/>
      <c r="FV96" s="5" t="n"/>
      <c r="FW96" s="5" t="n"/>
      <c r="FX96" s="5" t="n"/>
      <c r="FY96" s="5" t="n"/>
      <c r="FZ96" s="5" t="n"/>
      <c r="GA96" s="5" t="n"/>
      <c r="GB96" s="5" t="n"/>
      <c r="GC96" s="5" t="n"/>
      <c r="GD96" s="5" t="n"/>
      <c r="GE96" s="5" t="n"/>
      <c r="GF96" s="5" t="n"/>
      <c r="GG96" s="5" t="n"/>
      <c r="GH96" s="5" t="n"/>
      <c r="GI96" s="5" t="n"/>
      <c r="GJ96" s="5" t="n"/>
      <c r="GK96" s="5" t="n"/>
      <c r="GL96" s="5" t="n"/>
      <c r="GM96" s="5" t="n"/>
      <c r="GN96" s="5" t="n"/>
      <c r="GO96" s="5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Meiser</dc:creator>
  <dcterms:created xsi:type="dcterms:W3CDTF">2022-05-13T08:47:45Z</dcterms:created>
  <dcterms:modified xsi:type="dcterms:W3CDTF">2026-10-26T12:36:10Z</dcterms:modified>
  <cp:lastModifiedBy>Michael Meiser</cp:lastModifiedBy>
</cp:coreProperties>
</file>