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noSPCP/"/>
    </mc:Choice>
  </mc:AlternateContent>
  <xr:revisionPtr revIDLastSave="0" documentId="13_ncr:1_{0FDAA454-7E01-E440-9440-390A9B31448A}" xr6:coauthVersionLast="47" xr6:coauthVersionMax="47" xr10:uidLastSave="{00000000-0000-0000-0000-000000000000}"/>
  <bookViews>
    <workbookView xWindow="2140" yWindow="1140" windowWidth="29040" windowHeight="17640" xr2:uid="{FC2E3554-D7D3-4A9E-B1F9-EEFBB52B2312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7" i="3" l="1"/>
  <c r="J47" i="3"/>
  <c r="I47" i="3"/>
  <c r="H47" i="3"/>
  <c r="G47" i="3"/>
  <c r="F47" i="3"/>
  <c r="K45" i="3"/>
  <c r="J45" i="3"/>
  <c r="I45" i="3"/>
  <c r="H45" i="3"/>
  <c r="G45" i="3"/>
  <c r="F45" i="3"/>
  <c r="K43" i="3"/>
  <c r="J43" i="3"/>
  <c r="I43" i="3"/>
  <c r="H43" i="3"/>
  <c r="G43" i="3"/>
  <c r="F43" i="3"/>
  <c r="K41" i="3"/>
  <c r="J41" i="3"/>
  <c r="I41" i="3"/>
  <c r="H41" i="3"/>
  <c r="G41" i="3"/>
  <c r="F41" i="3"/>
  <c r="K39" i="3"/>
  <c r="J39" i="3"/>
  <c r="I39" i="3"/>
  <c r="H39" i="3"/>
  <c r="G39" i="3"/>
  <c r="F39" i="3"/>
  <c r="K35" i="3"/>
  <c r="J35" i="3"/>
  <c r="I35" i="3"/>
  <c r="H35" i="3"/>
  <c r="G35" i="3"/>
  <c r="F35" i="3"/>
  <c r="K33" i="3"/>
  <c r="J33" i="3"/>
  <c r="I33" i="3"/>
  <c r="H33" i="3"/>
  <c r="G33" i="3"/>
  <c r="F33" i="3"/>
  <c r="K31" i="3"/>
  <c r="J31" i="3"/>
  <c r="I31" i="3"/>
  <c r="H31" i="3"/>
  <c r="G31" i="3"/>
  <c r="F31" i="3"/>
  <c r="K29" i="3"/>
  <c r="J29" i="3"/>
  <c r="I29" i="3"/>
  <c r="H29" i="3"/>
  <c r="G29" i="3"/>
  <c r="F29" i="3"/>
  <c r="K27" i="3"/>
  <c r="J27" i="3"/>
  <c r="I27" i="3"/>
  <c r="H27" i="3"/>
  <c r="G27" i="3"/>
  <c r="F27" i="3"/>
  <c r="K23" i="3"/>
  <c r="J23" i="3"/>
  <c r="I23" i="3"/>
  <c r="H23" i="3"/>
  <c r="G23" i="3"/>
  <c r="F23" i="3"/>
  <c r="K21" i="3"/>
  <c r="J21" i="3"/>
  <c r="I21" i="3"/>
  <c r="H21" i="3"/>
  <c r="G21" i="3"/>
  <c r="F21" i="3"/>
  <c r="K19" i="3"/>
  <c r="J19" i="3"/>
  <c r="I19" i="3"/>
  <c r="H19" i="3"/>
  <c r="G19" i="3"/>
  <c r="F19" i="3"/>
  <c r="K17" i="3"/>
  <c r="J17" i="3"/>
  <c r="I17" i="3"/>
  <c r="H17" i="3"/>
  <c r="G17" i="3"/>
  <c r="F17" i="3"/>
  <c r="K15" i="3"/>
  <c r="J15" i="3"/>
  <c r="I15" i="3"/>
  <c r="H15" i="3"/>
  <c r="G15" i="3"/>
  <c r="F15" i="3"/>
  <c r="G11" i="3" l="1"/>
  <c r="G7" i="3"/>
  <c r="G8" i="3"/>
  <c r="G9" i="3"/>
  <c r="G10" i="3"/>
</calcChain>
</file>

<file path=xl/sharedStrings.xml><?xml version="1.0" encoding="utf-8"?>
<sst xmlns="http://schemas.openxmlformats.org/spreadsheetml/2006/main" count="77" uniqueCount="45">
  <si>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</si>
  <si>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</si>
  <si>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</si>
  <si>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</si>
  <si>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</si>
  <si>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</si>
  <si>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</si>
  <si>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</si>
  <si>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</si>
  <si>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</si>
  <si>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</si>
  <si>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</si>
  <si>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</si>
  <si>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</si>
  <si>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</si>
  <si>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</si>
  <si>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</si>
  <si>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</si>
  <si>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buildings': 8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</si>
  <si>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</si>
  <si>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</si>
  <si>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</si>
  <si>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</si>
  <si>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</si>
  <si>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</si>
  <si>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</si>
  <si>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</si>
  <si>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</si>
  <si>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</si>
  <si>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validierung: Validation from training data (15%)</t>
  </si>
  <si>
    <t>train_synth (hh_01):</t>
  </si>
  <si>
    <t>train_synth (hh_04):</t>
  </si>
  <si>
    <t>train_synth (hh_07):</t>
  </si>
  <si>
    <t>train_synth (hh_14):</t>
  </si>
  <si>
    <t>WindowGRU_total</t>
  </si>
  <si>
    <t>Seq2Point_total</t>
  </si>
  <si>
    <t>Seq2Seq_total</t>
  </si>
  <si>
    <t>RNN_total</t>
  </si>
  <si>
    <t>DAE_total</t>
  </si>
  <si>
    <t>start_time': '2024-05-01'</t>
  </si>
  <si>
    <t>end_time': '2024-05-14'</t>
  </si>
  <si>
    <t>train: noSPCP_dataset.h5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</si>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</sst>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4" fontId="0" fillId="0" borderId="0" xfId="0" applyNumberFormat="1" applyBorder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6FE9-C25C-4E83-87B1-72298D39A743}">
  <dimension ref="A1:GY63"/>
  <sheetViews>
    <sheetView tabSelected="1" topLeftCell="A5" workbookViewId="0">
      <selection activeCell="B16" sqref="B16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41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30</v>
      </c>
      <c r="B4" s="2" t="s">
        <v>39</v>
      </c>
      <c r="C4" s="2" t="s">
        <v>40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31</v>
      </c>
      <c r="B5" s="2" t="s">
        <v>39</v>
      </c>
      <c r="C5" s="2" t="s">
        <v>40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32</v>
      </c>
      <c r="B6" s="2" t="s">
        <v>39</v>
      </c>
      <c r="C6" s="2" t="s">
        <v>40</v>
      </c>
      <c r="E6" s="2"/>
      <c r="F6" s="2"/>
      <c r="G6" s="5" t="s">
        <v>44</v>
      </c>
      <c r="H6" s="2"/>
      <c r="I6" s="2"/>
      <c r="J6" s="2"/>
      <c r="K6" s="2"/>
      <c r="L6" s="2"/>
    </row>
    <row r="7" spans="1:207" x14ac:dyDescent="0.2">
      <c r="A7" t="s">
        <v>33</v>
      </c>
      <c r="B7" s="2" t="s">
        <v>39</v>
      </c>
      <c r="C7" s="2" t="s">
        <v>40</v>
      </c>
      <c r="E7" s="2"/>
      <c r="F7" t="s">
        <v>37</v>
      </c>
      <c r="G7" s="3">
        <f>SUM(G15,G27,G39)/3</f>
        <v>21.195487193333332</v>
      </c>
      <c r="H7" s="3"/>
    </row>
    <row r="8" spans="1:207" x14ac:dyDescent="0.2">
      <c r="A8" t="s">
        <v>42</v>
      </c>
      <c r="E8" s="2"/>
      <c r="F8" t="s">
        <v>34</v>
      </c>
      <c r="G8" s="3">
        <f>SUM(G17,G29,G41)/3</f>
        <v>14.891722890000006</v>
      </c>
      <c r="H8" s="3"/>
    </row>
    <row r="9" spans="1:207" x14ac:dyDescent="0.2">
      <c r="A9" t="s">
        <v>29</v>
      </c>
      <c r="B9" s="2"/>
      <c r="C9" s="2"/>
      <c r="F9" t="s">
        <v>38</v>
      </c>
      <c r="G9" s="3">
        <f>SUM(G19,G31,G43)/3</f>
        <v>22.148305093333331</v>
      </c>
      <c r="H9" s="3"/>
    </row>
    <row r="10" spans="1:207" x14ac:dyDescent="0.2">
      <c r="A10" t="s">
        <v>16</v>
      </c>
      <c r="F10" t="s">
        <v>36</v>
      </c>
      <c r="G10" s="3">
        <f>SUM(G21,G33,G45)/3</f>
        <v>16.118639126666665</v>
      </c>
      <c r="H10" s="3"/>
    </row>
    <row r="11" spans="1:207" x14ac:dyDescent="0.2">
      <c r="F11" t="s">
        <v>35</v>
      </c>
      <c r="G11" s="3">
        <f>SUM(G23,G35,G47)/3</f>
        <v>16.662580973333334</v>
      </c>
      <c r="H11" s="3"/>
    </row>
    <row r="12" spans="1:207" x14ac:dyDescent="0.2">
      <c r="G12" s="4"/>
      <c r="H12" s="4"/>
    </row>
    <row r="13" spans="1:207" x14ac:dyDescent="0.2">
      <c r="D13" s="1" t="s">
        <v>21</v>
      </c>
    </row>
    <row r="14" spans="1:207" x14ac:dyDescent="0.2">
      <c r="B14" t="s">
        <v>43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B15" s="2" t="s">
        <v>18</v>
      </c>
      <c r="D15" t="s">
        <v>8</v>
      </c>
      <c r="E15" t="s">
        <v>6</v>
      </c>
      <c r="F15">
        <f>COUNT(M15:GJ15)</f>
        <v>100</v>
      </c>
      <c r="G15" s="3">
        <f>AVERAGE(M15:GJ15)</f>
        <v>40.887099209999988</v>
      </c>
      <c r="H15" s="3">
        <f>MAX(M15:GJ15)</f>
        <v>58.791091999999999</v>
      </c>
      <c r="I15" s="3">
        <f>MIN(M15:GJ15)</f>
        <v>30.201533999999999</v>
      </c>
      <c r="J15" s="3">
        <f>_xlfn.STDEV.P(M15:GJ15)</f>
        <v>6.0255323597187962</v>
      </c>
      <c r="K15" s="3">
        <f>_xlfn.VAR.S(M15:GJ15)</f>
        <v>36.673777997998506</v>
      </c>
      <c r="M15" s="3">
        <v>39.705680999999998</v>
      </c>
      <c r="N15" s="3">
        <v>58.791091999999999</v>
      </c>
      <c r="O15" s="3">
        <v>50.697594000000002</v>
      </c>
      <c r="P15" s="3">
        <v>43.804820999999997</v>
      </c>
      <c r="Q15" s="3">
        <v>53.063552999999999</v>
      </c>
      <c r="R15" s="3">
        <v>39.853133999999997</v>
      </c>
      <c r="S15" s="3">
        <v>50.120514</v>
      </c>
      <c r="T15" s="3">
        <v>44.026713999999998</v>
      </c>
      <c r="U15" s="3">
        <v>53.779099000000002</v>
      </c>
      <c r="V15" s="3">
        <v>44.296089000000002</v>
      </c>
      <c r="W15" s="3">
        <v>41.965358999999999</v>
      </c>
      <c r="X15" s="3">
        <v>41.768799000000001</v>
      </c>
      <c r="Y15" s="3">
        <v>35.812629999999999</v>
      </c>
      <c r="Z15" s="3">
        <v>52.296393999999999</v>
      </c>
      <c r="AA15" s="3">
        <v>49.044735000000003</v>
      </c>
      <c r="AB15" s="3">
        <v>44.416252</v>
      </c>
      <c r="AC15" s="3">
        <v>50.722836000000001</v>
      </c>
      <c r="AD15" s="3">
        <v>57.012504999999997</v>
      </c>
      <c r="AE15" s="3">
        <v>39.440075</v>
      </c>
      <c r="AF15" s="3">
        <v>55.519142000000002</v>
      </c>
      <c r="AG15" s="3">
        <v>47.660212999999999</v>
      </c>
      <c r="AH15" s="3">
        <v>37.079815000000004</v>
      </c>
      <c r="AI15" s="3">
        <v>57.517277</v>
      </c>
      <c r="AJ15" s="3">
        <v>44.899681000000001</v>
      </c>
      <c r="AK15" s="3">
        <v>48.024143000000002</v>
      </c>
      <c r="AL15" s="3">
        <v>40.938384999999997</v>
      </c>
      <c r="AM15" s="3">
        <v>46.574359999999999</v>
      </c>
      <c r="AN15" s="3">
        <v>36.716068</v>
      </c>
      <c r="AO15" s="3">
        <v>44.237414999999999</v>
      </c>
      <c r="AP15" s="3">
        <v>41.629672999999997</v>
      </c>
      <c r="AQ15" s="3">
        <v>39.569088000000001</v>
      </c>
      <c r="AR15" s="3">
        <v>35.833035000000002</v>
      </c>
      <c r="AS15" s="3">
        <v>38.945591</v>
      </c>
      <c r="AT15" s="3">
        <v>46.979743999999997</v>
      </c>
      <c r="AU15" s="3">
        <v>43.403346999999997</v>
      </c>
      <c r="AV15" s="3">
        <v>36.612018999999997</v>
      </c>
      <c r="AW15" s="3">
        <v>41.754294999999999</v>
      </c>
      <c r="AX15" s="3">
        <v>36.257587000000001</v>
      </c>
      <c r="AY15" s="3">
        <v>45.577556999999999</v>
      </c>
      <c r="AZ15" s="3">
        <v>38.573005999999999</v>
      </c>
      <c r="BA15" s="3">
        <v>35.615794999999999</v>
      </c>
      <c r="BB15" s="3">
        <v>40.013202999999997</v>
      </c>
      <c r="BC15" s="3">
        <v>40.951419999999999</v>
      </c>
      <c r="BD15" s="3">
        <v>48.220027999999999</v>
      </c>
      <c r="BE15" s="3">
        <v>42.066237999999998</v>
      </c>
      <c r="BF15" s="3">
        <v>44.631247999999999</v>
      </c>
      <c r="BG15" s="3">
        <v>32.649487000000001</v>
      </c>
      <c r="BH15" s="3">
        <v>41.483691999999998</v>
      </c>
      <c r="BI15" s="3">
        <v>37.931292999999997</v>
      </c>
      <c r="BJ15" s="3">
        <v>42.916415999999998</v>
      </c>
      <c r="BK15" s="3">
        <v>32.806671000000001</v>
      </c>
      <c r="BL15" s="3">
        <v>38.816665999999998</v>
      </c>
      <c r="BM15" s="3">
        <v>34.033016000000003</v>
      </c>
      <c r="BN15" s="3">
        <v>38.507519000000002</v>
      </c>
      <c r="BO15" s="3">
        <v>42.496887000000001</v>
      </c>
      <c r="BP15" s="3">
        <v>36.304295000000003</v>
      </c>
      <c r="BQ15" s="3">
        <v>33.414070000000002</v>
      </c>
      <c r="BR15" s="3">
        <v>40.74239</v>
      </c>
      <c r="BS15" s="3">
        <v>40.138534999999997</v>
      </c>
      <c r="BT15" s="3">
        <v>39.091934000000002</v>
      </c>
      <c r="BU15" s="3">
        <v>34.998790999999997</v>
      </c>
      <c r="BV15" s="3">
        <v>36.896484000000001</v>
      </c>
      <c r="BW15" s="3">
        <v>36.074154</v>
      </c>
      <c r="BX15" s="3">
        <v>43.600700000000003</v>
      </c>
      <c r="BY15" s="3">
        <v>43.348224999999999</v>
      </c>
      <c r="BZ15" s="3">
        <v>38.383128999999997</v>
      </c>
      <c r="CA15" s="3">
        <v>38.900939999999999</v>
      </c>
      <c r="CB15" s="3">
        <v>37.880958999999997</v>
      </c>
      <c r="CC15" s="3">
        <v>50.814312000000001</v>
      </c>
      <c r="CD15" s="3">
        <v>40.179358999999998</v>
      </c>
      <c r="CE15" s="3">
        <v>42.177329999999998</v>
      </c>
      <c r="CF15" s="3">
        <v>37.284931</v>
      </c>
      <c r="CG15" s="3">
        <v>45.339153000000003</v>
      </c>
      <c r="CH15" s="3">
        <v>32.658732999999998</v>
      </c>
      <c r="CI15" s="3">
        <v>37.610222</v>
      </c>
      <c r="CJ15" s="3">
        <v>36.485821000000001</v>
      </c>
      <c r="CK15" s="3">
        <v>40.003250000000001</v>
      </c>
      <c r="CL15" s="3">
        <v>32.880156999999997</v>
      </c>
      <c r="CM15" s="3">
        <v>34.772339000000002</v>
      </c>
      <c r="CN15" s="3">
        <v>36.065556000000001</v>
      </c>
      <c r="CO15" s="3">
        <v>36.886035999999997</v>
      </c>
      <c r="CP15" s="3">
        <v>32.645020000000002</v>
      </c>
      <c r="CQ15" s="3">
        <v>39.347290000000001</v>
      </c>
      <c r="CR15" s="3">
        <v>37.686011999999998</v>
      </c>
      <c r="CS15" s="3">
        <v>38.047279000000003</v>
      </c>
      <c r="CT15" s="3">
        <v>35.566383000000002</v>
      </c>
      <c r="CU15" s="3">
        <v>39.14761</v>
      </c>
      <c r="CV15" s="3">
        <v>34.264159999999997</v>
      </c>
      <c r="CW15" s="3">
        <v>34.889167999999998</v>
      </c>
      <c r="CX15" s="3">
        <v>33.650021000000002</v>
      </c>
      <c r="CY15" s="3">
        <v>33.655608999999998</v>
      </c>
      <c r="CZ15" s="3">
        <v>42.188460999999997</v>
      </c>
      <c r="DA15" s="3">
        <v>35.352336999999999</v>
      </c>
      <c r="DB15" s="3">
        <v>38.443558000000003</v>
      </c>
      <c r="DC15" s="3">
        <v>38.118915999999999</v>
      </c>
      <c r="DD15" s="3">
        <v>41.019706999999997</v>
      </c>
      <c r="DE15" s="3">
        <v>35.537491000000003</v>
      </c>
      <c r="DF15" s="3">
        <v>38.936748999999999</v>
      </c>
      <c r="DG15" s="3">
        <v>30.201533999999999</v>
      </c>
      <c r="DH15" s="3">
        <v>39.021915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24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25.435691570000017</v>
      </c>
      <c r="H17" s="3">
        <f>MAX(M17:GJ17)</f>
        <v>32.434615999999998</v>
      </c>
      <c r="I17" s="3">
        <f>MIN(M17:GJ17)</f>
        <v>19.481573000000001</v>
      </c>
      <c r="J17" s="3">
        <f>_xlfn.STDEV.P(M17:GJ17)</f>
        <v>2.9883047956053761</v>
      </c>
      <c r="K17" s="3">
        <f>_xlfn.VAR.S(M17:GJ17)</f>
        <v>9.0201672236748198</v>
      </c>
      <c r="M17" s="3">
        <v>27.843295999999999</v>
      </c>
      <c r="N17" s="3">
        <v>24.667111999999999</v>
      </c>
      <c r="O17" s="3">
        <v>27.130891999999999</v>
      </c>
      <c r="P17" s="3">
        <v>26.887756</v>
      </c>
      <c r="Q17" s="3">
        <v>29.801600000000001</v>
      </c>
      <c r="R17" s="3">
        <v>22.884170999999998</v>
      </c>
      <c r="S17" s="3">
        <v>27.308495000000001</v>
      </c>
      <c r="T17" s="3">
        <v>30.844643000000001</v>
      </c>
      <c r="U17" s="3">
        <v>29.115026</v>
      </c>
      <c r="V17" s="3">
        <v>30.860662000000001</v>
      </c>
      <c r="W17" s="3">
        <v>25.480574000000001</v>
      </c>
      <c r="X17" s="3">
        <v>21.874030999999999</v>
      </c>
      <c r="Y17" s="3">
        <v>23.677858000000001</v>
      </c>
      <c r="Z17" s="3">
        <v>32.434615999999998</v>
      </c>
      <c r="AA17" s="3">
        <v>25.580355000000001</v>
      </c>
      <c r="AB17" s="3">
        <v>24.247164000000001</v>
      </c>
      <c r="AC17" s="3">
        <v>27.368476999999999</v>
      </c>
      <c r="AD17" s="3">
        <v>30.287597999999999</v>
      </c>
      <c r="AE17" s="3">
        <v>25.759198999999999</v>
      </c>
      <c r="AF17" s="3">
        <v>23.336894999999998</v>
      </c>
      <c r="AG17" s="3">
        <v>31.876884</v>
      </c>
      <c r="AH17" s="3">
        <v>25.642429</v>
      </c>
      <c r="AI17" s="3">
        <v>24.092300000000002</v>
      </c>
      <c r="AJ17" s="3">
        <v>23.621407999999999</v>
      </c>
      <c r="AK17" s="3">
        <v>25.906441000000001</v>
      </c>
      <c r="AL17" s="3">
        <v>25.038221</v>
      </c>
      <c r="AM17" s="3">
        <v>27.837971</v>
      </c>
      <c r="AN17" s="3">
        <v>23.174413999999999</v>
      </c>
      <c r="AO17" s="3">
        <v>19.540261999999998</v>
      </c>
      <c r="AP17" s="3">
        <v>31.130602</v>
      </c>
      <c r="AQ17" s="3">
        <v>22.739902000000001</v>
      </c>
      <c r="AR17" s="3">
        <v>27.726828000000001</v>
      </c>
      <c r="AS17" s="3">
        <v>28.998861000000002</v>
      </c>
      <c r="AT17" s="3">
        <v>23.187028999999999</v>
      </c>
      <c r="AU17" s="3">
        <v>28.386744</v>
      </c>
      <c r="AV17" s="3">
        <v>29.062125999999999</v>
      </c>
      <c r="AW17" s="3">
        <v>19.996817</v>
      </c>
      <c r="AX17" s="3">
        <v>28.388214000000001</v>
      </c>
      <c r="AY17" s="3">
        <v>24.721743</v>
      </c>
      <c r="AZ17" s="3">
        <v>24.904896000000001</v>
      </c>
      <c r="BA17" s="3">
        <v>23.525932000000001</v>
      </c>
      <c r="BB17" s="3">
        <v>21.180838000000001</v>
      </c>
      <c r="BC17" s="3">
        <v>29.755848</v>
      </c>
      <c r="BD17" s="3">
        <v>23.485361000000001</v>
      </c>
      <c r="BE17" s="3">
        <v>23.256193</v>
      </c>
      <c r="BF17" s="3">
        <v>28.428208999999999</v>
      </c>
      <c r="BG17" s="3">
        <v>24.938334000000001</v>
      </c>
      <c r="BH17" s="3">
        <v>30.316707999999998</v>
      </c>
      <c r="BI17" s="3">
        <v>29.386541000000001</v>
      </c>
      <c r="BJ17" s="3">
        <v>30.166027</v>
      </c>
      <c r="BK17" s="3">
        <v>23.992207000000001</v>
      </c>
      <c r="BL17" s="3">
        <v>25.808555999999999</v>
      </c>
      <c r="BM17" s="3">
        <v>26.13542</v>
      </c>
      <c r="BN17" s="3">
        <v>28.943778999999999</v>
      </c>
      <c r="BO17" s="3">
        <v>29.686083</v>
      </c>
      <c r="BP17" s="3">
        <v>27.504916999999999</v>
      </c>
      <c r="BQ17" s="3">
        <v>27.493680999999999</v>
      </c>
      <c r="BR17" s="3">
        <v>22.265774</v>
      </c>
      <c r="BS17" s="3">
        <v>23.4618</v>
      </c>
      <c r="BT17" s="3">
        <v>26.13364</v>
      </c>
      <c r="BU17" s="3">
        <v>25.803363999999998</v>
      </c>
      <c r="BV17" s="3">
        <v>25.122123999999999</v>
      </c>
      <c r="BW17" s="3">
        <v>21.297132000000001</v>
      </c>
      <c r="BX17" s="3">
        <v>24.589452999999999</v>
      </c>
      <c r="BY17" s="3">
        <v>23.156624000000001</v>
      </c>
      <c r="BZ17" s="3">
        <v>26.914095</v>
      </c>
      <c r="CA17" s="3">
        <v>22.218765000000001</v>
      </c>
      <c r="CB17" s="3">
        <v>26.270209999999999</v>
      </c>
      <c r="CC17" s="3">
        <v>26.810658</v>
      </c>
      <c r="CD17" s="3">
        <v>26.023394</v>
      </c>
      <c r="CE17" s="3">
        <v>21.222290000000001</v>
      </c>
      <c r="CF17" s="3">
        <v>27.364445</v>
      </c>
      <c r="CG17" s="3">
        <v>28.628205999999999</v>
      </c>
      <c r="CH17" s="3">
        <v>20.921495</v>
      </c>
      <c r="CI17" s="3">
        <v>23.441751</v>
      </c>
      <c r="CJ17" s="3">
        <v>21.000558999999999</v>
      </c>
      <c r="CK17" s="3">
        <v>20.561768000000001</v>
      </c>
      <c r="CL17" s="3">
        <v>24.367602999999999</v>
      </c>
      <c r="CM17" s="3">
        <v>24.480205999999999</v>
      </c>
      <c r="CN17" s="3">
        <v>25.554030999999998</v>
      </c>
      <c r="CO17" s="3">
        <v>22.858986000000002</v>
      </c>
      <c r="CP17" s="3">
        <v>23.113945000000001</v>
      </c>
      <c r="CQ17" s="3">
        <v>20.149844999999999</v>
      </c>
      <c r="CR17" s="3">
        <v>23.515408000000001</v>
      </c>
      <c r="CS17" s="3">
        <v>27.811782999999998</v>
      </c>
      <c r="CT17" s="3">
        <v>24.101939999999999</v>
      </c>
      <c r="CU17" s="3">
        <v>25.181937999999999</v>
      </c>
      <c r="CV17" s="3">
        <v>21.812056999999999</v>
      </c>
      <c r="CW17" s="3">
        <v>23.557082999999999</v>
      </c>
      <c r="CX17" s="3">
        <v>23.918614999999999</v>
      </c>
      <c r="CY17" s="3">
        <v>25.956513999999999</v>
      </c>
      <c r="CZ17" s="3">
        <v>19.481573000000001</v>
      </c>
      <c r="DA17" s="3">
        <v>24.216522000000001</v>
      </c>
      <c r="DB17" s="3">
        <v>26.694738000000001</v>
      </c>
      <c r="DC17" s="3">
        <v>22.230097000000001</v>
      </c>
      <c r="DD17" s="3">
        <v>26.293361999999998</v>
      </c>
      <c r="DE17" s="3">
        <v>24.144901000000001</v>
      </c>
      <c r="DF17" s="3">
        <v>27.355808</v>
      </c>
      <c r="DG17" s="3">
        <v>25.703420999999999</v>
      </c>
      <c r="DH17" s="3">
        <v>20.492087999999999</v>
      </c>
      <c r="DI17" s="3"/>
      <c r="DJ17" s="3"/>
      <c r="DK17" s="3"/>
      <c r="DL17" s="3"/>
      <c r="DM17" s="3"/>
      <c r="DO17" s="3"/>
      <c r="DT17" s="3"/>
      <c r="DU17" s="3"/>
      <c r="DX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40.746424739999995</v>
      </c>
      <c r="H19" s="3">
        <f>MAX(M19:GJ19)</f>
        <v>54.014557000000003</v>
      </c>
      <c r="I19" s="3">
        <f>MIN(M19:GJ19)</f>
        <v>31.18346</v>
      </c>
      <c r="J19" s="3">
        <f>_xlfn.STDEV.P(M19:GJ19)</f>
        <v>4.8055417467781263</v>
      </c>
      <c r="K19" s="3">
        <f>_xlfn.VAR.S(M19:GJ19)</f>
        <v>23.32649644447233</v>
      </c>
      <c r="M19" s="3">
        <v>39.885525000000001</v>
      </c>
      <c r="N19" s="3">
        <v>41.400005</v>
      </c>
      <c r="O19" s="3">
        <v>33.832138</v>
      </c>
      <c r="P19" s="3">
        <v>54.014557000000003</v>
      </c>
      <c r="Q19" s="3">
        <v>38.592503000000001</v>
      </c>
      <c r="R19" s="3">
        <v>40.526412999999998</v>
      </c>
      <c r="S19" s="3">
        <v>41.010235000000002</v>
      </c>
      <c r="T19" s="3">
        <v>43.494788999999997</v>
      </c>
      <c r="U19" s="3">
        <v>42.152233000000003</v>
      </c>
      <c r="V19" s="3">
        <v>42.644917</v>
      </c>
      <c r="W19" s="3">
        <v>49.819225000000003</v>
      </c>
      <c r="X19" s="3">
        <v>39.899593000000003</v>
      </c>
      <c r="Y19" s="3">
        <v>39.063735999999999</v>
      </c>
      <c r="Z19" s="3">
        <v>37.293671000000003</v>
      </c>
      <c r="AA19" s="3">
        <v>37.653430999999998</v>
      </c>
      <c r="AB19" s="3">
        <v>37.664332999999999</v>
      </c>
      <c r="AC19" s="3">
        <v>32.355041999999997</v>
      </c>
      <c r="AD19" s="3">
        <v>37.018935999999997</v>
      </c>
      <c r="AE19" s="3">
        <v>47.336483000000001</v>
      </c>
      <c r="AF19" s="3">
        <v>42.247112000000001</v>
      </c>
      <c r="AG19" s="3">
        <v>38.249499999999998</v>
      </c>
      <c r="AH19" s="3">
        <v>42.508476000000002</v>
      </c>
      <c r="AI19" s="3">
        <v>36.340468999999999</v>
      </c>
      <c r="AJ19" s="3">
        <v>37.719020999999998</v>
      </c>
      <c r="AK19" s="3">
        <v>35.545399000000003</v>
      </c>
      <c r="AL19" s="3">
        <v>48.742958000000002</v>
      </c>
      <c r="AM19" s="3">
        <v>37.610798000000003</v>
      </c>
      <c r="AN19" s="3">
        <v>39.853596000000003</v>
      </c>
      <c r="AO19" s="3">
        <v>43.617320999999997</v>
      </c>
      <c r="AP19" s="3">
        <v>42.414738</v>
      </c>
      <c r="AQ19" s="3">
        <v>41.447356999999997</v>
      </c>
      <c r="AR19" s="3">
        <v>40.860270999999997</v>
      </c>
      <c r="AS19" s="3">
        <v>43.665999999999997</v>
      </c>
      <c r="AT19" s="3">
        <v>39.648933</v>
      </c>
      <c r="AU19" s="3">
        <v>38.590183000000003</v>
      </c>
      <c r="AV19" s="3">
        <v>34.617874</v>
      </c>
      <c r="AW19" s="3">
        <v>42.301139999999997</v>
      </c>
      <c r="AX19" s="3">
        <v>39.364376</v>
      </c>
      <c r="AY19" s="3">
        <v>48.476734</v>
      </c>
      <c r="AZ19" s="3">
        <v>35.745418999999998</v>
      </c>
      <c r="BA19" s="3">
        <v>39.036712999999999</v>
      </c>
      <c r="BB19" s="3">
        <v>45.115504999999999</v>
      </c>
      <c r="BC19" s="3">
        <v>48.425193999999998</v>
      </c>
      <c r="BD19" s="3">
        <v>42.44659</v>
      </c>
      <c r="BE19" s="3">
        <v>38.625439</v>
      </c>
      <c r="BF19" s="3">
        <v>42.721820999999998</v>
      </c>
      <c r="BG19" s="3">
        <v>31.745163000000002</v>
      </c>
      <c r="BH19" s="3">
        <v>32.583373999999999</v>
      </c>
      <c r="BI19" s="3">
        <v>44.251227999999998</v>
      </c>
      <c r="BJ19" s="3">
        <v>44.128459999999997</v>
      </c>
      <c r="BK19" s="3">
        <v>48.430194999999998</v>
      </c>
      <c r="BL19" s="3">
        <v>44.150925000000001</v>
      </c>
      <c r="BM19" s="3">
        <v>37.722065000000001</v>
      </c>
      <c r="BN19" s="3">
        <v>49.327990999999997</v>
      </c>
      <c r="BO19" s="3">
        <v>38.386294999999997</v>
      </c>
      <c r="BP19" s="3">
        <v>50.168236</v>
      </c>
      <c r="BQ19" s="3">
        <v>50.66272</v>
      </c>
      <c r="BR19" s="3">
        <v>41.672550000000001</v>
      </c>
      <c r="BS19" s="3">
        <v>42.780258000000003</v>
      </c>
      <c r="BT19" s="3">
        <v>38.397030000000001</v>
      </c>
      <c r="BU19" s="3">
        <v>37.258738999999998</v>
      </c>
      <c r="BV19" s="3">
        <v>41.928016999999997</v>
      </c>
      <c r="BW19" s="3">
        <v>43.861201999999999</v>
      </c>
      <c r="BX19" s="3">
        <v>52.017516999999998</v>
      </c>
      <c r="BY19" s="3">
        <v>36.172314</v>
      </c>
      <c r="BZ19" s="3">
        <v>43.757461999999997</v>
      </c>
      <c r="CA19" s="3">
        <v>42.198677000000004</v>
      </c>
      <c r="CB19" s="3">
        <v>41.097866000000003</v>
      </c>
      <c r="CC19" s="3">
        <v>41.912674000000003</v>
      </c>
      <c r="CD19" s="3">
        <v>36.751067999999997</v>
      </c>
      <c r="CE19" s="3">
        <v>42.195076</v>
      </c>
      <c r="CF19" s="3">
        <v>39.910331999999997</v>
      </c>
      <c r="CG19" s="3">
        <v>44.861946000000003</v>
      </c>
      <c r="CH19" s="3">
        <v>48.164721999999998</v>
      </c>
      <c r="CI19" s="3">
        <v>38.142918000000002</v>
      </c>
      <c r="CJ19" s="3">
        <v>34.460555999999997</v>
      </c>
      <c r="CK19" s="3">
        <v>40.988379999999999</v>
      </c>
      <c r="CL19" s="3">
        <v>41.000731999999999</v>
      </c>
      <c r="CM19" s="3">
        <v>42.580253999999996</v>
      </c>
      <c r="CN19" s="3">
        <v>41.112628999999998</v>
      </c>
      <c r="CO19" s="3">
        <v>34.670788000000002</v>
      </c>
      <c r="CP19" s="3">
        <v>37.085743000000001</v>
      </c>
      <c r="CQ19" s="3">
        <v>40.986713000000002</v>
      </c>
      <c r="CR19" s="3">
        <v>42.116539000000003</v>
      </c>
      <c r="CS19" s="3">
        <v>47.177844999999998</v>
      </c>
      <c r="CT19" s="3">
        <v>40.694324000000002</v>
      </c>
      <c r="CU19" s="3">
        <v>43.802737999999998</v>
      </c>
      <c r="CV19" s="3">
        <v>37.689678000000001</v>
      </c>
      <c r="CW19" s="3">
        <v>38.019886</v>
      </c>
      <c r="CX19" s="3">
        <v>31.47176</v>
      </c>
      <c r="CY19" s="3">
        <v>36.224369000000003</v>
      </c>
      <c r="CZ19" s="3">
        <v>34.178452</v>
      </c>
      <c r="DA19" s="3">
        <v>39.940845000000003</v>
      </c>
      <c r="DB19" s="3">
        <v>36.929561999999997</v>
      </c>
      <c r="DC19" s="3">
        <v>31.18346</v>
      </c>
      <c r="DD19" s="3">
        <v>35.169742999999997</v>
      </c>
      <c r="DE19" s="3">
        <v>38.921574</v>
      </c>
      <c r="DF19" s="3">
        <v>36.893836999999998</v>
      </c>
      <c r="DG19" s="3">
        <v>51.239674000000001</v>
      </c>
      <c r="DH19" s="3">
        <v>33.868670999999999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29.133831389999997</v>
      </c>
      <c r="H21" s="3">
        <f>MAX(M21:GJ21)</f>
        <v>36.124214000000002</v>
      </c>
      <c r="I21" s="3">
        <f>MIN(M21:GJ21)</f>
        <v>22.759855000000002</v>
      </c>
      <c r="J21" s="3">
        <f>_xlfn.STDEV.P(M21:GJ21)</f>
        <v>2.8949115504370044</v>
      </c>
      <c r="K21" s="3">
        <f>_xlfn.VAR.S(M21:GJ21)</f>
        <v>8.4651645301551319</v>
      </c>
      <c r="M21" s="3">
        <v>26.168044999999999</v>
      </c>
      <c r="N21" s="3">
        <v>31.572230999999999</v>
      </c>
      <c r="O21" s="3">
        <v>25.355484000000001</v>
      </c>
      <c r="P21" s="3">
        <v>30.610128</v>
      </c>
      <c r="Q21" s="3">
        <v>28.836361</v>
      </c>
      <c r="R21" s="3">
        <v>24.189978</v>
      </c>
      <c r="S21" s="3">
        <v>28.694523</v>
      </c>
      <c r="T21" s="3">
        <v>27.466868999999999</v>
      </c>
      <c r="U21" s="3">
        <v>28.939367000000001</v>
      </c>
      <c r="V21" s="3">
        <v>32.428589000000002</v>
      </c>
      <c r="W21" s="3">
        <v>30.381741999999999</v>
      </c>
      <c r="X21" s="3">
        <v>25.196539000000001</v>
      </c>
      <c r="Y21" s="3">
        <v>31.499407000000001</v>
      </c>
      <c r="Z21" s="3">
        <v>26.005327000000001</v>
      </c>
      <c r="AA21" s="3">
        <v>33.048817</v>
      </c>
      <c r="AB21" s="3">
        <v>27.279347999999999</v>
      </c>
      <c r="AC21" s="3">
        <v>25.368475</v>
      </c>
      <c r="AD21" s="3">
        <v>27.414759</v>
      </c>
      <c r="AE21" s="3">
        <v>28.307852</v>
      </c>
      <c r="AF21" s="3">
        <v>34.130070000000003</v>
      </c>
      <c r="AG21" s="3">
        <v>28.593910000000001</v>
      </c>
      <c r="AH21" s="3">
        <v>22.759855000000002</v>
      </c>
      <c r="AI21" s="3">
        <v>29.505549999999999</v>
      </c>
      <c r="AJ21" s="3">
        <v>28.54203</v>
      </c>
      <c r="AK21" s="3">
        <v>27.870918</v>
      </c>
      <c r="AL21" s="3">
        <v>28.685065999999999</v>
      </c>
      <c r="AM21" s="3">
        <v>24.127123000000001</v>
      </c>
      <c r="AN21" s="3">
        <v>24.378720999999999</v>
      </c>
      <c r="AO21" s="3">
        <v>27.341847999999999</v>
      </c>
      <c r="AP21" s="3">
        <v>26.471373</v>
      </c>
      <c r="AQ21" s="3">
        <v>30.491081000000001</v>
      </c>
      <c r="AR21" s="3">
        <v>29.835602000000002</v>
      </c>
      <c r="AS21" s="3">
        <v>27.127072999999999</v>
      </c>
      <c r="AT21" s="3">
        <v>29.263867999999999</v>
      </c>
      <c r="AU21" s="3">
        <v>25.256474999999998</v>
      </c>
      <c r="AV21" s="3">
        <v>32.430411999999997</v>
      </c>
      <c r="AW21" s="3">
        <v>27.513995999999999</v>
      </c>
      <c r="AX21" s="3">
        <v>35.379719000000001</v>
      </c>
      <c r="AY21" s="3">
        <v>25.260666000000001</v>
      </c>
      <c r="AZ21" s="3">
        <v>28.642583999999999</v>
      </c>
      <c r="BA21" s="3">
        <v>27.622682999999999</v>
      </c>
      <c r="BB21" s="3">
        <v>28.387121</v>
      </c>
      <c r="BC21" s="3">
        <v>29.779430000000001</v>
      </c>
      <c r="BD21" s="3">
        <v>27.551480999999999</v>
      </c>
      <c r="BE21" s="3">
        <v>29.114473</v>
      </c>
      <c r="BF21" s="3">
        <v>30.4328</v>
      </c>
      <c r="BG21" s="3">
        <v>26.363647</v>
      </c>
      <c r="BH21" s="3">
        <v>29.206994999999999</v>
      </c>
      <c r="BI21" s="3">
        <v>30.889187</v>
      </c>
      <c r="BJ21" s="3">
        <v>32.066367999999997</v>
      </c>
      <c r="BK21" s="3">
        <v>31.475483000000001</v>
      </c>
      <c r="BL21" s="3">
        <v>24.256993999999999</v>
      </c>
      <c r="BM21" s="3">
        <v>23.523917999999998</v>
      </c>
      <c r="BN21" s="3">
        <v>26.549233999999998</v>
      </c>
      <c r="BO21" s="3">
        <v>29.306456000000001</v>
      </c>
      <c r="BP21" s="3">
        <v>28.085415000000001</v>
      </c>
      <c r="BQ21" s="3">
        <v>36.124214000000002</v>
      </c>
      <c r="BR21" s="3">
        <v>28.418436</v>
      </c>
      <c r="BS21" s="3">
        <v>28.43853</v>
      </c>
      <c r="BT21" s="3">
        <v>30.124096000000002</v>
      </c>
      <c r="BU21" s="3">
        <v>31.268657999999999</v>
      </c>
      <c r="BV21" s="3">
        <v>31.515594</v>
      </c>
      <c r="BW21" s="3">
        <v>33.255333</v>
      </c>
      <c r="BX21" s="3">
        <v>24.133645999999999</v>
      </c>
      <c r="BY21" s="3">
        <v>35.128723000000001</v>
      </c>
      <c r="BZ21" s="3">
        <v>34.780665999999997</v>
      </c>
      <c r="CA21" s="3">
        <v>30.754766</v>
      </c>
      <c r="CB21" s="3">
        <v>31.386305</v>
      </c>
      <c r="CC21" s="3">
        <v>32.055950000000003</v>
      </c>
      <c r="CD21" s="3">
        <v>29.572766999999999</v>
      </c>
      <c r="CE21" s="3">
        <v>31.153842999999998</v>
      </c>
      <c r="CF21" s="3">
        <v>30.538827999999999</v>
      </c>
      <c r="CG21" s="3">
        <v>30.244192000000002</v>
      </c>
      <c r="CH21" s="3">
        <v>26.495923999999999</v>
      </c>
      <c r="CI21" s="3">
        <v>28.835246999999999</v>
      </c>
      <c r="CJ21" s="3">
        <v>34.375092000000002</v>
      </c>
      <c r="CK21" s="3">
        <v>28.718150999999999</v>
      </c>
      <c r="CL21" s="3">
        <v>22.960464000000002</v>
      </c>
      <c r="CM21" s="3">
        <v>31.110479000000002</v>
      </c>
      <c r="CN21" s="3">
        <v>34.098694000000002</v>
      </c>
      <c r="CO21" s="3">
        <v>29.559652</v>
      </c>
      <c r="CP21" s="3">
        <v>32.097698000000001</v>
      </c>
      <c r="CQ21" s="3">
        <v>27.609082999999998</v>
      </c>
      <c r="CR21" s="3">
        <v>28.567464999999999</v>
      </c>
      <c r="CS21" s="3">
        <v>24.802050000000001</v>
      </c>
      <c r="CT21" s="3">
        <v>30.756145</v>
      </c>
      <c r="CU21" s="3">
        <v>33.011313999999999</v>
      </c>
      <c r="CV21" s="3">
        <v>26.758507000000002</v>
      </c>
      <c r="CW21" s="3">
        <v>29.798784000000001</v>
      </c>
      <c r="CX21" s="3">
        <v>33.052799</v>
      </c>
      <c r="CY21" s="3">
        <v>28.815573000000001</v>
      </c>
      <c r="CZ21" s="3">
        <v>31.034410000000001</v>
      </c>
      <c r="DA21" s="3">
        <v>28.068021999999999</v>
      </c>
      <c r="DB21" s="3">
        <v>28.963169000000001</v>
      </c>
      <c r="DC21" s="3">
        <v>32.414493999999998</v>
      </c>
      <c r="DD21" s="3">
        <v>26.981348000000001</v>
      </c>
      <c r="DE21" s="3">
        <v>28.508600000000001</v>
      </c>
      <c r="DF21" s="3">
        <v>30.305831999999999</v>
      </c>
      <c r="DG21" s="3">
        <v>29.675459</v>
      </c>
      <c r="DH21" s="3">
        <v>30.130671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29.169131160000006</v>
      </c>
      <c r="H23" s="3">
        <f>MAX(M23:GJ23)</f>
        <v>37.881400999999997</v>
      </c>
      <c r="I23" s="3">
        <f>MIN(M23:GJ23)</f>
        <v>22.988356</v>
      </c>
      <c r="J23" s="3">
        <f>_xlfn.STDEV.P(M23:GJ23)</f>
        <v>2.6093648586640228</v>
      </c>
      <c r="K23" s="3">
        <f>_xlfn.VAR.S(M23:GJ23)</f>
        <v>6.8775605713441568</v>
      </c>
      <c r="M23" s="3">
        <v>28.282285999999999</v>
      </c>
      <c r="N23" s="3">
        <v>32.232833999999997</v>
      </c>
      <c r="O23" s="3">
        <v>27.062124000000001</v>
      </c>
      <c r="P23" s="3">
        <v>30.852926</v>
      </c>
      <c r="Q23" s="3">
        <v>31.963781000000001</v>
      </c>
      <c r="R23" s="3">
        <v>26.166212000000002</v>
      </c>
      <c r="S23" s="3">
        <v>30.488538999999999</v>
      </c>
      <c r="T23" s="3">
        <v>32.219959000000003</v>
      </c>
      <c r="U23" s="3">
        <v>27.486046000000002</v>
      </c>
      <c r="V23" s="3">
        <v>22.988356</v>
      </c>
      <c r="W23" s="3">
        <v>26.701962999999999</v>
      </c>
      <c r="X23" s="3">
        <v>30.897682</v>
      </c>
      <c r="Y23" s="3">
        <v>31.742764999999999</v>
      </c>
      <c r="Z23" s="3">
        <v>30.392181000000001</v>
      </c>
      <c r="AA23" s="3">
        <v>30.457066000000001</v>
      </c>
      <c r="AB23" s="3">
        <v>30.286117999999998</v>
      </c>
      <c r="AC23" s="3">
        <v>27.432295</v>
      </c>
      <c r="AD23" s="3">
        <v>31.868141000000001</v>
      </c>
      <c r="AE23" s="3">
        <v>35.895645000000002</v>
      </c>
      <c r="AF23" s="3">
        <v>30.758575</v>
      </c>
      <c r="AG23" s="3">
        <v>30.051117000000001</v>
      </c>
      <c r="AH23" s="3">
        <v>28.175926</v>
      </c>
      <c r="AI23" s="3">
        <v>26.437811</v>
      </c>
      <c r="AJ23" s="3">
        <v>28.249413000000001</v>
      </c>
      <c r="AK23" s="3">
        <v>32.485858999999998</v>
      </c>
      <c r="AL23" s="3">
        <v>29.230823999999998</v>
      </c>
      <c r="AM23" s="3">
        <v>33.050282000000003</v>
      </c>
      <c r="AN23" s="3">
        <v>26.789266999999999</v>
      </c>
      <c r="AO23" s="3">
        <v>26.585421</v>
      </c>
      <c r="AP23" s="3">
        <v>33.093192999999999</v>
      </c>
      <c r="AQ23" s="3">
        <v>29.775023000000001</v>
      </c>
      <c r="AR23" s="3">
        <v>30.04073</v>
      </c>
      <c r="AS23" s="3">
        <v>26.027598999999999</v>
      </c>
      <c r="AT23" s="3">
        <v>31.486633000000001</v>
      </c>
      <c r="AU23" s="3">
        <v>26.628674</v>
      </c>
      <c r="AV23" s="3">
        <v>29.607067000000001</v>
      </c>
      <c r="AW23" s="3">
        <v>32.357948</v>
      </c>
      <c r="AX23" s="3">
        <v>26.34807</v>
      </c>
      <c r="AY23" s="3">
        <v>27.747105000000001</v>
      </c>
      <c r="AZ23" s="3">
        <v>30.572647</v>
      </c>
      <c r="BA23" s="3">
        <v>30.617878000000001</v>
      </c>
      <c r="BB23" s="3">
        <v>28.650127000000001</v>
      </c>
      <c r="BC23" s="3">
        <v>28.733806999999999</v>
      </c>
      <c r="BD23" s="3">
        <v>30.200771</v>
      </c>
      <c r="BE23" s="3">
        <v>28.579142000000001</v>
      </c>
      <c r="BF23" s="3">
        <v>32.861438999999997</v>
      </c>
      <c r="BG23" s="3">
        <v>25.456398</v>
      </c>
      <c r="BH23" s="3">
        <v>27.765029999999999</v>
      </c>
      <c r="BI23" s="3">
        <v>28.996051999999999</v>
      </c>
      <c r="BJ23" s="3">
        <v>37.881400999999997</v>
      </c>
      <c r="BK23" s="3">
        <v>27.647606</v>
      </c>
      <c r="BL23" s="3">
        <v>31.965992</v>
      </c>
      <c r="BM23" s="3">
        <v>29.766148000000001</v>
      </c>
      <c r="BN23" s="3">
        <v>32.662478999999998</v>
      </c>
      <c r="BO23" s="3">
        <v>26.945219000000002</v>
      </c>
      <c r="BP23" s="3">
        <v>28.526249</v>
      </c>
      <c r="BQ23" s="3">
        <v>28.758876999999998</v>
      </c>
      <c r="BR23" s="3">
        <v>29.117104999999999</v>
      </c>
      <c r="BS23" s="3">
        <v>25.687998</v>
      </c>
      <c r="BT23" s="3">
        <v>27.373757999999999</v>
      </c>
      <c r="BU23" s="3">
        <v>29.127746999999999</v>
      </c>
      <c r="BV23" s="3">
        <v>28.928851999999999</v>
      </c>
      <c r="BW23" s="3">
        <v>24.542117999999999</v>
      </c>
      <c r="BX23" s="3">
        <v>30.495899000000001</v>
      </c>
      <c r="BY23" s="3">
        <v>29.757055000000001</v>
      </c>
      <c r="BZ23" s="3">
        <v>25.633078000000001</v>
      </c>
      <c r="CA23" s="3">
        <v>30.179303999999998</v>
      </c>
      <c r="CB23" s="3">
        <v>34.169562999999997</v>
      </c>
      <c r="CC23" s="3">
        <v>28.028883</v>
      </c>
      <c r="CD23" s="3">
        <v>29.596250999999999</v>
      </c>
      <c r="CE23" s="3">
        <v>30.794986999999999</v>
      </c>
      <c r="CF23" s="3">
        <v>24.969597</v>
      </c>
      <c r="CG23" s="3">
        <v>26.288869999999999</v>
      </c>
      <c r="CH23" s="3">
        <v>31.545328000000001</v>
      </c>
      <c r="CI23" s="3">
        <v>31.308043999999999</v>
      </c>
      <c r="CJ23" s="3">
        <v>30.640699000000001</v>
      </c>
      <c r="CK23" s="3">
        <v>28.325673999999999</v>
      </c>
      <c r="CL23" s="3">
        <v>26.312484999999999</v>
      </c>
      <c r="CM23" s="3">
        <v>27.935369000000001</v>
      </c>
      <c r="CN23" s="3">
        <v>27.846964</v>
      </c>
      <c r="CO23" s="3">
        <v>28.207053999999999</v>
      </c>
      <c r="CP23" s="3">
        <v>30.374524999999998</v>
      </c>
      <c r="CQ23" s="3">
        <v>29.949812000000001</v>
      </c>
      <c r="CR23" s="3">
        <v>31.735056</v>
      </c>
      <c r="CS23" s="3">
        <v>27.995808</v>
      </c>
      <c r="CT23" s="3">
        <v>26.097754999999999</v>
      </c>
      <c r="CU23" s="3">
        <v>25.377248999999999</v>
      </c>
      <c r="CV23" s="3">
        <v>24.317961</v>
      </c>
      <c r="CW23" s="3">
        <v>29.717511999999999</v>
      </c>
      <c r="CX23" s="3">
        <v>27.071898999999998</v>
      </c>
      <c r="CY23" s="3">
        <v>25.349903000000001</v>
      </c>
      <c r="CZ23" s="3">
        <v>28.167925</v>
      </c>
      <c r="DA23" s="3">
        <v>32.326259999999998</v>
      </c>
      <c r="DB23" s="3">
        <v>32.110802</v>
      </c>
      <c r="DC23" s="3">
        <v>31.441648000000001</v>
      </c>
      <c r="DD23" s="3">
        <v>30.366173</v>
      </c>
      <c r="DE23" s="3">
        <v>24.902023</v>
      </c>
      <c r="DF23" s="3">
        <v>26.214727</v>
      </c>
      <c r="DG23" s="3">
        <v>28.067646</v>
      </c>
      <c r="DH23" s="3">
        <v>31.585032000000002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43</v>
      </c>
      <c r="D26" s="1" t="s">
        <v>22</v>
      </c>
    </row>
    <row r="27" spans="2:207" x14ac:dyDescent="0.2">
      <c r="B27" s="2" t="s">
        <v>19</v>
      </c>
      <c r="D27" t="s">
        <v>8</v>
      </c>
      <c r="E27" t="s">
        <v>6</v>
      </c>
      <c r="F27">
        <f>COUNT(M27:GJ27)</f>
        <v>100</v>
      </c>
      <c r="G27" s="3">
        <f>AVERAGE(M27:GJ27)</f>
        <v>12.709910890000002</v>
      </c>
      <c r="H27" s="3">
        <f>MAX(M27:GJ27)</f>
        <v>19.694355000000002</v>
      </c>
      <c r="I27" s="3">
        <f>MIN(M27:GJ27)</f>
        <v>9.0377860000000005</v>
      </c>
      <c r="J27" s="3">
        <f>_xlfn.STDEV.P(M27:GJ27)</f>
        <v>2.2254283182341079</v>
      </c>
      <c r="K27" s="3">
        <f>_xlfn.VAR.S(M27:GJ27)</f>
        <v>5.0025567672709981</v>
      </c>
      <c r="M27" s="3">
        <v>12.831841000000001</v>
      </c>
      <c r="N27" s="3">
        <v>18.846249</v>
      </c>
      <c r="O27" s="3">
        <v>15.319611</v>
      </c>
      <c r="P27" s="3">
        <v>13.513037000000001</v>
      </c>
      <c r="Q27" s="3">
        <v>19.694355000000002</v>
      </c>
      <c r="R27" s="3">
        <v>11.558655999999999</v>
      </c>
      <c r="S27" s="3">
        <v>13.336237000000001</v>
      </c>
      <c r="T27" s="3">
        <v>12.657401</v>
      </c>
      <c r="U27" s="3">
        <v>17.152007999999999</v>
      </c>
      <c r="V27" s="3">
        <v>11.587634</v>
      </c>
      <c r="W27" s="3">
        <v>14.887760999999999</v>
      </c>
      <c r="X27" s="3">
        <v>13.448236</v>
      </c>
      <c r="Y27" s="3">
        <v>10.375947</v>
      </c>
      <c r="Z27" s="3">
        <v>19.305679000000001</v>
      </c>
      <c r="AA27" s="3">
        <v>16.291</v>
      </c>
      <c r="AB27" s="3">
        <v>14.110296</v>
      </c>
      <c r="AC27" s="3">
        <v>15.750095</v>
      </c>
      <c r="AD27" s="3">
        <v>13.71143</v>
      </c>
      <c r="AE27" s="3">
        <v>10.584602</v>
      </c>
      <c r="AF27" s="3">
        <v>13.401196000000001</v>
      </c>
      <c r="AG27" s="3">
        <v>12.519387999999999</v>
      </c>
      <c r="AH27" s="3">
        <v>10.238091000000001</v>
      </c>
      <c r="AI27" s="3">
        <v>15.223882</v>
      </c>
      <c r="AJ27" s="3">
        <v>14.790157000000001</v>
      </c>
      <c r="AK27" s="3">
        <v>14.082331999999999</v>
      </c>
      <c r="AL27" s="3">
        <v>13.206348</v>
      </c>
      <c r="AM27" s="3">
        <v>14.290601000000001</v>
      </c>
      <c r="AN27" s="3">
        <v>11.701312</v>
      </c>
      <c r="AO27" s="3">
        <v>16.341097000000001</v>
      </c>
      <c r="AP27" s="3">
        <v>13.859289</v>
      </c>
      <c r="AQ27" s="3">
        <v>13.068004999999999</v>
      </c>
      <c r="AR27" s="3">
        <v>10.969401</v>
      </c>
      <c r="AS27" s="3">
        <v>13.609389999999999</v>
      </c>
      <c r="AT27" s="3">
        <v>15.790042</v>
      </c>
      <c r="AU27" s="3">
        <v>13.103317000000001</v>
      </c>
      <c r="AV27" s="3">
        <v>9.4862880000000001</v>
      </c>
      <c r="AW27" s="3">
        <v>11.535955</v>
      </c>
      <c r="AX27" s="3">
        <v>11.640879</v>
      </c>
      <c r="AY27" s="3">
        <v>12.535360000000001</v>
      </c>
      <c r="AZ27" s="3">
        <v>11.537148</v>
      </c>
      <c r="BA27" s="3">
        <v>10.359921999999999</v>
      </c>
      <c r="BB27" s="3">
        <v>13.371902</v>
      </c>
      <c r="BC27" s="3">
        <v>12.967254000000001</v>
      </c>
      <c r="BD27" s="3">
        <v>12.455306999999999</v>
      </c>
      <c r="BE27" s="3">
        <v>14.733865</v>
      </c>
      <c r="BF27" s="3">
        <v>14.355475</v>
      </c>
      <c r="BG27" s="3">
        <v>10.206696000000001</v>
      </c>
      <c r="BH27" s="3">
        <v>10.723349000000001</v>
      </c>
      <c r="BI27" s="3">
        <v>10.845449</v>
      </c>
      <c r="BJ27" s="3">
        <v>16.398606999999998</v>
      </c>
      <c r="BK27" s="3">
        <v>10.373345</v>
      </c>
      <c r="BL27" s="3">
        <v>14.294966000000001</v>
      </c>
      <c r="BM27" s="3">
        <v>11.810382000000001</v>
      </c>
      <c r="BN27" s="3">
        <v>11.631411999999999</v>
      </c>
      <c r="BO27" s="3">
        <v>13.486888</v>
      </c>
      <c r="BP27" s="3">
        <v>11.677963</v>
      </c>
      <c r="BQ27" s="3">
        <v>9.3459240000000001</v>
      </c>
      <c r="BR27" s="3">
        <v>11.235374</v>
      </c>
      <c r="BS27" s="3">
        <v>12.026738999999999</v>
      </c>
      <c r="BT27" s="3">
        <v>12.478951</v>
      </c>
      <c r="BU27" s="3">
        <v>10.606706000000001</v>
      </c>
      <c r="BV27" s="3">
        <v>12.514274</v>
      </c>
      <c r="BW27" s="3">
        <v>12.596638</v>
      </c>
      <c r="BX27" s="3">
        <v>15.660309</v>
      </c>
      <c r="BY27" s="3">
        <v>12.016112</v>
      </c>
      <c r="BZ27" s="3">
        <v>11.266776</v>
      </c>
      <c r="CA27" s="3">
        <v>13.900703</v>
      </c>
      <c r="CB27" s="3">
        <v>10.824149999999999</v>
      </c>
      <c r="CC27" s="3">
        <v>16.795083999999999</v>
      </c>
      <c r="CD27" s="3">
        <v>13.340332999999999</v>
      </c>
      <c r="CE27" s="3">
        <v>10.871203</v>
      </c>
      <c r="CF27" s="3">
        <v>11.312594000000001</v>
      </c>
      <c r="CG27" s="3">
        <v>16.612287999999999</v>
      </c>
      <c r="CH27" s="3">
        <v>9.5085379999999997</v>
      </c>
      <c r="CI27" s="3">
        <v>12.340757</v>
      </c>
      <c r="CJ27" s="3">
        <v>9.7434290000000008</v>
      </c>
      <c r="CK27" s="3">
        <v>13.503857999999999</v>
      </c>
      <c r="CL27" s="3">
        <v>10.152016</v>
      </c>
      <c r="CM27" s="3">
        <v>11.509342</v>
      </c>
      <c r="CN27" s="3">
        <v>12.865603999999999</v>
      </c>
      <c r="CO27" s="3">
        <v>9.8827839999999991</v>
      </c>
      <c r="CP27" s="3">
        <v>10.1823</v>
      </c>
      <c r="CQ27" s="3">
        <v>12.575424</v>
      </c>
      <c r="CR27" s="3">
        <v>11.341844999999999</v>
      </c>
      <c r="CS27" s="3">
        <v>12.913914999999999</v>
      </c>
      <c r="CT27" s="3">
        <v>11.407066</v>
      </c>
      <c r="CU27" s="3">
        <v>13.849365000000001</v>
      </c>
      <c r="CV27" s="3">
        <v>10.036766</v>
      </c>
      <c r="CW27" s="3">
        <v>11.303997000000001</v>
      </c>
      <c r="CX27" s="3">
        <v>11.060615</v>
      </c>
      <c r="CY27" s="3">
        <v>9.5832519999999999</v>
      </c>
      <c r="CZ27" s="3">
        <v>14.151115000000001</v>
      </c>
      <c r="DA27" s="3">
        <v>10.275145</v>
      </c>
      <c r="DB27" s="3">
        <v>12.100097</v>
      </c>
      <c r="DC27" s="3">
        <v>11.075537000000001</v>
      </c>
      <c r="DD27" s="3">
        <v>14.995236</v>
      </c>
      <c r="DE27" s="3">
        <v>10.381550000000001</v>
      </c>
      <c r="DF27" s="3">
        <v>12.692828</v>
      </c>
      <c r="DG27" s="3">
        <v>9.0377860000000005</v>
      </c>
      <c r="DH27" s="3">
        <v>11.532429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26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27</v>
      </c>
      <c r="D29" t="s">
        <v>9</v>
      </c>
      <c r="E29" t="s">
        <v>6</v>
      </c>
      <c r="F29">
        <f>COUNT(M29:GJ29)</f>
        <v>100</v>
      </c>
      <c r="G29" s="3">
        <f>AVERAGE(M29:GJ29)</f>
        <v>9.7523972499999996</v>
      </c>
      <c r="H29" s="3">
        <f>MAX(M29:GJ29)</f>
        <v>13.362174</v>
      </c>
      <c r="I29" s="3">
        <f>MIN(M29:GJ29)</f>
        <v>5.394755</v>
      </c>
      <c r="J29" s="3">
        <f>_xlfn.STDEV.P(M29:GJ29)</f>
        <v>1.6717811708111152</v>
      </c>
      <c r="K29" s="3">
        <f>_xlfn.VAR.S(M29:GJ29)</f>
        <v>2.8230831142207884</v>
      </c>
      <c r="M29" s="3">
        <v>7.5952809999999999</v>
      </c>
      <c r="N29" s="3">
        <v>9.1836509999999993</v>
      </c>
      <c r="O29" s="3">
        <v>10.577349999999999</v>
      </c>
      <c r="P29" s="3">
        <v>9.2201850000000007</v>
      </c>
      <c r="Q29" s="3">
        <v>10.621999000000001</v>
      </c>
      <c r="R29" s="3">
        <v>6.956378</v>
      </c>
      <c r="S29" s="3">
        <v>8.8647170000000006</v>
      </c>
      <c r="T29" s="3">
        <v>9.6515280000000008</v>
      </c>
      <c r="U29" s="3">
        <v>12.66344</v>
      </c>
      <c r="V29" s="3">
        <v>11.405134</v>
      </c>
      <c r="W29" s="3">
        <v>6.8526030000000002</v>
      </c>
      <c r="X29" s="3">
        <v>8.0270679999999999</v>
      </c>
      <c r="Y29" s="3">
        <v>9.9662100000000002</v>
      </c>
      <c r="Z29" s="3">
        <v>11.97836</v>
      </c>
      <c r="AA29" s="3">
        <v>8.425808</v>
      </c>
      <c r="AB29" s="3">
        <v>7.0256030000000003</v>
      </c>
      <c r="AC29" s="3">
        <v>8.6904140000000005</v>
      </c>
      <c r="AD29" s="3">
        <v>12.175681000000001</v>
      </c>
      <c r="AE29" s="3">
        <v>10.036901</v>
      </c>
      <c r="AF29" s="3">
        <v>7.2625250000000001</v>
      </c>
      <c r="AG29" s="3">
        <v>11.300561</v>
      </c>
      <c r="AH29" s="3">
        <v>7.068187</v>
      </c>
      <c r="AI29" s="3">
        <v>5.394755</v>
      </c>
      <c r="AJ29" s="3">
        <v>8.0557359999999996</v>
      </c>
      <c r="AK29" s="3">
        <v>9.6270129999999998</v>
      </c>
      <c r="AL29" s="3">
        <v>9.3760600000000007</v>
      </c>
      <c r="AM29" s="3">
        <v>12.163358000000001</v>
      </c>
      <c r="AN29" s="3">
        <v>6.9054450000000003</v>
      </c>
      <c r="AO29" s="3">
        <v>6.6961899999999996</v>
      </c>
      <c r="AP29" s="3">
        <v>10.466324</v>
      </c>
      <c r="AQ29" s="3">
        <v>10.534699</v>
      </c>
      <c r="AR29" s="3">
        <v>9.1472689999999997</v>
      </c>
      <c r="AS29" s="3">
        <v>10.631173</v>
      </c>
      <c r="AT29" s="3">
        <v>10.322338</v>
      </c>
      <c r="AU29" s="3">
        <v>9.2205549999999992</v>
      </c>
      <c r="AV29" s="3">
        <v>10.199776</v>
      </c>
      <c r="AW29" s="3">
        <v>9.8258069999999993</v>
      </c>
      <c r="AX29" s="3">
        <v>11.20635</v>
      </c>
      <c r="AY29" s="3">
        <v>10.057306000000001</v>
      </c>
      <c r="AZ29" s="3">
        <v>7.9794450000000001</v>
      </c>
      <c r="BA29" s="3">
        <v>9.8577929999999991</v>
      </c>
      <c r="BB29" s="3">
        <v>6.7619980000000002</v>
      </c>
      <c r="BC29" s="3">
        <v>12.085471</v>
      </c>
      <c r="BD29" s="3">
        <v>8.4972180000000002</v>
      </c>
      <c r="BE29" s="3">
        <v>6.6700290000000004</v>
      </c>
      <c r="BF29" s="3">
        <v>10.231185999999999</v>
      </c>
      <c r="BG29" s="3">
        <v>7.4226780000000003</v>
      </c>
      <c r="BH29" s="3">
        <v>10.388966</v>
      </c>
      <c r="BI29" s="3">
        <v>11.354547999999999</v>
      </c>
      <c r="BJ29" s="3">
        <v>9.4993099999999995</v>
      </c>
      <c r="BK29" s="3">
        <v>8.8932090000000006</v>
      </c>
      <c r="BL29" s="3">
        <v>10.88435</v>
      </c>
      <c r="BM29" s="3">
        <v>8.768637</v>
      </c>
      <c r="BN29" s="3">
        <v>11.972958</v>
      </c>
      <c r="BO29" s="3">
        <v>10.235794</v>
      </c>
      <c r="BP29" s="3">
        <v>11.207746999999999</v>
      </c>
      <c r="BQ29" s="3">
        <v>8.0430519999999994</v>
      </c>
      <c r="BR29" s="3">
        <v>8.9629399999999997</v>
      </c>
      <c r="BS29" s="3">
        <v>9.9786719999999995</v>
      </c>
      <c r="BT29" s="3">
        <v>12.712073</v>
      </c>
      <c r="BU29" s="3">
        <v>9.7616709999999998</v>
      </c>
      <c r="BV29" s="3">
        <v>13.362174</v>
      </c>
      <c r="BW29" s="3">
        <v>10.849717</v>
      </c>
      <c r="BX29" s="3">
        <v>10.099206000000001</v>
      </c>
      <c r="BY29" s="3">
        <v>7.8528520000000004</v>
      </c>
      <c r="BZ29" s="3">
        <v>12.981802999999999</v>
      </c>
      <c r="CA29" s="3">
        <v>7.1233620000000002</v>
      </c>
      <c r="CB29" s="3">
        <v>11.121150999999999</v>
      </c>
      <c r="CC29" s="3">
        <v>11.541665</v>
      </c>
      <c r="CD29" s="3">
        <v>9.1231229999999996</v>
      </c>
      <c r="CE29" s="3">
        <v>8.9927250000000001</v>
      </c>
      <c r="CF29" s="3">
        <v>9.3897739999999992</v>
      </c>
      <c r="CG29" s="3">
        <v>10.800810999999999</v>
      </c>
      <c r="CH29" s="3">
        <v>8.78688</v>
      </c>
      <c r="CI29" s="3">
        <v>9.6760629999999992</v>
      </c>
      <c r="CJ29" s="3">
        <v>8.7888970000000004</v>
      </c>
      <c r="CK29" s="3">
        <v>9.3267050000000005</v>
      </c>
      <c r="CL29" s="3">
        <v>8.9951840000000001</v>
      </c>
      <c r="CM29" s="3">
        <v>10.559079000000001</v>
      </c>
      <c r="CN29" s="3">
        <v>9.623583</v>
      </c>
      <c r="CO29" s="3">
        <v>10.819941</v>
      </c>
      <c r="CP29" s="3">
        <v>8.8750719999999994</v>
      </c>
      <c r="CQ29" s="3">
        <v>10.070456999999999</v>
      </c>
      <c r="CR29" s="3">
        <v>9.9945769999999996</v>
      </c>
      <c r="CS29" s="3">
        <v>12.484318</v>
      </c>
      <c r="CT29" s="3">
        <v>10.316744999999999</v>
      </c>
      <c r="CU29" s="3">
        <v>13.033910000000001</v>
      </c>
      <c r="CV29" s="3">
        <v>10.510560999999999</v>
      </c>
      <c r="CW29" s="3">
        <v>11.992065999999999</v>
      </c>
      <c r="CX29" s="3">
        <v>8.6283890000000003</v>
      </c>
      <c r="CY29" s="3">
        <v>12.023916</v>
      </c>
      <c r="CZ29" s="3">
        <v>7.4495909999999999</v>
      </c>
      <c r="DA29" s="3">
        <v>10.586384000000001</v>
      </c>
      <c r="DB29" s="3">
        <v>11.653682</v>
      </c>
      <c r="DC29" s="3">
        <v>8.7533840000000005</v>
      </c>
      <c r="DD29" s="3">
        <v>10.578314000000001</v>
      </c>
      <c r="DE29" s="3">
        <v>10.22907</v>
      </c>
      <c r="DF29" s="3">
        <v>10.404666000000001</v>
      </c>
      <c r="DG29" s="3">
        <v>11.418934</v>
      </c>
      <c r="DH29" s="3">
        <v>8.8715109999999999</v>
      </c>
      <c r="DI29" s="3"/>
      <c r="DJ29" s="3"/>
      <c r="DK29" s="3"/>
      <c r="DL29" s="3"/>
      <c r="DM29" s="3"/>
      <c r="DO29" s="3"/>
      <c r="DT29" s="3"/>
      <c r="DU29" s="3"/>
      <c r="DX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11.844691469999994</v>
      </c>
      <c r="H31" s="3">
        <f>MAX(M31:GJ31)</f>
        <v>16.141224000000001</v>
      </c>
      <c r="I31" s="3">
        <f>MIN(M31:GJ31)</f>
        <v>8.9638220000000004</v>
      </c>
      <c r="J31" s="3">
        <f>_xlfn.STDEV.P(M31:GJ31)</f>
        <v>1.4823983659252404</v>
      </c>
      <c r="K31" s="3">
        <f>_xlfn.VAR.S(M31:GJ31)</f>
        <v>2.2197019346442746</v>
      </c>
      <c r="M31" s="3">
        <v>12.095827</v>
      </c>
      <c r="N31" s="3">
        <v>13.236613</v>
      </c>
      <c r="O31" s="3">
        <v>13.433904</v>
      </c>
      <c r="P31" s="3">
        <v>15.185065</v>
      </c>
      <c r="Q31" s="3">
        <v>11.774049</v>
      </c>
      <c r="R31" s="3">
        <v>12.543919000000001</v>
      </c>
      <c r="S31" s="3">
        <v>10.55086</v>
      </c>
      <c r="T31" s="3">
        <v>11.853218999999999</v>
      </c>
      <c r="U31" s="3">
        <v>12.193797</v>
      </c>
      <c r="V31" s="3">
        <v>13.837827000000001</v>
      </c>
      <c r="W31" s="3">
        <v>12.178756999999999</v>
      </c>
      <c r="X31" s="3">
        <v>13.411223</v>
      </c>
      <c r="Y31" s="3">
        <v>13.122145</v>
      </c>
      <c r="Z31" s="3">
        <v>13.26929</v>
      </c>
      <c r="AA31" s="3">
        <v>10.893122</v>
      </c>
      <c r="AB31" s="3">
        <v>10.49385</v>
      </c>
      <c r="AC31" s="3">
        <v>10.99112</v>
      </c>
      <c r="AD31" s="3">
        <v>11.710053</v>
      </c>
      <c r="AE31" s="3">
        <v>13.169342</v>
      </c>
      <c r="AF31" s="3">
        <v>14.047164</v>
      </c>
      <c r="AG31" s="3">
        <v>10.060586000000001</v>
      </c>
      <c r="AH31" s="3">
        <v>12.116688999999999</v>
      </c>
      <c r="AI31" s="3">
        <v>11.856749000000001</v>
      </c>
      <c r="AJ31" s="3">
        <v>13.680191000000001</v>
      </c>
      <c r="AK31" s="3">
        <v>12.058384999999999</v>
      </c>
      <c r="AL31" s="3">
        <v>13.651578000000001</v>
      </c>
      <c r="AM31" s="3">
        <v>9.5123130000000007</v>
      </c>
      <c r="AN31" s="3">
        <v>13.818857</v>
      </c>
      <c r="AO31" s="3">
        <v>11.526113</v>
      </c>
      <c r="AP31" s="3">
        <v>9.1830490000000005</v>
      </c>
      <c r="AQ31" s="3">
        <v>10.760529</v>
      </c>
      <c r="AR31" s="3">
        <v>9.3548019999999994</v>
      </c>
      <c r="AS31" s="3">
        <v>11.311239</v>
      </c>
      <c r="AT31" s="3">
        <v>11.506678000000001</v>
      </c>
      <c r="AU31" s="3">
        <v>13.078021</v>
      </c>
      <c r="AV31" s="3">
        <v>11.748886000000001</v>
      </c>
      <c r="AW31" s="3">
        <v>12.684955</v>
      </c>
      <c r="AX31" s="3">
        <v>14.33948</v>
      </c>
      <c r="AY31" s="3">
        <v>16.141224000000001</v>
      </c>
      <c r="AZ31" s="3">
        <v>9.8543540000000007</v>
      </c>
      <c r="BA31" s="3">
        <v>10.034735</v>
      </c>
      <c r="BB31" s="3">
        <v>11.504583</v>
      </c>
      <c r="BC31" s="3">
        <v>11.169202</v>
      </c>
      <c r="BD31" s="3">
        <v>11.601290000000001</v>
      </c>
      <c r="BE31" s="3">
        <v>12.250546</v>
      </c>
      <c r="BF31" s="3">
        <v>11.090590000000001</v>
      </c>
      <c r="BG31" s="3">
        <v>10.759757</v>
      </c>
      <c r="BH31" s="3">
        <v>9.6124209999999994</v>
      </c>
      <c r="BI31" s="3">
        <v>9.9014480000000002</v>
      </c>
      <c r="BJ31" s="3">
        <v>13.72748</v>
      </c>
      <c r="BK31" s="3">
        <v>14.42273</v>
      </c>
      <c r="BL31" s="3">
        <v>12.466823</v>
      </c>
      <c r="BM31" s="3">
        <v>9.9395749999999996</v>
      </c>
      <c r="BN31" s="3">
        <v>14.647523</v>
      </c>
      <c r="BO31" s="3">
        <v>10.527787</v>
      </c>
      <c r="BP31" s="3">
        <v>13.494198000000001</v>
      </c>
      <c r="BQ31" s="3">
        <v>12.406784</v>
      </c>
      <c r="BR31" s="3">
        <v>10.680217000000001</v>
      </c>
      <c r="BS31" s="3">
        <v>13.414823</v>
      </c>
      <c r="BT31" s="3">
        <v>10.288508</v>
      </c>
      <c r="BU31" s="3">
        <v>12.327597000000001</v>
      </c>
      <c r="BV31" s="3">
        <v>13.327923</v>
      </c>
      <c r="BW31" s="3">
        <v>10.854988000000001</v>
      </c>
      <c r="BX31" s="3">
        <v>13.66377</v>
      </c>
      <c r="BY31" s="3">
        <v>11.074168999999999</v>
      </c>
      <c r="BZ31" s="3">
        <v>11.745564</v>
      </c>
      <c r="CA31" s="3">
        <v>13.039110000000001</v>
      </c>
      <c r="CB31" s="3">
        <v>11.829480999999999</v>
      </c>
      <c r="CC31" s="3">
        <v>12.063307999999999</v>
      </c>
      <c r="CD31" s="3">
        <v>13.745573</v>
      </c>
      <c r="CE31" s="3">
        <v>12.406044</v>
      </c>
      <c r="CF31" s="3">
        <v>10.911486999999999</v>
      </c>
      <c r="CG31" s="3">
        <v>10.607783</v>
      </c>
      <c r="CH31" s="3">
        <v>11.368938</v>
      </c>
      <c r="CI31" s="3">
        <v>12.671638</v>
      </c>
      <c r="CJ31" s="3">
        <v>9.1040539999999996</v>
      </c>
      <c r="CK31" s="3">
        <v>11.597675000000001</v>
      </c>
      <c r="CL31" s="3">
        <v>10.998113</v>
      </c>
      <c r="CM31" s="3">
        <v>12.99155</v>
      </c>
      <c r="CN31" s="3">
        <v>11.265278</v>
      </c>
      <c r="CO31" s="3">
        <v>12.202303000000001</v>
      </c>
      <c r="CP31" s="3">
        <v>10.039688</v>
      </c>
      <c r="CQ31" s="3">
        <v>10.184812000000001</v>
      </c>
      <c r="CR31" s="3">
        <v>13.074005</v>
      </c>
      <c r="CS31" s="3">
        <v>13.849568</v>
      </c>
      <c r="CT31" s="3">
        <v>12.749547</v>
      </c>
      <c r="CU31" s="3">
        <v>12.374914</v>
      </c>
      <c r="CV31" s="3">
        <v>10.765556999999999</v>
      </c>
      <c r="CW31" s="3">
        <v>12.217017</v>
      </c>
      <c r="CX31" s="3">
        <v>8.9638220000000004</v>
      </c>
      <c r="CY31" s="3">
        <v>11.329772999999999</v>
      </c>
      <c r="CZ31" s="3">
        <v>9.9170719999999992</v>
      </c>
      <c r="DA31" s="3">
        <v>10.850626999999999</v>
      </c>
      <c r="DB31" s="3">
        <v>9.4694140000000004</v>
      </c>
      <c r="DC31" s="3">
        <v>10.434633</v>
      </c>
      <c r="DD31" s="3">
        <v>10.053473</v>
      </c>
      <c r="DE31" s="3">
        <v>10.751137</v>
      </c>
      <c r="DF31" s="3">
        <v>10.839143999999999</v>
      </c>
      <c r="DG31" s="3">
        <v>13.293628</v>
      </c>
      <c r="DH31" s="3">
        <v>11.338126000000001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9.747893279999996</v>
      </c>
      <c r="H33" s="3">
        <f>MAX(M33:GJ33)</f>
        <v>15.496559</v>
      </c>
      <c r="I33" s="3">
        <f>MIN(M33:GJ33)</f>
        <v>7.4851539999999996</v>
      </c>
      <c r="J33" s="3">
        <f>_xlfn.STDEV.P(M33:GJ33)</f>
        <v>1.2163386366711866</v>
      </c>
      <c r="K33" s="3">
        <f>_xlfn.VAR.S(M33:GJ33)</f>
        <v>1.4944239182415289</v>
      </c>
      <c r="M33" s="3">
        <v>9.3046310000000005</v>
      </c>
      <c r="N33" s="3">
        <v>10.310596</v>
      </c>
      <c r="O33" s="3">
        <v>10.101653000000001</v>
      </c>
      <c r="P33" s="3">
        <v>10.494429</v>
      </c>
      <c r="Q33" s="3">
        <v>10.822397</v>
      </c>
      <c r="R33" s="3">
        <v>10.845031000000001</v>
      </c>
      <c r="S33" s="3">
        <v>8.7589020000000009</v>
      </c>
      <c r="T33" s="3">
        <v>10.377318000000001</v>
      </c>
      <c r="U33" s="3">
        <v>11.827323</v>
      </c>
      <c r="V33" s="3">
        <v>11.499377000000001</v>
      </c>
      <c r="W33" s="3">
        <v>8.8820680000000003</v>
      </c>
      <c r="X33" s="3">
        <v>8.8385350000000003</v>
      </c>
      <c r="Y33" s="3">
        <v>8.7171409999999998</v>
      </c>
      <c r="Z33" s="3">
        <v>8.0921210000000006</v>
      </c>
      <c r="AA33" s="3">
        <v>9.0654059999999994</v>
      </c>
      <c r="AB33" s="3">
        <v>8.3344450000000005</v>
      </c>
      <c r="AC33" s="3">
        <v>10.766378</v>
      </c>
      <c r="AD33" s="3">
        <v>10.108164</v>
      </c>
      <c r="AE33" s="3">
        <v>10.775001</v>
      </c>
      <c r="AF33" s="3">
        <v>15.496559</v>
      </c>
      <c r="AG33" s="3">
        <v>9.9777900000000006</v>
      </c>
      <c r="AH33" s="3">
        <v>8.8791679999999999</v>
      </c>
      <c r="AI33" s="3">
        <v>8.5057550000000006</v>
      </c>
      <c r="AJ33" s="3">
        <v>8.8838519999999992</v>
      </c>
      <c r="AK33" s="3">
        <v>9.4345049999999997</v>
      </c>
      <c r="AL33" s="3">
        <v>8.9102990000000002</v>
      </c>
      <c r="AM33" s="3">
        <v>9.0025440000000003</v>
      </c>
      <c r="AN33" s="3">
        <v>8.3561639999999997</v>
      </c>
      <c r="AO33" s="3">
        <v>8.4420570000000001</v>
      </c>
      <c r="AP33" s="3">
        <v>8.8155140000000003</v>
      </c>
      <c r="AQ33" s="3">
        <v>10.023037</v>
      </c>
      <c r="AR33" s="3">
        <v>11.237189000000001</v>
      </c>
      <c r="AS33" s="3">
        <v>8.5518619999999999</v>
      </c>
      <c r="AT33" s="3">
        <v>8.2232330000000005</v>
      </c>
      <c r="AU33" s="3">
        <v>9.5523120000000006</v>
      </c>
      <c r="AV33" s="3">
        <v>9.0286659999999994</v>
      </c>
      <c r="AW33" s="3">
        <v>8.64663</v>
      </c>
      <c r="AX33" s="3">
        <v>9.4112500000000008</v>
      </c>
      <c r="AY33" s="3">
        <v>10.630860999999999</v>
      </c>
      <c r="AZ33" s="3">
        <v>9.2736769999999993</v>
      </c>
      <c r="BA33" s="3">
        <v>8.4522940000000002</v>
      </c>
      <c r="BB33" s="3">
        <v>10.402804</v>
      </c>
      <c r="BC33" s="3">
        <v>8.739986</v>
      </c>
      <c r="BD33" s="3">
        <v>10.0046</v>
      </c>
      <c r="BE33" s="3">
        <v>10.800981999999999</v>
      </c>
      <c r="BF33" s="3">
        <v>8.1777370000000005</v>
      </c>
      <c r="BG33" s="3">
        <v>10.635116999999999</v>
      </c>
      <c r="BH33" s="3">
        <v>9.6458809999999993</v>
      </c>
      <c r="BI33" s="3">
        <v>10.100609</v>
      </c>
      <c r="BJ33" s="3">
        <v>8.9566560000000006</v>
      </c>
      <c r="BK33" s="3">
        <v>10.112042000000001</v>
      </c>
      <c r="BL33" s="3">
        <v>9.907591</v>
      </c>
      <c r="BM33" s="3">
        <v>10.532624</v>
      </c>
      <c r="BN33" s="3">
        <v>10.712906</v>
      </c>
      <c r="BO33" s="3">
        <v>10.765305</v>
      </c>
      <c r="BP33" s="3">
        <v>9.3870749999999994</v>
      </c>
      <c r="BQ33" s="3">
        <v>10.701238</v>
      </c>
      <c r="BR33" s="3">
        <v>9.8247949999999999</v>
      </c>
      <c r="BS33" s="3">
        <v>8.2329380000000008</v>
      </c>
      <c r="BT33" s="3">
        <v>9.2285190000000004</v>
      </c>
      <c r="BU33" s="3">
        <v>10.334336</v>
      </c>
      <c r="BV33" s="3">
        <v>9.9497020000000003</v>
      </c>
      <c r="BW33" s="3">
        <v>10.586145999999999</v>
      </c>
      <c r="BX33" s="3">
        <v>9.0787530000000007</v>
      </c>
      <c r="BY33" s="3">
        <v>11.808650999999999</v>
      </c>
      <c r="BZ33" s="3">
        <v>9.1931860000000007</v>
      </c>
      <c r="CA33" s="3">
        <v>8.5387140000000006</v>
      </c>
      <c r="CB33" s="3">
        <v>11.658051</v>
      </c>
      <c r="CC33" s="3">
        <v>10.133196</v>
      </c>
      <c r="CD33" s="3">
        <v>9.2339260000000003</v>
      </c>
      <c r="CE33" s="3">
        <v>9.5122140000000002</v>
      </c>
      <c r="CF33" s="3">
        <v>9.6127719999999997</v>
      </c>
      <c r="CG33" s="3">
        <v>9.6754449999999999</v>
      </c>
      <c r="CH33" s="3">
        <v>8.9036430000000006</v>
      </c>
      <c r="CI33" s="3">
        <v>10.792775000000001</v>
      </c>
      <c r="CJ33" s="3">
        <v>9.6748569999999994</v>
      </c>
      <c r="CK33" s="3">
        <v>10.125171</v>
      </c>
      <c r="CL33" s="3">
        <v>8.0657979999999991</v>
      </c>
      <c r="CM33" s="3">
        <v>9.0362519999999993</v>
      </c>
      <c r="CN33" s="3">
        <v>11.391657</v>
      </c>
      <c r="CO33" s="3">
        <v>8.9498099999999994</v>
      </c>
      <c r="CP33" s="3">
        <v>12.944081000000001</v>
      </c>
      <c r="CQ33" s="3">
        <v>10.247153000000001</v>
      </c>
      <c r="CR33" s="3">
        <v>8.7036440000000006</v>
      </c>
      <c r="CS33" s="3">
        <v>7.9498110000000004</v>
      </c>
      <c r="CT33" s="3">
        <v>9.7270590000000006</v>
      </c>
      <c r="CU33" s="3">
        <v>11.761077</v>
      </c>
      <c r="CV33" s="3">
        <v>8.5835349999999995</v>
      </c>
      <c r="CW33" s="3">
        <v>10.775537999999999</v>
      </c>
      <c r="CX33" s="3">
        <v>11.237176</v>
      </c>
      <c r="CY33" s="3">
        <v>8.0574089999999998</v>
      </c>
      <c r="CZ33" s="3">
        <v>9.9346680000000003</v>
      </c>
      <c r="DA33" s="3">
        <v>10.761086000000001</v>
      </c>
      <c r="DB33" s="3">
        <v>10.628577</v>
      </c>
      <c r="DC33" s="3">
        <v>11.010771</v>
      </c>
      <c r="DD33" s="3">
        <v>7.4851539999999996</v>
      </c>
      <c r="DE33" s="3">
        <v>9.5563339999999997</v>
      </c>
      <c r="DF33" s="3">
        <v>7.7934340000000004</v>
      </c>
      <c r="DG33" s="3">
        <v>10.013629999999999</v>
      </c>
      <c r="DH33" s="3">
        <v>8.838597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10.630556910000005</v>
      </c>
      <c r="H35" s="3">
        <f>MAX(M35:GJ35)</f>
        <v>15.290025999999999</v>
      </c>
      <c r="I35" s="3">
        <f>MIN(M35:GJ35)</f>
        <v>8.0050240000000006</v>
      </c>
      <c r="J35" s="3">
        <f>_xlfn.STDEV.P(M35:GJ35)</f>
        <v>1.3915598926808317</v>
      </c>
      <c r="K35" s="3">
        <f>_xlfn.VAR.S(M35:GJ35)</f>
        <v>1.9559989241594729</v>
      </c>
      <c r="M35" s="3">
        <v>8.6616330000000001</v>
      </c>
      <c r="N35" s="3">
        <v>12.01088</v>
      </c>
      <c r="O35" s="3">
        <v>10.96095</v>
      </c>
      <c r="P35" s="3">
        <v>10.603785999999999</v>
      </c>
      <c r="Q35" s="3">
        <v>11.730089</v>
      </c>
      <c r="R35" s="3">
        <v>9.3755439999999997</v>
      </c>
      <c r="S35" s="3">
        <v>10.853194999999999</v>
      </c>
      <c r="T35" s="3">
        <v>11.328742999999999</v>
      </c>
      <c r="U35" s="3">
        <v>11.440459000000001</v>
      </c>
      <c r="V35" s="3">
        <v>8.0050240000000006</v>
      </c>
      <c r="W35" s="3">
        <v>9.2574269999999999</v>
      </c>
      <c r="X35" s="3">
        <v>11.254123</v>
      </c>
      <c r="Y35" s="3">
        <v>13.315852</v>
      </c>
      <c r="Z35" s="3">
        <v>8.3261009999999995</v>
      </c>
      <c r="AA35" s="3">
        <v>9.7764299999999995</v>
      </c>
      <c r="AB35" s="3">
        <v>8.7969059999999999</v>
      </c>
      <c r="AC35" s="3">
        <v>10.313591000000001</v>
      </c>
      <c r="AD35" s="3">
        <v>8.8279630000000004</v>
      </c>
      <c r="AE35" s="3">
        <v>11.621828000000001</v>
      </c>
      <c r="AF35" s="3">
        <v>10.881204</v>
      </c>
      <c r="AG35" s="3">
        <v>11.634568</v>
      </c>
      <c r="AH35" s="3">
        <v>9.2316579999999995</v>
      </c>
      <c r="AI35" s="3">
        <v>9.7493250000000007</v>
      </c>
      <c r="AJ35" s="3">
        <v>8.5918890000000001</v>
      </c>
      <c r="AK35" s="3">
        <v>10.167007</v>
      </c>
      <c r="AL35" s="3">
        <v>9.4419269999999997</v>
      </c>
      <c r="AM35" s="3">
        <v>12.306176000000001</v>
      </c>
      <c r="AN35" s="3">
        <v>10.711614000000001</v>
      </c>
      <c r="AO35" s="3">
        <v>9.2982630000000004</v>
      </c>
      <c r="AP35" s="3">
        <v>11.834004999999999</v>
      </c>
      <c r="AQ35" s="3">
        <v>10.395925</v>
      </c>
      <c r="AR35" s="3">
        <v>12.332654</v>
      </c>
      <c r="AS35" s="3">
        <v>9.456607</v>
      </c>
      <c r="AT35" s="3">
        <v>15.290025999999999</v>
      </c>
      <c r="AU35" s="3">
        <v>10.451051</v>
      </c>
      <c r="AV35" s="3">
        <v>11.334376000000001</v>
      </c>
      <c r="AW35" s="3">
        <v>10.325898</v>
      </c>
      <c r="AX35" s="3">
        <v>10.586439</v>
      </c>
      <c r="AY35" s="3">
        <v>9.8453219999999995</v>
      </c>
      <c r="AZ35" s="3">
        <v>11.398085999999999</v>
      </c>
      <c r="BA35" s="3">
        <v>11.847189999999999</v>
      </c>
      <c r="BB35" s="3">
        <v>9.2016690000000008</v>
      </c>
      <c r="BC35" s="3">
        <v>10.716934</v>
      </c>
      <c r="BD35" s="3">
        <v>10.015328999999999</v>
      </c>
      <c r="BE35" s="3">
        <v>9.4845959999999998</v>
      </c>
      <c r="BF35" s="3">
        <v>12.19641</v>
      </c>
      <c r="BG35" s="3">
        <v>9.4281790000000001</v>
      </c>
      <c r="BH35" s="3">
        <v>12.376749999999999</v>
      </c>
      <c r="BI35" s="3">
        <v>9.4376650000000009</v>
      </c>
      <c r="BJ35" s="3">
        <v>14.632871</v>
      </c>
      <c r="BK35" s="3">
        <v>9.8537459999999992</v>
      </c>
      <c r="BL35" s="3">
        <v>9.8513020000000004</v>
      </c>
      <c r="BM35" s="3">
        <v>12.885812</v>
      </c>
      <c r="BN35" s="3">
        <v>9.8003149999999994</v>
      </c>
      <c r="BO35" s="3">
        <v>10.053245</v>
      </c>
      <c r="BP35" s="3">
        <v>9.9049219999999991</v>
      </c>
      <c r="BQ35" s="3">
        <v>11.230902</v>
      </c>
      <c r="BR35" s="3">
        <v>11.152694</v>
      </c>
      <c r="BS35" s="3">
        <v>10.290908999999999</v>
      </c>
      <c r="BT35" s="3">
        <v>9.9617470000000008</v>
      </c>
      <c r="BU35" s="3">
        <v>13.061229000000001</v>
      </c>
      <c r="BV35" s="3">
        <v>9.6544709999999991</v>
      </c>
      <c r="BW35" s="3">
        <v>9.5364889999999995</v>
      </c>
      <c r="BX35" s="3">
        <v>10.289835</v>
      </c>
      <c r="BY35" s="3">
        <v>10.287953</v>
      </c>
      <c r="BZ35" s="3">
        <v>9.9353189999999998</v>
      </c>
      <c r="CA35" s="3">
        <v>11.238697</v>
      </c>
      <c r="CB35" s="3">
        <v>12.181431999999999</v>
      </c>
      <c r="CC35" s="3">
        <v>9.7780280000000008</v>
      </c>
      <c r="CD35" s="3">
        <v>9.8763380000000005</v>
      </c>
      <c r="CE35" s="3">
        <v>9.8032050000000002</v>
      </c>
      <c r="CF35" s="3">
        <v>9.5993259999999996</v>
      </c>
      <c r="CG35" s="3">
        <v>10.83466</v>
      </c>
      <c r="CH35" s="3">
        <v>11.455629999999999</v>
      </c>
      <c r="CI35" s="3">
        <v>10.841365</v>
      </c>
      <c r="CJ35" s="3">
        <v>9.0854149999999994</v>
      </c>
      <c r="CK35" s="3">
        <v>8.7307109999999994</v>
      </c>
      <c r="CL35" s="3">
        <v>11.843178</v>
      </c>
      <c r="CM35" s="3">
        <v>13.582203</v>
      </c>
      <c r="CN35" s="3">
        <v>11.420482</v>
      </c>
      <c r="CO35" s="3">
        <v>9.789733</v>
      </c>
      <c r="CP35" s="3">
        <v>13.048678000000001</v>
      </c>
      <c r="CQ35" s="3">
        <v>11.179895</v>
      </c>
      <c r="CR35" s="3">
        <v>12.236082</v>
      </c>
      <c r="CS35" s="3">
        <v>11.016335</v>
      </c>
      <c r="CT35" s="3">
        <v>9.7652529999999995</v>
      </c>
      <c r="CU35" s="3">
        <v>8.1127330000000004</v>
      </c>
      <c r="CV35" s="3">
        <v>10.567690000000001</v>
      </c>
      <c r="CW35" s="3">
        <v>9.0465090000000004</v>
      </c>
      <c r="CX35" s="3">
        <v>9.0539269999999998</v>
      </c>
      <c r="CY35" s="3">
        <v>10.534997000000001</v>
      </c>
      <c r="CZ35" s="3">
        <v>9.3718970000000006</v>
      </c>
      <c r="DA35" s="3">
        <v>10.252706999999999</v>
      </c>
      <c r="DB35" s="3">
        <v>9.9007079999999998</v>
      </c>
      <c r="DC35" s="3">
        <v>11.180051000000001</v>
      </c>
      <c r="DD35" s="3">
        <v>12.725438</v>
      </c>
      <c r="DE35" s="3">
        <v>10.710614</v>
      </c>
      <c r="DF35" s="3">
        <v>10.918780999999999</v>
      </c>
      <c r="DG35" s="3">
        <v>10.668713</v>
      </c>
      <c r="DH35" s="3">
        <v>13.891253000000001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43</v>
      </c>
      <c r="D38" s="1" t="s">
        <v>23</v>
      </c>
    </row>
    <row r="39" spans="2:207" x14ac:dyDescent="0.2">
      <c r="B39" s="2" t="s">
        <v>20</v>
      </c>
      <c r="D39" t="s">
        <v>8</v>
      </c>
      <c r="E39" t="s">
        <v>6</v>
      </c>
      <c r="F39">
        <f>COUNT(M39:GJ39)</f>
        <v>100</v>
      </c>
      <c r="G39" s="3">
        <f>AVERAGE(M39:GJ39)</f>
        <v>9.9894514800000014</v>
      </c>
      <c r="H39" s="3">
        <f>MAX(M39:GJ39)</f>
        <v>16.527159000000001</v>
      </c>
      <c r="I39" s="3">
        <f>MIN(M39:GJ39)</f>
        <v>7.5025789999999999</v>
      </c>
      <c r="J39" s="3">
        <f>_xlfn.STDEV.P(M39:GJ39)</f>
        <v>2.0757995125418947</v>
      </c>
      <c r="K39" s="3">
        <f>_xlfn.VAR.S(M39:GJ39)</f>
        <v>4.3524682992617887</v>
      </c>
      <c r="M39" s="3">
        <v>9.4382280000000005</v>
      </c>
      <c r="N39" s="3">
        <v>16.163166</v>
      </c>
      <c r="O39" s="3">
        <v>11.775852</v>
      </c>
      <c r="P39" s="3">
        <v>10.511222999999999</v>
      </c>
      <c r="Q39" s="3">
        <v>15.464853</v>
      </c>
      <c r="R39" s="3">
        <v>9.2032790000000002</v>
      </c>
      <c r="S39" s="3">
        <v>11.094961</v>
      </c>
      <c r="T39" s="3">
        <v>10.463387000000001</v>
      </c>
      <c r="U39" s="3">
        <v>15.715889000000001</v>
      </c>
      <c r="V39" s="3">
        <v>9.597512</v>
      </c>
      <c r="W39" s="3">
        <v>12.689068000000001</v>
      </c>
      <c r="X39" s="3">
        <v>11.909065</v>
      </c>
      <c r="Y39" s="3">
        <v>8.6957740000000001</v>
      </c>
      <c r="Z39" s="3">
        <v>16.527159000000001</v>
      </c>
      <c r="AA39" s="3">
        <v>14.877205999999999</v>
      </c>
      <c r="AB39" s="3">
        <v>10.397271999999999</v>
      </c>
      <c r="AC39" s="3">
        <v>12.866781</v>
      </c>
      <c r="AD39" s="3">
        <v>13.819540999999999</v>
      </c>
      <c r="AE39" s="3">
        <v>10.156178000000001</v>
      </c>
      <c r="AF39" s="3">
        <v>13.334393</v>
      </c>
      <c r="AG39" s="3">
        <v>10.504683</v>
      </c>
      <c r="AH39" s="3">
        <v>8.5836799999999993</v>
      </c>
      <c r="AI39" s="3">
        <v>12.134377000000001</v>
      </c>
      <c r="AJ39" s="3">
        <v>11.101953999999999</v>
      </c>
      <c r="AK39" s="3">
        <v>11.18951</v>
      </c>
      <c r="AL39" s="3">
        <v>8.9360820000000007</v>
      </c>
      <c r="AM39" s="3">
        <v>10.801785000000001</v>
      </c>
      <c r="AN39" s="3">
        <v>8.2481880000000007</v>
      </c>
      <c r="AO39" s="3">
        <v>12.866208</v>
      </c>
      <c r="AP39" s="3">
        <v>9.91967</v>
      </c>
      <c r="AQ39" s="3">
        <v>9.756297</v>
      </c>
      <c r="AR39" s="3">
        <v>8.5576150000000002</v>
      </c>
      <c r="AS39" s="3">
        <v>10.612085</v>
      </c>
      <c r="AT39" s="3">
        <v>12.460001999999999</v>
      </c>
      <c r="AU39" s="3">
        <v>9.2358790000000006</v>
      </c>
      <c r="AV39" s="3">
        <v>8.1796810000000004</v>
      </c>
      <c r="AW39" s="3">
        <v>8.0049530000000004</v>
      </c>
      <c r="AX39" s="3">
        <v>8.6788740000000004</v>
      </c>
      <c r="AY39" s="3">
        <v>9.6933209999999992</v>
      </c>
      <c r="AZ39" s="3">
        <v>8.6970749999999999</v>
      </c>
      <c r="BA39" s="3">
        <v>8.7523739999999997</v>
      </c>
      <c r="BB39" s="3">
        <v>10.298408999999999</v>
      </c>
      <c r="BC39" s="3">
        <v>8.8462549999999993</v>
      </c>
      <c r="BD39" s="3">
        <v>10.954739</v>
      </c>
      <c r="BE39" s="3">
        <v>10.99236</v>
      </c>
      <c r="BF39" s="3">
        <v>11.936462000000001</v>
      </c>
      <c r="BG39" s="3">
        <v>8.6897900000000003</v>
      </c>
      <c r="BH39" s="3">
        <v>9.8849269999999994</v>
      </c>
      <c r="BI39" s="3">
        <v>9.2745370000000005</v>
      </c>
      <c r="BJ39" s="3">
        <v>12.688376999999999</v>
      </c>
      <c r="BK39" s="3">
        <v>7.6834040000000003</v>
      </c>
      <c r="BL39" s="3">
        <v>11.200357</v>
      </c>
      <c r="BM39" s="3">
        <v>8.4000430000000001</v>
      </c>
      <c r="BN39" s="3">
        <v>8.8693600000000004</v>
      </c>
      <c r="BO39" s="3">
        <v>10.500235</v>
      </c>
      <c r="BP39" s="3">
        <v>9.8812569999999997</v>
      </c>
      <c r="BQ39" s="3">
        <v>7.8846720000000001</v>
      </c>
      <c r="BR39" s="3">
        <v>9.0419049999999999</v>
      </c>
      <c r="BS39" s="3">
        <v>8.4534839999999996</v>
      </c>
      <c r="BT39" s="3">
        <v>8.2588159999999995</v>
      </c>
      <c r="BU39" s="3">
        <v>8.3309499999999996</v>
      </c>
      <c r="BV39" s="3">
        <v>8.7861980000000006</v>
      </c>
      <c r="BW39" s="3">
        <v>10.303791</v>
      </c>
      <c r="BX39" s="3">
        <v>11.313257999999999</v>
      </c>
      <c r="BY39" s="3">
        <v>8.5608540000000009</v>
      </c>
      <c r="BZ39" s="3">
        <v>8.7422000000000004</v>
      </c>
      <c r="CA39" s="3">
        <v>9.0596239999999995</v>
      </c>
      <c r="CB39" s="3">
        <v>8.3713280000000001</v>
      </c>
      <c r="CC39" s="3">
        <v>13.932395</v>
      </c>
      <c r="CD39" s="3">
        <v>8.770626</v>
      </c>
      <c r="CE39" s="3">
        <v>8.2657240000000005</v>
      </c>
      <c r="CF39" s="3">
        <v>8.2331350000000008</v>
      </c>
      <c r="CG39" s="3">
        <v>14.657306999999999</v>
      </c>
      <c r="CH39" s="3">
        <v>8.1014859999999995</v>
      </c>
      <c r="CI39" s="3">
        <v>8.4524340000000002</v>
      </c>
      <c r="CJ39" s="3">
        <v>8.0793850000000003</v>
      </c>
      <c r="CK39" s="3">
        <v>11.590721</v>
      </c>
      <c r="CL39" s="3">
        <v>8.2349139999999998</v>
      </c>
      <c r="CM39" s="3">
        <v>8.4831789999999998</v>
      </c>
      <c r="CN39" s="3">
        <v>8.5388070000000003</v>
      </c>
      <c r="CO39" s="3">
        <v>8.309958</v>
      </c>
      <c r="CP39" s="3">
        <v>8.0683419999999995</v>
      </c>
      <c r="CQ39" s="3">
        <v>9.1062309999999993</v>
      </c>
      <c r="CR39" s="3">
        <v>9.0729220000000002</v>
      </c>
      <c r="CS39" s="3">
        <v>8.5545449999999992</v>
      </c>
      <c r="CT39" s="3">
        <v>8.7856089999999991</v>
      </c>
      <c r="CU39" s="3">
        <v>11.724762</v>
      </c>
      <c r="CV39" s="3">
        <v>8.1086650000000002</v>
      </c>
      <c r="CW39" s="3">
        <v>7.8481269999999999</v>
      </c>
      <c r="CX39" s="3">
        <v>7.8388970000000002</v>
      </c>
      <c r="CY39" s="3">
        <v>8.4000909999999998</v>
      </c>
      <c r="CZ39" s="3">
        <v>10.024494000000001</v>
      </c>
      <c r="DA39" s="3">
        <v>7.5025789999999999</v>
      </c>
      <c r="DB39" s="3">
        <v>9.3935569999999995</v>
      </c>
      <c r="DC39" s="3">
        <v>8.7009220000000003</v>
      </c>
      <c r="DD39" s="3">
        <v>10.097341999999999</v>
      </c>
      <c r="DE39" s="3">
        <v>8.3427910000000001</v>
      </c>
      <c r="DF39" s="3">
        <v>9.1109000000000009</v>
      </c>
      <c r="DG39" s="3">
        <v>7.5108309999999996</v>
      </c>
      <c r="DH39" s="3">
        <v>8.2807980000000008</v>
      </c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28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25</v>
      </c>
      <c r="D41" t="s">
        <v>9</v>
      </c>
      <c r="E41" t="s">
        <v>6</v>
      </c>
      <c r="F41">
        <f>COUNT(M41:GJ41)</f>
        <v>100</v>
      </c>
      <c r="G41" s="3">
        <f>AVERAGE(M41:GJ41)</f>
        <v>9.4870798500000006</v>
      </c>
      <c r="H41" s="3">
        <f>MAX(M41:GJ41)</f>
        <v>12.439933999999999</v>
      </c>
      <c r="I41" s="3">
        <f>MIN(M41:GJ41)</f>
        <v>6.7396700000000003</v>
      </c>
      <c r="J41" s="3">
        <f>_xlfn.STDEV.P(M41:GJ41)</f>
        <v>1.4712982511700132</v>
      </c>
      <c r="K41" s="3">
        <f>_xlfn.VAR.S(M41:GJ41)</f>
        <v>2.1865843877736792</v>
      </c>
      <c r="M41" s="3">
        <v>8.2451080000000001</v>
      </c>
      <c r="N41" s="3">
        <v>8.2770980000000005</v>
      </c>
      <c r="O41" s="3">
        <v>11.038593000000001</v>
      </c>
      <c r="P41" s="3">
        <v>9.5521419999999999</v>
      </c>
      <c r="Q41" s="3">
        <v>10.990505000000001</v>
      </c>
      <c r="R41" s="3">
        <v>7.6129239999999996</v>
      </c>
      <c r="S41" s="3">
        <v>10.227778000000001</v>
      </c>
      <c r="T41" s="3">
        <v>9.1385850000000008</v>
      </c>
      <c r="U41" s="3">
        <v>11.599402</v>
      </c>
      <c r="V41" s="3">
        <v>11.528698</v>
      </c>
      <c r="W41" s="3">
        <v>8.2460070000000005</v>
      </c>
      <c r="X41" s="3">
        <v>7.7915570000000001</v>
      </c>
      <c r="Y41" s="3">
        <v>9.5780609999999999</v>
      </c>
      <c r="Z41" s="3">
        <v>11.907204999999999</v>
      </c>
      <c r="AA41" s="3">
        <v>8.7870720000000002</v>
      </c>
      <c r="AB41" s="3">
        <v>7.8590099999999996</v>
      </c>
      <c r="AC41" s="3">
        <v>9.2248230000000007</v>
      </c>
      <c r="AD41" s="3">
        <v>12.025876999999999</v>
      </c>
      <c r="AE41" s="3">
        <v>9.6379470000000005</v>
      </c>
      <c r="AF41" s="3">
        <v>9.1941190000000006</v>
      </c>
      <c r="AG41" s="3">
        <v>11.400899000000001</v>
      </c>
      <c r="AH41" s="3">
        <v>7.878063</v>
      </c>
      <c r="AI41" s="3">
        <v>7.3031759999999997</v>
      </c>
      <c r="AJ41" s="3">
        <v>8.2902509999999996</v>
      </c>
      <c r="AK41" s="3">
        <v>10.692173</v>
      </c>
      <c r="AL41" s="3">
        <v>8.6844429999999999</v>
      </c>
      <c r="AM41" s="3">
        <v>12.38687</v>
      </c>
      <c r="AN41" s="3">
        <v>8.38645</v>
      </c>
      <c r="AO41" s="3">
        <v>7.1620309999999998</v>
      </c>
      <c r="AP41" s="3">
        <v>11.176345</v>
      </c>
      <c r="AQ41" s="3">
        <v>7.4273660000000001</v>
      </c>
      <c r="AR41" s="3">
        <v>9.1636009999999999</v>
      </c>
      <c r="AS41" s="3">
        <v>8.6513080000000002</v>
      </c>
      <c r="AT41" s="3">
        <v>10.05547</v>
      </c>
      <c r="AU41" s="3">
        <v>9.7336270000000003</v>
      </c>
      <c r="AV41" s="3">
        <v>10.821535000000001</v>
      </c>
      <c r="AW41" s="3">
        <v>8.1915809999999993</v>
      </c>
      <c r="AX41" s="3">
        <v>10.012511</v>
      </c>
      <c r="AY41" s="3">
        <v>9.9282880000000002</v>
      </c>
      <c r="AZ41" s="3">
        <v>8.5292300000000001</v>
      </c>
      <c r="BA41" s="3">
        <v>9.1538799999999991</v>
      </c>
      <c r="BB41" s="3">
        <v>7.8766449999999999</v>
      </c>
      <c r="BC41" s="3">
        <v>12.01539</v>
      </c>
      <c r="BD41" s="3">
        <v>7.765199</v>
      </c>
      <c r="BE41" s="3">
        <v>8.6222619999999992</v>
      </c>
      <c r="BF41" s="3">
        <v>10.809739</v>
      </c>
      <c r="BG41" s="3">
        <v>7.9045139999999998</v>
      </c>
      <c r="BH41" s="3">
        <v>11.481870000000001</v>
      </c>
      <c r="BI41" s="3">
        <v>10.793900000000001</v>
      </c>
      <c r="BJ41" s="3">
        <v>9.9814799999999995</v>
      </c>
      <c r="BK41" s="3">
        <v>8.8966899999999995</v>
      </c>
      <c r="BL41" s="3">
        <v>11.423344</v>
      </c>
      <c r="BM41" s="3">
        <v>8.9495129999999996</v>
      </c>
      <c r="BN41" s="3">
        <v>11.348568</v>
      </c>
      <c r="BO41" s="3">
        <v>9.5576109999999996</v>
      </c>
      <c r="BP41" s="3">
        <v>10.404517</v>
      </c>
      <c r="BQ41" s="3">
        <v>8.9838500000000003</v>
      </c>
      <c r="BR41" s="3">
        <v>7.7065640000000002</v>
      </c>
      <c r="BS41" s="3">
        <v>8.6722599999999996</v>
      </c>
      <c r="BT41" s="3">
        <v>11.491153000000001</v>
      </c>
      <c r="BU41" s="3">
        <v>9.588832</v>
      </c>
      <c r="BV41" s="3">
        <v>12.439933999999999</v>
      </c>
      <c r="BW41" s="3">
        <v>7.3215250000000003</v>
      </c>
      <c r="BX41" s="3">
        <v>9.9299800000000005</v>
      </c>
      <c r="BY41" s="3">
        <v>7.9343300000000001</v>
      </c>
      <c r="BZ41" s="3">
        <v>11.952709</v>
      </c>
      <c r="CA41" s="3">
        <v>7.2915520000000003</v>
      </c>
      <c r="CB41" s="3">
        <v>10.240852</v>
      </c>
      <c r="CC41" s="3">
        <v>10.627050000000001</v>
      </c>
      <c r="CD41" s="3">
        <v>8.9123889999999992</v>
      </c>
      <c r="CE41" s="3">
        <v>8.9554019999999994</v>
      </c>
      <c r="CF41" s="3">
        <v>9.8892369999999996</v>
      </c>
      <c r="CG41" s="3">
        <v>10.431478</v>
      </c>
      <c r="CH41" s="3">
        <v>7.4586670000000002</v>
      </c>
      <c r="CI41" s="3">
        <v>9.5253960000000006</v>
      </c>
      <c r="CJ41" s="3">
        <v>6.7396700000000003</v>
      </c>
      <c r="CK41" s="3">
        <v>7.5656559999999997</v>
      </c>
      <c r="CL41" s="3">
        <v>8.6953560000000003</v>
      </c>
      <c r="CM41" s="3">
        <v>10.266845</v>
      </c>
      <c r="CN41" s="3">
        <v>8.9974790000000002</v>
      </c>
      <c r="CO41" s="3">
        <v>7.999994</v>
      </c>
      <c r="CP41" s="3">
        <v>9.0852090000000008</v>
      </c>
      <c r="CQ41" s="3">
        <v>7.3531620000000002</v>
      </c>
      <c r="CR41" s="3">
        <v>8.2509040000000002</v>
      </c>
      <c r="CS41" s="3">
        <v>11.890131999999999</v>
      </c>
      <c r="CT41" s="3">
        <v>8.9678780000000007</v>
      </c>
      <c r="CU41" s="3">
        <v>12.21687</v>
      </c>
      <c r="CV41" s="3">
        <v>7.2860480000000001</v>
      </c>
      <c r="CW41" s="3">
        <v>10.420918</v>
      </c>
      <c r="CX41" s="3">
        <v>9.8986599999999996</v>
      </c>
      <c r="CY41" s="3">
        <v>11.500951000000001</v>
      </c>
      <c r="CZ41" s="3">
        <v>7.0120529999999999</v>
      </c>
      <c r="DA41" s="3">
        <v>11.277570000000001</v>
      </c>
      <c r="DB41" s="3">
        <v>10.781487</v>
      </c>
      <c r="DC41" s="3">
        <v>9.7015379999999993</v>
      </c>
      <c r="DD41" s="3">
        <v>9.3940619999999999</v>
      </c>
      <c r="DE41" s="3">
        <v>9.8201879999999999</v>
      </c>
      <c r="DF41" s="3">
        <v>9.3498970000000003</v>
      </c>
      <c r="DG41" s="3">
        <v>10.981265</v>
      </c>
      <c r="DH41" s="3">
        <v>8.578182</v>
      </c>
      <c r="DI41" s="3"/>
      <c r="DJ41" s="3"/>
      <c r="DK41" s="3"/>
      <c r="DL41" s="3"/>
      <c r="DM41" s="3"/>
      <c r="DO41" s="3"/>
      <c r="DT41" s="3"/>
      <c r="DU41" s="3"/>
      <c r="DX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13.853799069999997</v>
      </c>
      <c r="H43" s="3">
        <f>MAX(M43:GJ43)</f>
        <v>17.488533</v>
      </c>
      <c r="I43" s="3">
        <f>MIN(M43:GJ43)</f>
        <v>11.271119000000001</v>
      </c>
      <c r="J43" s="3">
        <f>_xlfn.STDEV.P(M43:GJ43)</f>
        <v>1.2838579288023597</v>
      </c>
      <c r="K43" s="3">
        <f>_xlfn.VAR.S(M43:GJ43)</f>
        <v>1.6649405872208938</v>
      </c>
      <c r="M43" s="3">
        <v>14.280271000000001</v>
      </c>
      <c r="N43" s="3">
        <v>15.287300999999999</v>
      </c>
      <c r="O43" s="3">
        <v>15.310152</v>
      </c>
      <c r="P43" s="3">
        <v>17.488533</v>
      </c>
      <c r="Q43" s="3">
        <v>14.155616999999999</v>
      </c>
      <c r="R43" s="3">
        <v>14.850720000000001</v>
      </c>
      <c r="S43" s="3">
        <v>14.332425000000001</v>
      </c>
      <c r="T43" s="3">
        <v>14.540366000000001</v>
      </c>
      <c r="U43" s="3">
        <v>14.593703</v>
      </c>
      <c r="V43" s="3">
        <v>15.519029</v>
      </c>
      <c r="W43" s="3">
        <v>14.674388</v>
      </c>
      <c r="X43" s="3">
        <v>15.51036</v>
      </c>
      <c r="Y43" s="3">
        <v>14.162017000000001</v>
      </c>
      <c r="Z43" s="3">
        <v>14.64761</v>
      </c>
      <c r="AA43" s="3">
        <v>13.647491</v>
      </c>
      <c r="AB43" s="3">
        <v>13.400314</v>
      </c>
      <c r="AC43" s="3">
        <v>12.487169</v>
      </c>
      <c r="AD43" s="3">
        <v>13.862373</v>
      </c>
      <c r="AE43" s="3">
        <v>15.253346000000001</v>
      </c>
      <c r="AF43" s="3">
        <v>15.970492</v>
      </c>
      <c r="AG43" s="3">
        <v>13.196527</v>
      </c>
      <c r="AH43" s="3">
        <v>14.384471</v>
      </c>
      <c r="AI43" s="3">
        <v>14.045157</v>
      </c>
      <c r="AJ43" s="3">
        <v>14.386430000000001</v>
      </c>
      <c r="AK43" s="3">
        <v>12.589086</v>
      </c>
      <c r="AL43" s="3">
        <v>15.525104000000001</v>
      </c>
      <c r="AM43" s="3">
        <v>11.987879</v>
      </c>
      <c r="AN43" s="3">
        <v>14.396452999999999</v>
      </c>
      <c r="AO43" s="3">
        <v>14.138942999999999</v>
      </c>
      <c r="AP43" s="3">
        <v>13.222600999999999</v>
      </c>
      <c r="AQ43" s="3">
        <v>13.919419</v>
      </c>
      <c r="AR43" s="3">
        <v>12.311819</v>
      </c>
      <c r="AS43" s="3">
        <v>12.917941000000001</v>
      </c>
      <c r="AT43" s="3">
        <v>14.762224</v>
      </c>
      <c r="AU43" s="3">
        <v>15.373139</v>
      </c>
      <c r="AV43" s="3">
        <v>14.142829000000001</v>
      </c>
      <c r="AW43" s="3">
        <v>16.111018999999999</v>
      </c>
      <c r="AX43" s="3">
        <v>15.502894</v>
      </c>
      <c r="AY43" s="3">
        <v>16.782409999999999</v>
      </c>
      <c r="AZ43" s="3">
        <v>12.357653000000001</v>
      </c>
      <c r="BA43" s="3">
        <v>13.074408</v>
      </c>
      <c r="BB43" s="3">
        <v>14.306352</v>
      </c>
      <c r="BC43" s="3">
        <v>14.628128999999999</v>
      </c>
      <c r="BD43" s="3">
        <v>13.987546999999999</v>
      </c>
      <c r="BE43" s="3">
        <v>14.189999</v>
      </c>
      <c r="BF43" s="3">
        <v>13.562431999999999</v>
      </c>
      <c r="BG43" s="3">
        <v>11.594331</v>
      </c>
      <c r="BH43" s="3">
        <v>13.571648</v>
      </c>
      <c r="BI43" s="3">
        <v>14.122455</v>
      </c>
      <c r="BJ43" s="3">
        <v>15.749017</v>
      </c>
      <c r="BK43" s="3">
        <v>15.257236000000001</v>
      </c>
      <c r="BL43" s="3">
        <v>13.880995</v>
      </c>
      <c r="BM43" s="3">
        <v>12.171400999999999</v>
      </c>
      <c r="BN43" s="3">
        <v>16.454626000000001</v>
      </c>
      <c r="BO43" s="3">
        <v>11.271119000000001</v>
      </c>
      <c r="BP43" s="3">
        <v>14.011279999999999</v>
      </c>
      <c r="BQ43" s="3">
        <v>13.640905999999999</v>
      </c>
      <c r="BR43" s="3">
        <v>13.687582000000001</v>
      </c>
      <c r="BS43" s="3">
        <v>13.203326000000001</v>
      </c>
      <c r="BT43" s="3">
        <v>13.077166</v>
      </c>
      <c r="BU43" s="3">
        <v>14.060131999999999</v>
      </c>
      <c r="BV43" s="3">
        <v>14.883124</v>
      </c>
      <c r="BW43" s="3">
        <v>12.830977000000001</v>
      </c>
      <c r="BX43" s="3">
        <v>16.027887</v>
      </c>
      <c r="BY43" s="3">
        <v>13.10188</v>
      </c>
      <c r="BZ43" s="3">
        <v>15.824947</v>
      </c>
      <c r="CA43" s="3">
        <v>14.00412</v>
      </c>
      <c r="CB43" s="3">
        <v>12.703294</v>
      </c>
      <c r="CC43" s="3">
        <v>15.041634999999999</v>
      </c>
      <c r="CD43" s="3">
        <v>13.807503000000001</v>
      </c>
      <c r="CE43" s="3">
        <v>13.136913</v>
      </c>
      <c r="CF43" s="3">
        <v>12.684811</v>
      </c>
      <c r="CG43" s="3">
        <v>13.797112</v>
      </c>
      <c r="CH43" s="3">
        <v>15.139002</v>
      </c>
      <c r="CI43" s="3">
        <v>14.198098999999999</v>
      </c>
      <c r="CJ43" s="3">
        <v>12.501996999999999</v>
      </c>
      <c r="CK43" s="3">
        <v>12.821151</v>
      </c>
      <c r="CL43" s="3">
        <v>12.024368000000001</v>
      </c>
      <c r="CM43" s="3">
        <v>13.879775</v>
      </c>
      <c r="CN43" s="3">
        <v>11.812493</v>
      </c>
      <c r="CO43" s="3">
        <v>12.602769</v>
      </c>
      <c r="CP43" s="3">
        <v>12.058228</v>
      </c>
      <c r="CQ43" s="3">
        <v>13.000154</v>
      </c>
      <c r="CR43" s="3">
        <v>13.717031</v>
      </c>
      <c r="CS43" s="3">
        <v>15.320366</v>
      </c>
      <c r="CT43" s="3">
        <v>14.359090999999999</v>
      </c>
      <c r="CU43" s="3">
        <v>13.983803</v>
      </c>
      <c r="CV43" s="3">
        <v>12.149452999999999</v>
      </c>
      <c r="CW43" s="3">
        <v>14.691459999999999</v>
      </c>
      <c r="CX43" s="3">
        <v>11.287283</v>
      </c>
      <c r="CY43" s="3">
        <v>12.417214</v>
      </c>
      <c r="CZ43" s="3">
        <v>12.726394000000001</v>
      </c>
      <c r="DA43" s="3">
        <v>12.336102</v>
      </c>
      <c r="DB43" s="3">
        <v>12.998217</v>
      </c>
      <c r="DC43" s="3">
        <v>11.79285</v>
      </c>
      <c r="DD43" s="3">
        <v>12.054702000000001</v>
      </c>
      <c r="DE43" s="3">
        <v>12.368266</v>
      </c>
      <c r="DF43" s="3">
        <v>13.026752</v>
      </c>
      <c r="DG43" s="3">
        <v>14.181393</v>
      </c>
      <c r="DH43" s="3">
        <v>12.557529000000001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9.4741927100000005</v>
      </c>
      <c r="H45" s="3">
        <f>MAX(M45:GJ45)</f>
        <v>11.383952000000001</v>
      </c>
      <c r="I45" s="3">
        <f>MIN(M45:GJ45)</f>
        <v>7.7787490000000004</v>
      </c>
      <c r="J45" s="3">
        <f>_xlfn.STDEV.P(M45:GJ45)</f>
        <v>0.69230310259175198</v>
      </c>
      <c r="K45" s="3">
        <f>_xlfn.VAR.S(M45:GJ45)</f>
        <v>0.48412483420016755</v>
      </c>
      <c r="M45" s="3">
        <v>8.8280709999999996</v>
      </c>
      <c r="N45" s="3">
        <v>9.8770830000000007</v>
      </c>
      <c r="O45" s="3">
        <v>9.7039010000000001</v>
      </c>
      <c r="P45" s="3">
        <v>10.015573</v>
      </c>
      <c r="Q45" s="3">
        <v>8.7562270000000009</v>
      </c>
      <c r="R45" s="3">
        <v>8.4702359999999999</v>
      </c>
      <c r="S45" s="3">
        <v>9.5982059999999993</v>
      </c>
      <c r="T45" s="3">
        <v>9.615024</v>
      </c>
      <c r="U45" s="3">
        <v>10.38969</v>
      </c>
      <c r="V45" s="3">
        <v>9.4536020000000001</v>
      </c>
      <c r="W45" s="3">
        <v>9.5129889999999993</v>
      </c>
      <c r="X45" s="3">
        <v>8.4128710000000009</v>
      </c>
      <c r="Y45" s="3">
        <v>9.8718280000000007</v>
      </c>
      <c r="Z45" s="3">
        <v>8.8114749999999997</v>
      </c>
      <c r="AA45" s="3">
        <v>10.093515</v>
      </c>
      <c r="AB45" s="3">
        <v>7.7787490000000004</v>
      </c>
      <c r="AC45" s="3">
        <v>9.0497750000000003</v>
      </c>
      <c r="AD45" s="3">
        <v>9.6702840000000005</v>
      </c>
      <c r="AE45" s="3">
        <v>10.57508</v>
      </c>
      <c r="AF45" s="3">
        <v>11.283033</v>
      </c>
      <c r="AG45" s="3">
        <v>8.8973569999999995</v>
      </c>
      <c r="AH45" s="3">
        <v>8.5021009999999997</v>
      </c>
      <c r="AI45" s="3">
        <v>8.9060380000000006</v>
      </c>
      <c r="AJ45" s="3">
        <v>9.6873959999999997</v>
      </c>
      <c r="AK45" s="3">
        <v>9.2350860000000008</v>
      </c>
      <c r="AL45" s="3">
        <v>9.0814430000000002</v>
      </c>
      <c r="AM45" s="3">
        <v>8.8219480000000008</v>
      </c>
      <c r="AN45" s="3">
        <v>8.6526789999999991</v>
      </c>
      <c r="AO45" s="3">
        <v>9.1725910000000006</v>
      </c>
      <c r="AP45" s="3">
        <v>9.3328240000000005</v>
      </c>
      <c r="AQ45" s="3">
        <v>9.6285749999999997</v>
      </c>
      <c r="AR45" s="3">
        <v>11.090337999999999</v>
      </c>
      <c r="AS45" s="3">
        <v>9.2236010000000004</v>
      </c>
      <c r="AT45" s="3">
        <v>9.1926749999999995</v>
      </c>
      <c r="AU45" s="3">
        <v>9.5986630000000002</v>
      </c>
      <c r="AV45" s="3">
        <v>8.9819560000000003</v>
      </c>
      <c r="AW45" s="3">
        <v>8.9487079999999999</v>
      </c>
      <c r="AX45" s="3">
        <v>10.384252999999999</v>
      </c>
      <c r="AY45" s="3">
        <v>9.2689249999999994</v>
      </c>
      <c r="AZ45" s="3">
        <v>10.295562</v>
      </c>
      <c r="BA45" s="3">
        <v>9.5176060000000007</v>
      </c>
      <c r="BB45" s="3">
        <v>9.7738259999999997</v>
      </c>
      <c r="BC45" s="3">
        <v>9.0194449999999993</v>
      </c>
      <c r="BD45" s="3">
        <v>10.369721999999999</v>
      </c>
      <c r="BE45" s="3">
        <v>10.179444999999999</v>
      </c>
      <c r="BF45" s="3">
        <v>9.0505829999999996</v>
      </c>
      <c r="BG45" s="3">
        <v>9.6112029999999997</v>
      </c>
      <c r="BH45" s="3">
        <v>10.164213999999999</v>
      </c>
      <c r="BI45" s="3">
        <v>10.762001</v>
      </c>
      <c r="BJ45" s="3">
        <v>9.5321730000000002</v>
      </c>
      <c r="BK45" s="3">
        <v>9.2940439999999995</v>
      </c>
      <c r="BL45" s="3">
        <v>8.7853790000000007</v>
      </c>
      <c r="BM45" s="3">
        <v>8.7327180000000002</v>
      </c>
      <c r="BN45" s="3">
        <v>9.0507960000000001</v>
      </c>
      <c r="BO45" s="3">
        <v>9.2543340000000001</v>
      </c>
      <c r="BP45" s="3">
        <v>8.9473029999999998</v>
      </c>
      <c r="BQ45" s="3">
        <v>10.11458</v>
      </c>
      <c r="BR45" s="3">
        <v>9.8174779999999995</v>
      </c>
      <c r="BS45" s="3">
        <v>9.1748770000000004</v>
      </c>
      <c r="BT45" s="3">
        <v>9.3082100000000008</v>
      </c>
      <c r="BU45" s="3">
        <v>9.8191489999999995</v>
      </c>
      <c r="BV45" s="3">
        <v>9.0485559999999996</v>
      </c>
      <c r="BW45" s="3">
        <v>10.409573</v>
      </c>
      <c r="BX45" s="3">
        <v>8.9373970000000007</v>
      </c>
      <c r="BY45" s="3">
        <v>11.383952000000001</v>
      </c>
      <c r="BZ45" s="3">
        <v>9.5749600000000008</v>
      </c>
      <c r="CA45" s="3">
        <v>9.0537270000000003</v>
      </c>
      <c r="CB45" s="3">
        <v>10.515375000000001</v>
      </c>
      <c r="CC45" s="3">
        <v>10.803794999999999</v>
      </c>
      <c r="CD45" s="3">
        <v>9.7312729999999998</v>
      </c>
      <c r="CE45" s="3">
        <v>8.9014129999999998</v>
      </c>
      <c r="CF45" s="3">
        <v>9.1568070000000006</v>
      </c>
      <c r="CG45" s="3">
        <v>9.7058700000000009</v>
      </c>
      <c r="CH45" s="3">
        <v>9.0197050000000001</v>
      </c>
      <c r="CI45" s="3">
        <v>9.2759009999999993</v>
      </c>
      <c r="CJ45" s="3">
        <v>9.6100139999999996</v>
      </c>
      <c r="CK45" s="3">
        <v>9.0418979999999998</v>
      </c>
      <c r="CL45" s="3">
        <v>8.0758449999999993</v>
      </c>
      <c r="CM45" s="3">
        <v>9.4622620000000008</v>
      </c>
      <c r="CN45" s="3">
        <v>9.9730439999999998</v>
      </c>
      <c r="CO45" s="3">
        <v>8.8784559999999999</v>
      </c>
      <c r="CP45" s="3">
        <v>10.56057</v>
      </c>
      <c r="CQ45" s="3">
        <v>10.349354</v>
      </c>
      <c r="CR45" s="3">
        <v>8.9937970000000007</v>
      </c>
      <c r="CS45" s="3">
        <v>8.4336859999999998</v>
      </c>
      <c r="CT45" s="3">
        <v>9.5873170000000005</v>
      </c>
      <c r="CU45" s="3">
        <v>9.9026809999999994</v>
      </c>
      <c r="CV45" s="3">
        <v>8.7478549999999995</v>
      </c>
      <c r="CW45" s="3">
        <v>10.119921</v>
      </c>
      <c r="CX45" s="3">
        <v>9.5946289999999994</v>
      </c>
      <c r="CY45" s="3">
        <v>8.6599939999999993</v>
      </c>
      <c r="CZ45" s="3">
        <v>8.6555359999999997</v>
      </c>
      <c r="DA45" s="3">
        <v>9.1196079999999995</v>
      </c>
      <c r="DB45" s="3">
        <v>9.7807949999999995</v>
      </c>
      <c r="DC45" s="3">
        <v>10.80977</v>
      </c>
      <c r="DD45" s="3">
        <v>8.7712979999999998</v>
      </c>
      <c r="DE45" s="3">
        <v>9.2798750000000005</v>
      </c>
      <c r="DF45" s="3">
        <v>8.7898329999999998</v>
      </c>
      <c r="DG45" s="3">
        <v>9.6913429999999998</v>
      </c>
      <c r="DH45" s="3">
        <v>10.062569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10.188054849999997</v>
      </c>
      <c r="H47" s="3">
        <f>MAX(M47:GJ47)</f>
        <v>13.129648</v>
      </c>
      <c r="I47" s="3">
        <f>MIN(M47:GJ47)</f>
        <v>8.2121220000000008</v>
      </c>
      <c r="J47" s="3">
        <f>_xlfn.STDEV.P(M47:GJ47)</f>
        <v>0.92665693196222709</v>
      </c>
      <c r="K47" s="3">
        <f>_xlfn.VAR.S(M47:GJ47)</f>
        <v>0.86736673692287636</v>
      </c>
      <c r="M47" s="3">
        <v>9.5491600000000005</v>
      </c>
      <c r="N47" s="3">
        <v>10.712445000000001</v>
      </c>
      <c r="O47" s="3">
        <v>11.24052</v>
      </c>
      <c r="P47" s="3">
        <v>10.002383999999999</v>
      </c>
      <c r="Q47" s="3">
        <v>11.923622</v>
      </c>
      <c r="R47" s="3">
        <v>8.7344550000000005</v>
      </c>
      <c r="S47" s="3">
        <v>10.65001</v>
      </c>
      <c r="T47" s="3">
        <v>9.8377219999999994</v>
      </c>
      <c r="U47" s="3">
        <v>9.1841069999999991</v>
      </c>
      <c r="V47" s="3">
        <v>8.6596329999999995</v>
      </c>
      <c r="W47" s="3">
        <v>10.288656</v>
      </c>
      <c r="X47" s="3">
        <v>11.368815</v>
      </c>
      <c r="Y47" s="3">
        <v>10.916345</v>
      </c>
      <c r="Z47" s="3">
        <v>8.8469809999999995</v>
      </c>
      <c r="AA47" s="3">
        <v>10.449014</v>
      </c>
      <c r="AB47" s="3">
        <v>8.2121220000000008</v>
      </c>
      <c r="AC47" s="3">
        <v>9.6696030000000004</v>
      </c>
      <c r="AD47" s="3">
        <v>9.5621709999999993</v>
      </c>
      <c r="AE47" s="3">
        <v>11.121957</v>
      </c>
      <c r="AF47" s="3">
        <v>10.429714000000001</v>
      </c>
      <c r="AG47" s="3">
        <v>9.8602910000000001</v>
      </c>
      <c r="AH47" s="3">
        <v>10.347533</v>
      </c>
      <c r="AI47" s="3">
        <v>11.056400999999999</v>
      </c>
      <c r="AJ47" s="3">
        <v>8.7018609999999992</v>
      </c>
      <c r="AK47" s="3">
        <v>10.437379999999999</v>
      </c>
      <c r="AL47" s="3">
        <v>11.154005</v>
      </c>
      <c r="AM47" s="3">
        <v>10.441201</v>
      </c>
      <c r="AN47" s="3">
        <v>10.186458</v>
      </c>
      <c r="AO47" s="3">
        <v>8.6938720000000007</v>
      </c>
      <c r="AP47" s="3">
        <v>12.342929</v>
      </c>
      <c r="AQ47" s="3">
        <v>9.9450050000000001</v>
      </c>
      <c r="AR47" s="3">
        <v>10.407806000000001</v>
      </c>
      <c r="AS47" s="3">
        <v>9.0045059999999992</v>
      </c>
      <c r="AT47" s="3">
        <v>13.129648</v>
      </c>
      <c r="AU47" s="3">
        <v>9.8629960000000008</v>
      </c>
      <c r="AV47" s="3">
        <v>10.787542</v>
      </c>
      <c r="AW47" s="3">
        <v>10.711888</v>
      </c>
      <c r="AX47" s="3">
        <v>8.5500559999999997</v>
      </c>
      <c r="AY47" s="3">
        <v>9.8421020000000006</v>
      </c>
      <c r="AZ47" s="3">
        <v>10.260142999999999</v>
      </c>
      <c r="BA47" s="3">
        <v>9.8517039999999998</v>
      </c>
      <c r="BB47" s="3">
        <v>9.4094510000000007</v>
      </c>
      <c r="BC47" s="3">
        <v>10.320095</v>
      </c>
      <c r="BD47" s="3">
        <v>9.8897840000000006</v>
      </c>
      <c r="BE47" s="3">
        <v>10.020146</v>
      </c>
      <c r="BF47" s="3">
        <v>11.235147</v>
      </c>
      <c r="BG47" s="3">
        <v>10.168903999999999</v>
      </c>
      <c r="BH47" s="3">
        <v>12.249171</v>
      </c>
      <c r="BI47" s="3">
        <v>8.7650790000000001</v>
      </c>
      <c r="BJ47" s="3">
        <v>12.483535</v>
      </c>
      <c r="BK47" s="3">
        <v>9.4807869999999994</v>
      </c>
      <c r="BL47" s="3">
        <v>10.189164</v>
      </c>
      <c r="BM47" s="3">
        <v>10.441366</v>
      </c>
      <c r="BN47" s="3">
        <v>9.4960869999999993</v>
      </c>
      <c r="BO47" s="3">
        <v>10.562248</v>
      </c>
      <c r="BP47" s="3">
        <v>10.962757999999999</v>
      </c>
      <c r="BQ47" s="3">
        <v>11.107328000000001</v>
      </c>
      <c r="BR47" s="3">
        <v>10.626042999999999</v>
      </c>
      <c r="BS47" s="3">
        <v>8.9309019999999997</v>
      </c>
      <c r="BT47" s="3">
        <v>9.9514569999999996</v>
      </c>
      <c r="BU47" s="3">
        <v>12.234337</v>
      </c>
      <c r="BV47" s="3">
        <v>9.3194820000000007</v>
      </c>
      <c r="BW47" s="3">
        <v>9.5201809999999991</v>
      </c>
      <c r="BX47" s="3">
        <v>10.528553</v>
      </c>
      <c r="BY47" s="3">
        <v>10.455418999999999</v>
      </c>
      <c r="BZ47" s="3">
        <v>9.3954850000000008</v>
      </c>
      <c r="CA47" s="3">
        <v>11.005432000000001</v>
      </c>
      <c r="CB47" s="3">
        <v>10.748239999999999</v>
      </c>
      <c r="CC47" s="3">
        <v>10.767756</v>
      </c>
      <c r="CD47" s="3">
        <v>9.7300900000000006</v>
      </c>
      <c r="CE47" s="3">
        <v>10.051128</v>
      </c>
      <c r="CF47" s="3">
        <v>8.8730220000000006</v>
      </c>
      <c r="CG47" s="3">
        <v>11.168704</v>
      </c>
      <c r="CH47" s="3">
        <v>10.528943999999999</v>
      </c>
      <c r="CI47" s="3">
        <v>10.617153</v>
      </c>
      <c r="CJ47" s="3">
        <v>9.9376460000000009</v>
      </c>
      <c r="CK47" s="3">
        <v>9.4016459999999995</v>
      </c>
      <c r="CL47" s="3">
        <v>9.5765259999999994</v>
      </c>
      <c r="CM47" s="3">
        <v>11.060755</v>
      </c>
      <c r="CN47" s="3">
        <v>10.667873999999999</v>
      </c>
      <c r="CO47" s="3">
        <v>10.101086</v>
      </c>
      <c r="CP47" s="3">
        <v>10.333308000000001</v>
      </c>
      <c r="CQ47" s="3">
        <v>10.765867</v>
      </c>
      <c r="CR47" s="3">
        <v>10.163301000000001</v>
      </c>
      <c r="CS47" s="3">
        <v>9.5035550000000004</v>
      </c>
      <c r="CT47" s="3">
        <v>9.7170389999999998</v>
      </c>
      <c r="CU47" s="3">
        <v>9.4428090000000005</v>
      </c>
      <c r="CV47" s="3">
        <v>9.0102899999999995</v>
      </c>
      <c r="CW47" s="3">
        <v>10.622588</v>
      </c>
      <c r="CX47" s="3">
        <v>9.4679839999999995</v>
      </c>
      <c r="CY47" s="3">
        <v>8.687068</v>
      </c>
      <c r="CZ47" s="3">
        <v>9.3614289999999993</v>
      </c>
      <c r="DA47" s="3">
        <v>10.354424</v>
      </c>
      <c r="DB47" s="3">
        <v>10.690213</v>
      </c>
      <c r="DC47" s="3">
        <v>9.7645959999999992</v>
      </c>
      <c r="DD47" s="3">
        <v>10.377568999999999</v>
      </c>
      <c r="DE47" s="3">
        <v>9.3235299999999999</v>
      </c>
      <c r="DF47" s="3">
        <v>11.357165</v>
      </c>
      <c r="DG47" s="3">
        <v>9.7494060000000005</v>
      </c>
      <c r="DH47" s="3">
        <v>11.199669999999999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2026-03-05T19:12:27Z</dcterms:modified>
</cp:coreProperties>
</file>