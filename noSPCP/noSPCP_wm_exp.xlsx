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oSPCP/"/>
    </mc:Choice>
  </mc:AlternateContent>
  <xr:revisionPtr revIDLastSave="0" documentId="13_ncr:1_{3B53537D-354C-A243-A178-A95124B1BBC0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3" l="1"/>
  <c r="J94" i="3"/>
  <c r="I94" i="3"/>
  <c r="H94" i="3"/>
  <c r="G94" i="3"/>
  <c r="F94" i="3"/>
  <c r="K92" i="3"/>
  <c r="J92" i="3"/>
  <c r="I92" i="3"/>
  <c r="H92" i="3"/>
  <c r="G92" i="3"/>
  <c r="F92" i="3"/>
  <c r="K90" i="3"/>
  <c r="J90" i="3"/>
  <c r="I90" i="3"/>
  <c r="H90" i="3"/>
  <c r="G90" i="3"/>
  <c r="F90" i="3"/>
  <c r="K88" i="3"/>
  <c r="J88" i="3"/>
  <c r="I88" i="3"/>
  <c r="H88" i="3"/>
  <c r="G88" i="3"/>
  <c r="F88" i="3"/>
  <c r="K86" i="3"/>
  <c r="J86" i="3"/>
  <c r="I86" i="3"/>
  <c r="H86" i="3"/>
  <c r="G86" i="3"/>
  <c r="F86" i="3"/>
  <c r="K82" i="3"/>
  <c r="J82" i="3"/>
  <c r="I82" i="3"/>
  <c r="H82" i="3"/>
  <c r="G82" i="3"/>
  <c r="F82" i="3"/>
  <c r="K80" i="3"/>
  <c r="J80" i="3"/>
  <c r="I80" i="3"/>
  <c r="H80" i="3"/>
  <c r="G80" i="3"/>
  <c r="F80" i="3"/>
  <c r="K78" i="3"/>
  <c r="J78" i="3"/>
  <c r="I78" i="3"/>
  <c r="H78" i="3"/>
  <c r="G78" i="3"/>
  <c r="F78" i="3"/>
  <c r="K76" i="3"/>
  <c r="J76" i="3"/>
  <c r="I76" i="3"/>
  <c r="H76" i="3"/>
  <c r="G76" i="3"/>
  <c r="F76" i="3"/>
  <c r="K74" i="3"/>
  <c r="J74" i="3"/>
  <c r="I74" i="3"/>
  <c r="H74" i="3"/>
  <c r="G74" i="3"/>
  <c r="F74" i="3"/>
  <c r="K70" i="3"/>
  <c r="J70" i="3"/>
  <c r="I70" i="3"/>
  <c r="H70" i="3"/>
  <c r="G70" i="3"/>
  <c r="F70" i="3"/>
  <c r="K68" i="3"/>
  <c r="J68" i="3"/>
  <c r="I68" i="3"/>
  <c r="H68" i="3"/>
  <c r="G68" i="3"/>
  <c r="F68" i="3"/>
  <c r="K66" i="3"/>
  <c r="J66" i="3"/>
  <c r="I66" i="3"/>
  <c r="H66" i="3"/>
  <c r="G66" i="3"/>
  <c r="F66" i="3"/>
  <c r="K64" i="3"/>
  <c r="J64" i="3"/>
  <c r="I64" i="3"/>
  <c r="H64" i="3"/>
  <c r="G64" i="3"/>
  <c r="F64" i="3"/>
  <c r="K62" i="3"/>
  <c r="J62" i="3"/>
  <c r="I62" i="3"/>
  <c r="H62" i="3"/>
  <c r="G62" i="3"/>
  <c r="F62" i="3"/>
  <c r="K58" i="3"/>
  <c r="J58" i="3"/>
  <c r="I58" i="3"/>
  <c r="H58" i="3"/>
  <c r="G58" i="3"/>
  <c r="F58" i="3"/>
  <c r="K56" i="3"/>
  <c r="J56" i="3"/>
  <c r="I56" i="3"/>
  <c r="H56" i="3"/>
  <c r="G56" i="3"/>
  <c r="F56" i="3"/>
  <c r="K54" i="3"/>
  <c r="J54" i="3"/>
  <c r="I54" i="3"/>
  <c r="H54" i="3"/>
  <c r="G54" i="3"/>
  <c r="F54" i="3"/>
  <c r="K52" i="3"/>
  <c r="J52" i="3"/>
  <c r="I52" i="3"/>
  <c r="H52" i="3"/>
  <c r="G52" i="3"/>
  <c r="F52" i="3"/>
  <c r="K50" i="3"/>
  <c r="J50" i="3"/>
  <c r="I50" i="3"/>
  <c r="H50" i="3"/>
  <c r="G50" i="3"/>
  <c r="F50" i="3"/>
  <c r="K46" i="3"/>
  <c r="J46" i="3"/>
  <c r="I46" i="3"/>
  <c r="H46" i="3"/>
  <c r="G46" i="3"/>
  <c r="F46" i="3"/>
  <c r="K44" i="3"/>
  <c r="J44" i="3"/>
  <c r="I44" i="3"/>
  <c r="H44" i="3"/>
  <c r="G44" i="3"/>
  <c r="F44" i="3"/>
  <c r="K42" i="3"/>
  <c r="J42" i="3"/>
  <c r="I42" i="3"/>
  <c r="H42" i="3"/>
  <c r="G42" i="3"/>
  <c r="F42" i="3"/>
  <c r="K40" i="3"/>
  <c r="J40" i="3"/>
  <c r="I40" i="3"/>
  <c r="H40" i="3"/>
  <c r="G40" i="3"/>
  <c r="F40" i="3"/>
  <c r="K38" i="3"/>
  <c r="J38" i="3"/>
  <c r="I38" i="3"/>
  <c r="H38" i="3"/>
  <c r="G38" i="3"/>
  <c r="F38" i="3"/>
  <c r="K34" i="3"/>
  <c r="J34" i="3"/>
  <c r="I34" i="3"/>
  <c r="H34" i="3"/>
  <c r="G34" i="3"/>
  <c r="F34" i="3"/>
  <c r="K32" i="3"/>
  <c r="J32" i="3"/>
  <c r="I32" i="3"/>
  <c r="H32" i="3"/>
  <c r="G32" i="3"/>
  <c r="F32" i="3"/>
  <c r="K30" i="3"/>
  <c r="J30" i="3"/>
  <c r="I30" i="3"/>
  <c r="H30" i="3"/>
  <c r="G30" i="3"/>
  <c r="F30" i="3"/>
  <c r="K28" i="3"/>
  <c r="J28" i="3"/>
  <c r="I28" i="3"/>
  <c r="H28" i="3"/>
  <c r="G28" i="3"/>
  <c r="F28" i="3"/>
  <c r="K26" i="3"/>
  <c r="J26" i="3"/>
  <c r="I26" i="3"/>
  <c r="H26" i="3"/>
  <c r="G26" i="3"/>
  <c r="F26" i="3"/>
  <c r="K22" i="3"/>
  <c r="J22" i="3"/>
  <c r="I22" i="3"/>
  <c r="H22" i="3"/>
  <c r="G22" i="3"/>
  <c r="F22" i="3"/>
  <c r="K20" i="3"/>
  <c r="J20" i="3"/>
  <c r="I20" i="3"/>
  <c r="H20" i="3"/>
  <c r="G20" i="3"/>
  <c r="F20" i="3"/>
  <c r="K18" i="3"/>
  <c r="J18" i="3"/>
  <c r="I18" i="3"/>
  <c r="H18" i="3"/>
  <c r="G18" i="3"/>
  <c r="F18" i="3"/>
  <c r="K16" i="3"/>
  <c r="J16" i="3"/>
  <c r="I16" i="3"/>
  <c r="H16" i="3"/>
  <c r="G16" i="3"/>
  <c r="F16" i="3"/>
  <c r="K14" i="3"/>
  <c r="J14" i="3"/>
  <c r="I14" i="3"/>
  <c r="H14" i="3"/>
  <c r="G14" i="3"/>
  <c r="F14" i="3"/>
  <c r="G10" i="3" l="1"/>
  <c r="G7" i="3"/>
  <c r="G9" i="3"/>
  <c r="G6" i="3"/>
  <c r="G8" i="3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<sst xmlns="http://schemas.openxmlformats.org/spreadsheetml/2006/main" count="138" uniqueCount="61">
  <si>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</si>
  <si>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</si>
  <si>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</si>
  <si>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</si>
  <si>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</si>
  <si>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</si>
  <si>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</si>
  <si>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</si>
  <si>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</si>
  <si>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</si>
  <si>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</si>
  <si>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</si>
  <si>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</si>
  <si>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</si>
  <si>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</si>
  <si>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</si>
  <si>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</si>
  <si>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</si>
  <si>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</si>
  <si>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</si>
  <si>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</si>
  <si>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</si>
  <si>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</si>
  <si>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</si>
  <si>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</si>
  <si>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</si>
  <si>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</si>
  <si>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</si>
  <si>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</si>
  <si>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</si>
  <si>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</si>
  <si>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</si>
  <si>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</si>
  <si>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</si>
  <si>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</si>
  <si>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</si>
  <si>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</si>
  <si>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</si>
  <si>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</si>
  <si>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</si>
  <si>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</si>
  <si>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</si>
  <si>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</si>
  <si>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</si>
  <si>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</si>
  <si>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</si>
  <si>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(hh_15)</t>
  </si>
  <si>
    <t>train_synth: (hh_14)</t>
  </si>
  <si>
    <t>train_synth: (hh_04)</t>
  </si>
  <si>
    <t>train_synth: (hh_01)</t>
  </si>
  <si>
    <t>WindowGRU_total</t>
  </si>
  <si>
    <t>Seq2Point_total</t>
  </si>
  <si>
    <t>RNN_total</t>
  </si>
  <si>
    <t>DAE_total</t>
  </si>
  <si>
    <t>Seq2Seq_total</t>
  </si>
  <si>
    <t>start_time': '2024-05-01'</t>
  </si>
  <si>
    <t>end_time': '2024-05-14'</t>
  </si>
  <si>
    <t>MAE_total</t>
  </si>
  <si>
    <t>train: noSPCP_dataset.h5</t>
  </si>
  <si>
    <t>test_real: test_dataset.h5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</si>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</sst>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applyNumberFormat="1" applyBorder="1"/>
    <xf numFmtId="0" fontId="0" fillId="0" borderId="0" xfId="0" applyBorder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BCED-D97B-46BD-87D1-81198CFE3A4E}">
  <dimension ref="A1:GY104"/>
  <sheetViews>
    <sheetView tabSelected="1" workbookViewId="0">
      <selection activeCell="C17" sqref="C17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3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58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49</v>
      </c>
      <c r="B4" s="2" t="s">
        <v>55</v>
      </c>
      <c r="C4" s="2" t="s">
        <v>56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48</v>
      </c>
      <c r="B5" s="2" t="s">
        <v>55</v>
      </c>
      <c r="C5" s="2" t="s">
        <v>56</v>
      </c>
      <c r="E5" s="2"/>
      <c r="G5" s="6" t="s">
        <v>57</v>
      </c>
      <c r="H5" s="2"/>
      <c r="I5" s="2"/>
      <c r="J5" s="3"/>
      <c r="K5" s="2"/>
      <c r="L5" s="2"/>
    </row>
    <row r="6" spans="1:207" x14ac:dyDescent="0.2">
      <c r="A6" t="s">
        <v>47</v>
      </c>
      <c r="B6" s="2" t="s">
        <v>55</v>
      </c>
      <c r="C6" s="2" t="s">
        <v>56</v>
      </c>
      <c r="E6" s="2"/>
      <c r="F6" t="s">
        <v>52</v>
      </c>
      <c r="G6" s="3">
        <f>SUM(G14,G26,G38,G50,G62,G74,G86)/7</f>
        <v>24.755032834285714</v>
      </c>
      <c r="H6" s="2"/>
      <c r="I6" s="2"/>
      <c r="J6" s="3"/>
      <c r="K6" s="2"/>
      <c r="L6" s="2"/>
    </row>
    <row r="7" spans="1:207" x14ac:dyDescent="0.2">
      <c r="A7" t="s">
        <v>46</v>
      </c>
      <c r="B7" s="2" t="s">
        <v>55</v>
      </c>
      <c r="C7" s="2" t="s">
        <v>56</v>
      </c>
      <c r="E7" s="2"/>
      <c r="F7" t="s">
        <v>50</v>
      </c>
      <c r="G7" s="3">
        <f>SUM(G16,G28,G40,G52,G64,G76,G88)/7</f>
        <v>27.017670225714284</v>
      </c>
      <c r="H7" s="2"/>
      <c r="I7" s="2"/>
      <c r="J7" s="2"/>
      <c r="K7" s="2"/>
      <c r="L7" s="2"/>
    </row>
    <row r="8" spans="1:207" x14ac:dyDescent="0.2">
      <c r="A8" t="s">
        <v>59</v>
      </c>
      <c r="E8" s="2"/>
      <c r="F8" t="s">
        <v>53</v>
      </c>
      <c r="G8" s="3">
        <f>SUM(G18,G30,G42,G54,G66,G78,G90)/7</f>
        <v>28.788167162857139</v>
      </c>
    </row>
    <row r="9" spans="1:207" x14ac:dyDescent="0.2">
      <c r="A9" t="s">
        <v>45</v>
      </c>
      <c r="B9" s="2"/>
      <c r="C9" s="2"/>
      <c r="D9" s="2"/>
      <c r="E9" s="2"/>
      <c r="F9" t="s">
        <v>54</v>
      </c>
      <c r="G9" s="3">
        <f>SUM(G20,G32,G44,G56,G68,G80,G92)/7</f>
        <v>24.304162965714287</v>
      </c>
    </row>
    <row r="10" spans="1:207" x14ac:dyDescent="0.2">
      <c r="A10" t="s">
        <v>7</v>
      </c>
      <c r="F10" t="s">
        <v>51</v>
      </c>
      <c r="G10" s="4">
        <f>SUM(G22,G34,G46,G58,G70,G82,G94)/7</f>
        <v>23.447244881428571</v>
      </c>
      <c r="H10" s="5"/>
    </row>
    <row r="11" spans="1:207" x14ac:dyDescent="0.2">
      <c r="G11" s="4"/>
      <c r="H11" s="4"/>
    </row>
    <row r="12" spans="1:207" x14ac:dyDescent="0.2">
      <c r="B12" t="s">
        <v>60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15.394153380000001</v>
      </c>
      <c r="H14" s="3">
        <f>MAX(M14:GJ14)</f>
        <v>24.752936999999999</v>
      </c>
      <c r="I14" s="3">
        <f>MIN(M14:GJ14)</f>
        <v>9.2213949999999993</v>
      </c>
      <c r="J14" s="3">
        <f>_xlfn.STDEV.P(M14:GJ14)</f>
        <v>2.9139546335147744</v>
      </c>
      <c r="K14" s="3">
        <f>_xlfn.VAR.S(M14:GJ14)</f>
        <v>8.5769006123052591</v>
      </c>
      <c r="M14" s="3">
        <v>13.917992999999999</v>
      </c>
      <c r="N14" s="3">
        <v>16.680313000000002</v>
      </c>
      <c r="O14" s="3">
        <v>14.178053999999999</v>
      </c>
      <c r="P14" s="3">
        <v>15.266951000000001</v>
      </c>
      <c r="Q14" s="3">
        <v>20.227581000000001</v>
      </c>
      <c r="R14" s="3">
        <v>14.898690999999999</v>
      </c>
      <c r="S14" s="3">
        <v>11.621238999999999</v>
      </c>
      <c r="T14" s="3">
        <v>13.071771999999999</v>
      </c>
      <c r="U14" s="3">
        <v>14.590985999999999</v>
      </c>
      <c r="V14" s="3">
        <v>15.657797</v>
      </c>
      <c r="W14" s="3">
        <v>17.505013000000002</v>
      </c>
      <c r="X14" s="3">
        <v>15.949036</v>
      </c>
      <c r="Y14" s="3">
        <v>15.445276</v>
      </c>
      <c r="Z14" s="3">
        <v>12.601699999999999</v>
      </c>
      <c r="AA14" s="3">
        <v>9.7572550000000007</v>
      </c>
      <c r="AB14" s="3">
        <v>12.399347000000001</v>
      </c>
      <c r="AC14" s="3">
        <v>13.604134999999999</v>
      </c>
      <c r="AD14" s="3">
        <v>18.703236</v>
      </c>
      <c r="AE14" s="3">
        <v>11.293851999999999</v>
      </c>
      <c r="AF14" s="3">
        <v>17.734659000000001</v>
      </c>
      <c r="AG14" s="3">
        <v>22.244001000000001</v>
      </c>
      <c r="AH14" s="3">
        <v>14.726775</v>
      </c>
      <c r="AI14" s="3">
        <v>13.306241999999999</v>
      </c>
      <c r="AJ14" s="3">
        <v>15.174735999999999</v>
      </c>
      <c r="AK14" s="3">
        <v>14.087329</v>
      </c>
      <c r="AL14" s="3">
        <v>14.612</v>
      </c>
      <c r="AM14" s="3">
        <v>14.399025</v>
      </c>
      <c r="AN14" s="3">
        <v>14.509427000000001</v>
      </c>
      <c r="AO14" s="3">
        <v>15.413461</v>
      </c>
      <c r="AP14" s="3">
        <v>13.546721</v>
      </c>
      <c r="AQ14" s="3">
        <v>19.452750999999999</v>
      </c>
      <c r="AR14" s="3">
        <v>11.355067</v>
      </c>
      <c r="AS14" s="3">
        <v>19.872084000000001</v>
      </c>
      <c r="AT14" s="3">
        <v>14.583052</v>
      </c>
      <c r="AU14" s="3">
        <v>24.752936999999999</v>
      </c>
      <c r="AV14" s="3">
        <v>18.067902</v>
      </c>
      <c r="AW14" s="3">
        <v>15.945456999999999</v>
      </c>
      <c r="AX14" s="3">
        <v>13.036307000000001</v>
      </c>
      <c r="AY14" s="3">
        <v>9.9392300000000002</v>
      </c>
      <c r="AZ14" s="3">
        <v>9.2213949999999993</v>
      </c>
      <c r="BA14" s="3">
        <v>14.871881</v>
      </c>
      <c r="BB14" s="3">
        <v>15.240437999999999</v>
      </c>
      <c r="BC14" s="3">
        <v>15.977036</v>
      </c>
      <c r="BD14" s="3">
        <v>11.580712999999999</v>
      </c>
      <c r="BE14" s="3">
        <v>23.363151999999999</v>
      </c>
      <c r="BF14" s="3">
        <v>17.239402999999999</v>
      </c>
      <c r="BG14" s="3">
        <v>14.531969999999999</v>
      </c>
      <c r="BH14" s="3">
        <v>13.422392</v>
      </c>
      <c r="BI14" s="3">
        <v>13.495395</v>
      </c>
      <c r="BJ14" s="3">
        <v>16.159876000000001</v>
      </c>
      <c r="BK14" s="3">
        <v>14.556941999999999</v>
      </c>
      <c r="BL14" s="3">
        <v>15.559481</v>
      </c>
      <c r="BM14" s="3">
        <v>17.711293999999999</v>
      </c>
      <c r="BN14" s="3">
        <v>11.605318</v>
      </c>
      <c r="BO14" s="3">
        <v>13.059125999999999</v>
      </c>
      <c r="BP14" s="3">
        <v>17.629802999999999</v>
      </c>
      <c r="BQ14" s="3">
        <v>13.494222000000001</v>
      </c>
      <c r="BR14" s="3">
        <v>19.668697000000002</v>
      </c>
      <c r="BS14" s="3">
        <v>15.150353000000001</v>
      </c>
      <c r="BT14" s="3">
        <v>21.624068999999999</v>
      </c>
      <c r="BU14" s="3">
        <v>15.895975</v>
      </c>
      <c r="BV14" s="3">
        <v>17.734694999999999</v>
      </c>
      <c r="BW14" s="3">
        <v>15.378964</v>
      </c>
      <c r="BX14" s="3">
        <v>9.4396269999999998</v>
      </c>
      <c r="BY14" s="3">
        <v>18.418932000000002</v>
      </c>
      <c r="BZ14" s="3">
        <v>14.132845</v>
      </c>
      <c r="CA14" s="3">
        <v>14.252824</v>
      </c>
      <c r="CB14" s="3">
        <v>17.799458999999999</v>
      </c>
      <c r="CC14" s="3">
        <v>13.478797</v>
      </c>
      <c r="CD14" s="3">
        <v>14.91757</v>
      </c>
      <c r="CE14" s="3">
        <v>20.563497999999999</v>
      </c>
      <c r="CF14" s="3">
        <v>18.205331999999999</v>
      </c>
      <c r="CG14" s="3">
        <v>19.052814000000001</v>
      </c>
      <c r="CH14" s="3">
        <v>18.878788</v>
      </c>
      <c r="CI14" s="3">
        <v>15.643625999999999</v>
      </c>
      <c r="CJ14" s="3">
        <v>14.830474000000001</v>
      </c>
      <c r="CK14" s="3">
        <v>14.358784</v>
      </c>
      <c r="CL14" s="3">
        <v>15.869422</v>
      </c>
      <c r="CM14" s="3">
        <v>15.563207</v>
      </c>
      <c r="CN14" s="3">
        <v>13.797328</v>
      </c>
      <c r="CO14" s="3">
        <v>15.796497</v>
      </c>
      <c r="CP14" s="3">
        <v>10.208205</v>
      </c>
      <c r="CQ14" s="3">
        <v>15.058719</v>
      </c>
      <c r="CR14" s="3">
        <v>14.835789</v>
      </c>
      <c r="CS14" s="3">
        <v>15.521205999999999</v>
      </c>
      <c r="CT14" s="3">
        <v>13.018121000000001</v>
      </c>
      <c r="CU14" s="3">
        <v>17.531372000000001</v>
      </c>
      <c r="CV14" s="3">
        <v>16.256124</v>
      </c>
      <c r="CW14" s="3">
        <v>13.159573</v>
      </c>
      <c r="CX14" s="3">
        <v>9.9486249999999998</v>
      </c>
      <c r="CY14" s="3">
        <v>14.572889</v>
      </c>
      <c r="CZ14" s="3">
        <v>14.387086</v>
      </c>
      <c r="DA14" s="3">
        <v>16.131938999999999</v>
      </c>
      <c r="DB14" s="3">
        <v>17.001469</v>
      </c>
      <c r="DC14" s="3">
        <v>16.416143000000002</v>
      </c>
      <c r="DD14" s="3">
        <v>20.079564999999999</v>
      </c>
      <c r="DE14" s="3">
        <v>19.073702000000001</v>
      </c>
      <c r="DF14" s="3">
        <v>14.782973</v>
      </c>
      <c r="DG14" s="3">
        <v>13.516529999999999</v>
      </c>
      <c r="DH14" s="3">
        <v>14.613504000000001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23.220559799999997</v>
      </c>
      <c r="H16" s="3">
        <f>MAX(M16:GJ16)</f>
        <v>29.265353999999999</v>
      </c>
      <c r="I16" s="3">
        <f>MIN(M16:GJ16)</f>
        <v>15.347882</v>
      </c>
      <c r="J16" s="3">
        <f>_xlfn.STDEV.P(M16:GJ16)</f>
        <v>3.1218836423545868</v>
      </c>
      <c r="K16" s="3">
        <f>_xlfn.VAR.S(M16:GJ16)</f>
        <v>9.8446035115163681</v>
      </c>
      <c r="M16" s="3">
        <v>26.806502999999999</v>
      </c>
      <c r="N16" s="3">
        <v>18.874013999999999</v>
      </c>
      <c r="O16" s="3">
        <v>25.413959999999999</v>
      </c>
      <c r="P16" s="3">
        <v>18.395690999999999</v>
      </c>
      <c r="Q16" s="3">
        <v>27.304849999999998</v>
      </c>
      <c r="R16" s="3">
        <v>24.744589000000001</v>
      </c>
      <c r="S16" s="3">
        <v>25.046755000000001</v>
      </c>
      <c r="T16" s="3">
        <v>24.812355</v>
      </c>
      <c r="U16" s="3">
        <v>26.937381999999999</v>
      </c>
      <c r="V16" s="3">
        <v>28.413588000000001</v>
      </c>
      <c r="W16" s="3">
        <v>24.901292999999999</v>
      </c>
      <c r="X16" s="3">
        <v>20.832806000000001</v>
      </c>
      <c r="Y16" s="3">
        <v>26.321273999999999</v>
      </c>
      <c r="Z16" s="3">
        <v>19.457457000000002</v>
      </c>
      <c r="AA16" s="3">
        <v>23.981532999999999</v>
      </c>
      <c r="AB16" s="3">
        <v>25.146061</v>
      </c>
      <c r="AC16" s="3">
        <v>24.354219000000001</v>
      </c>
      <c r="AD16" s="3">
        <v>20.045380000000002</v>
      </c>
      <c r="AE16" s="3">
        <v>23.667486</v>
      </c>
      <c r="AF16" s="3">
        <v>19.005313999999998</v>
      </c>
      <c r="AG16" s="3">
        <v>21.160606000000001</v>
      </c>
      <c r="AH16" s="3">
        <v>25.760258</v>
      </c>
      <c r="AI16" s="3">
        <v>24.428806000000002</v>
      </c>
      <c r="AJ16" s="3">
        <v>18.000834000000001</v>
      </c>
      <c r="AK16" s="3">
        <v>20.875368000000002</v>
      </c>
      <c r="AL16" s="3">
        <v>26.191873999999999</v>
      </c>
      <c r="AM16" s="3">
        <v>15.900663</v>
      </c>
      <c r="AN16" s="3">
        <v>23.913188999999999</v>
      </c>
      <c r="AO16" s="3">
        <v>24.636966999999999</v>
      </c>
      <c r="AP16" s="3">
        <v>25.369838999999999</v>
      </c>
      <c r="AQ16" s="3">
        <v>23.829184000000001</v>
      </c>
      <c r="AR16" s="3">
        <v>25.274484999999999</v>
      </c>
      <c r="AS16" s="3">
        <v>22.317720000000001</v>
      </c>
      <c r="AT16" s="3">
        <v>22.141414999999999</v>
      </c>
      <c r="AU16" s="3">
        <v>25.347125999999999</v>
      </c>
      <c r="AV16" s="3">
        <v>15.347882</v>
      </c>
      <c r="AW16" s="3">
        <v>23.648910999999998</v>
      </c>
      <c r="AX16" s="3">
        <v>25.075368999999998</v>
      </c>
      <c r="AY16" s="3">
        <v>20.866457</v>
      </c>
      <c r="AZ16" s="3">
        <v>21.081130999999999</v>
      </c>
      <c r="BA16" s="3">
        <v>22.494205000000001</v>
      </c>
      <c r="BB16" s="3">
        <v>22.990292</v>
      </c>
      <c r="BC16" s="3">
        <v>18.790783000000001</v>
      </c>
      <c r="BD16" s="3">
        <v>25.909023000000001</v>
      </c>
      <c r="BE16" s="3">
        <v>22.207567000000001</v>
      </c>
      <c r="BF16" s="3">
        <v>21.162566999999999</v>
      </c>
      <c r="BG16" s="3">
        <v>26.150824</v>
      </c>
      <c r="BH16" s="3">
        <v>25.688974000000002</v>
      </c>
      <c r="BI16" s="3">
        <v>25.542227</v>
      </c>
      <c r="BJ16" s="3">
        <v>25.619892</v>
      </c>
      <c r="BK16" s="3">
        <v>26.488150000000001</v>
      </c>
      <c r="BL16" s="3">
        <v>17.399984</v>
      </c>
      <c r="BM16" s="3">
        <v>25.294111000000001</v>
      </c>
      <c r="BN16" s="3">
        <v>25.733820000000001</v>
      </c>
      <c r="BO16" s="3">
        <v>26.513020000000001</v>
      </c>
      <c r="BP16" s="3">
        <v>22.145761</v>
      </c>
      <c r="BQ16" s="3">
        <v>27.005676000000001</v>
      </c>
      <c r="BR16" s="3">
        <v>25.429762</v>
      </c>
      <c r="BS16" s="3">
        <v>18.372807000000002</v>
      </c>
      <c r="BT16" s="3">
        <v>24.004887</v>
      </c>
      <c r="BU16" s="3">
        <v>16.249479000000001</v>
      </c>
      <c r="BV16" s="3">
        <v>20.491551999999999</v>
      </c>
      <c r="BW16" s="3">
        <v>26.611082</v>
      </c>
      <c r="BX16" s="3">
        <v>23.997447999999999</v>
      </c>
      <c r="BY16" s="3">
        <v>16.322752000000001</v>
      </c>
      <c r="BZ16" s="3">
        <v>25.193625999999998</v>
      </c>
      <c r="CA16" s="3">
        <v>22.848306999999998</v>
      </c>
      <c r="CB16" s="3">
        <v>25.044585999999999</v>
      </c>
      <c r="CC16" s="3">
        <v>26.64949</v>
      </c>
      <c r="CD16" s="3">
        <v>23.89134</v>
      </c>
      <c r="CE16" s="3">
        <v>21.963131000000001</v>
      </c>
      <c r="CF16" s="3">
        <v>27.803436000000001</v>
      </c>
      <c r="CG16" s="3">
        <v>24.621534</v>
      </c>
      <c r="CH16" s="3">
        <v>21.154633</v>
      </c>
      <c r="CI16" s="3">
        <v>16.223915000000002</v>
      </c>
      <c r="CJ16" s="3">
        <v>24.415268000000001</v>
      </c>
      <c r="CK16" s="3">
        <v>19.91987</v>
      </c>
      <c r="CL16" s="3">
        <v>29.265353999999999</v>
      </c>
      <c r="CM16" s="3">
        <v>23.681000000000001</v>
      </c>
      <c r="CN16" s="3">
        <v>26.647611999999999</v>
      </c>
      <c r="CO16" s="3">
        <v>22.483606000000002</v>
      </c>
      <c r="CP16" s="3">
        <v>25.906379999999999</v>
      </c>
      <c r="CQ16" s="3">
        <v>21.036476</v>
      </c>
      <c r="CR16" s="3">
        <v>23.084002000000002</v>
      </c>
      <c r="CS16" s="3">
        <v>24.646768999999999</v>
      </c>
      <c r="CT16" s="3">
        <v>17.695539</v>
      </c>
      <c r="CU16" s="3">
        <v>21.594484000000001</v>
      </c>
      <c r="CV16" s="3">
        <v>25.453056</v>
      </c>
      <c r="CW16" s="3">
        <v>22.161802000000002</v>
      </c>
      <c r="CX16" s="3">
        <v>23.307959</v>
      </c>
      <c r="CY16" s="3">
        <v>25.334119999999999</v>
      </c>
      <c r="CZ16" s="3">
        <v>23.413639</v>
      </c>
      <c r="DA16" s="3">
        <v>22.064423000000001</v>
      </c>
      <c r="DB16" s="3">
        <v>23.652145000000001</v>
      </c>
      <c r="DC16" s="3">
        <v>24.348016999999999</v>
      </c>
      <c r="DD16" s="3">
        <v>21.407595000000001</v>
      </c>
      <c r="DE16" s="3">
        <v>26.753426000000001</v>
      </c>
      <c r="DF16" s="3">
        <v>25.327950999999999</v>
      </c>
      <c r="DG16" s="3">
        <v>23.190607</v>
      </c>
      <c r="DH16" s="3">
        <v>15.623643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24.619763069999998</v>
      </c>
      <c r="H18" s="3">
        <f>MAX(M18:GJ18)</f>
        <v>27.962579999999999</v>
      </c>
      <c r="I18" s="3">
        <f>MIN(M18:GJ18)</f>
        <v>22.762732</v>
      </c>
      <c r="J18" s="3">
        <f>_xlfn.STDEV.P(M18:GJ18)</f>
        <v>1.0007348736175656</v>
      </c>
      <c r="K18" s="3">
        <f>_xlfn.VAR.S(M18:GJ18)</f>
        <v>1.0115861487619853</v>
      </c>
      <c r="M18" s="3">
        <v>24.267721000000002</v>
      </c>
      <c r="N18" s="3">
        <v>23.557759999999998</v>
      </c>
      <c r="O18" s="3">
        <v>24.860980999999999</v>
      </c>
      <c r="P18" s="3">
        <v>24.428595999999999</v>
      </c>
      <c r="Q18" s="3">
        <v>23.661434</v>
      </c>
      <c r="R18" s="3">
        <v>26.079139999999999</v>
      </c>
      <c r="S18" s="3">
        <v>24.583309</v>
      </c>
      <c r="T18" s="3">
        <v>23.782233999999999</v>
      </c>
      <c r="U18" s="3">
        <v>23.641279000000001</v>
      </c>
      <c r="V18" s="3">
        <v>24.9069</v>
      </c>
      <c r="W18" s="3">
        <v>23.634293</v>
      </c>
      <c r="X18" s="3">
        <v>23.577902000000002</v>
      </c>
      <c r="Y18" s="3">
        <v>24.442453</v>
      </c>
      <c r="Z18" s="3">
        <v>25.335336999999999</v>
      </c>
      <c r="AA18" s="3">
        <v>26.885615999999999</v>
      </c>
      <c r="AB18" s="3">
        <v>24.408177999999999</v>
      </c>
      <c r="AC18" s="3">
        <v>23.704041</v>
      </c>
      <c r="AD18" s="3">
        <v>23.367832</v>
      </c>
      <c r="AE18" s="3">
        <v>24.207052000000001</v>
      </c>
      <c r="AF18" s="3">
        <v>23.376991</v>
      </c>
      <c r="AG18" s="3">
        <v>23.451423999999999</v>
      </c>
      <c r="AH18" s="3">
        <v>24.371775</v>
      </c>
      <c r="AI18" s="3">
        <v>24.662652999999999</v>
      </c>
      <c r="AJ18" s="3">
        <v>25.944365999999999</v>
      </c>
      <c r="AK18" s="3">
        <v>23.942162</v>
      </c>
      <c r="AL18" s="3">
        <v>25.923607000000001</v>
      </c>
      <c r="AM18" s="3">
        <v>24.686111</v>
      </c>
      <c r="AN18" s="3">
        <v>25.327611999999998</v>
      </c>
      <c r="AO18" s="3">
        <v>24.021864000000001</v>
      </c>
      <c r="AP18" s="3">
        <v>23.165108</v>
      </c>
      <c r="AQ18" s="3">
        <v>24.260781999999999</v>
      </c>
      <c r="AR18" s="3">
        <v>25.050974</v>
      </c>
      <c r="AS18" s="3">
        <v>25.084522</v>
      </c>
      <c r="AT18" s="3">
        <v>23.237414999999999</v>
      </c>
      <c r="AU18" s="3">
        <v>25.236457999999999</v>
      </c>
      <c r="AV18" s="3">
        <v>23.985721999999999</v>
      </c>
      <c r="AW18" s="3">
        <v>23.578607999999999</v>
      </c>
      <c r="AX18" s="3">
        <v>22.762732</v>
      </c>
      <c r="AY18" s="3">
        <v>23.595299000000001</v>
      </c>
      <c r="AZ18" s="3">
        <v>24.749559000000001</v>
      </c>
      <c r="BA18" s="3">
        <v>24.004662</v>
      </c>
      <c r="BB18" s="3">
        <v>26.566776000000001</v>
      </c>
      <c r="BC18" s="3">
        <v>25.782209000000002</v>
      </c>
      <c r="BD18" s="3">
        <v>23.937767000000001</v>
      </c>
      <c r="BE18" s="3">
        <v>23.888832000000001</v>
      </c>
      <c r="BF18" s="3">
        <v>24.129180999999999</v>
      </c>
      <c r="BG18" s="3">
        <v>24.570919</v>
      </c>
      <c r="BH18" s="3">
        <v>24.863776999999999</v>
      </c>
      <c r="BI18" s="3">
        <v>25.114431</v>
      </c>
      <c r="BJ18" s="3">
        <v>23.635930999999999</v>
      </c>
      <c r="BK18" s="3">
        <v>24.455193999999999</v>
      </c>
      <c r="BL18" s="3">
        <v>24.733512999999999</v>
      </c>
      <c r="BM18" s="3">
        <v>24.269902999999999</v>
      </c>
      <c r="BN18" s="3">
        <v>24.934467000000001</v>
      </c>
      <c r="BO18" s="3">
        <v>23.89554</v>
      </c>
      <c r="BP18" s="3">
        <v>25.337305000000001</v>
      </c>
      <c r="BQ18" s="3">
        <v>24.478441</v>
      </c>
      <c r="BR18" s="3">
        <v>25.246016000000001</v>
      </c>
      <c r="BS18" s="3">
        <v>25.237106000000001</v>
      </c>
      <c r="BT18" s="3">
        <v>24.143318000000001</v>
      </c>
      <c r="BU18" s="3">
        <v>23.024788000000001</v>
      </c>
      <c r="BV18" s="3">
        <v>26.750553</v>
      </c>
      <c r="BW18" s="3">
        <v>25.614321</v>
      </c>
      <c r="BX18" s="3">
        <v>24.105162</v>
      </c>
      <c r="BY18" s="3">
        <v>25.602067999999999</v>
      </c>
      <c r="BZ18" s="3">
        <v>25.252068999999999</v>
      </c>
      <c r="CA18" s="3">
        <v>23.425217</v>
      </c>
      <c r="CB18" s="3">
        <v>23.263508000000002</v>
      </c>
      <c r="CC18" s="3">
        <v>25.000235</v>
      </c>
      <c r="CD18" s="3">
        <v>24.064354000000002</v>
      </c>
      <c r="CE18" s="3">
        <v>25.330739999999999</v>
      </c>
      <c r="CF18" s="3">
        <v>26.295342999999999</v>
      </c>
      <c r="CG18" s="3">
        <v>23.407568000000001</v>
      </c>
      <c r="CH18" s="3">
        <v>26.142479000000002</v>
      </c>
      <c r="CI18" s="3">
        <v>23.606397999999999</v>
      </c>
      <c r="CJ18" s="3">
        <v>24.822056</v>
      </c>
      <c r="CK18" s="3">
        <v>25.465499999999999</v>
      </c>
      <c r="CL18" s="3">
        <v>24.055323000000001</v>
      </c>
      <c r="CM18" s="3">
        <v>25.737863999999998</v>
      </c>
      <c r="CN18" s="3">
        <v>24.934270999999999</v>
      </c>
      <c r="CO18" s="3">
        <v>23.962467</v>
      </c>
      <c r="CP18" s="3">
        <v>23.822417999999999</v>
      </c>
      <c r="CQ18" s="3">
        <v>25.780821</v>
      </c>
      <c r="CR18" s="3">
        <v>25.089573000000001</v>
      </c>
      <c r="CS18" s="3">
        <v>27.282297</v>
      </c>
      <c r="CT18" s="3">
        <v>24.582809000000001</v>
      </c>
      <c r="CU18" s="3">
        <v>23.919180000000001</v>
      </c>
      <c r="CV18" s="3">
        <v>25.311326999999999</v>
      </c>
      <c r="CW18" s="3">
        <v>24.380956999999999</v>
      </c>
      <c r="CX18" s="3">
        <v>25.030750000000001</v>
      </c>
      <c r="CY18" s="3">
        <v>25.241011</v>
      </c>
      <c r="CZ18" s="3">
        <v>27.962579999999999</v>
      </c>
      <c r="DA18" s="3">
        <v>25.004249999999999</v>
      </c>
      <c r="DB18" s="3">
        <v>24.642992</v>
      </c>
      <c r="DC18" s="3">
        <v>24.330594999999999</v>
      </c>
      <c r="DD18" s="3">
        <v>24.460598000000001</v>
      </c>
      <c r="DE18" s="3">
        <v>26.639990000000001</v>
      </c>
      <c r="DF18" s="3">
        <v>24.980549</v>
      </c>
      <c r="DG18" s="3">
        <v>23.788613999999999</v>
      </c>
      <c r="DH18" s="3">
        <v>22.889621999999999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19.860007969999998</v>
      </c>
      <c r="H20" s="3">
        <f>MAX(M20:GJ20)</f>
        <v>24.698893000000002</v>
      </c>
      <c r="I20" s="3">
        <f>MIN(M20:GJ20)</f>
        <v>11.979761</v>
      </c>
      <c r="J20" s="3">
        <f>_xlfn.STDEV.P(M20:GJ20)</f>
        <v>3.2627068212018377</v>
      </c>
      <c r="K20" s="3">
        <f>_xlfn.VAR.S(M20:GJ20)</f>
        <v>10.752783637491937</v>
      </c>
      <c r="M20" s="3">
        <v>13.300231</v>
      </c>
      <c r="N20" s="3">
        <v>12.440915</v>
      </c>
      <c r="O20" s="3">
        <v>18.903607999999998</v>
      </c>
      <c r="P20" s="3">
        <v>22.481394000000002</v>
      </c>
      <c r="Q20" s="3">
        <v>22.559832</v>
      </c>
      <c r="R20" s="3">
        <v>21.234957000000001</v>
      </c>
      <c r="S20" s="3">
        <v>22.860821000000001</v>
      </c>
      <c r="T20" s="3">
        <v>24.313585</v>
      </c>
      <c r="U20" s="3">
        <v>23.669352</v>
      </c>
      <c r="V20" s="3">
        <v>20.994876999999999</v>
      </c>
      <c r="W20" s="3">
        <v>18.439910999999999</v>
      </c>
      <c r="X20" s="3">
        <v>22.382705999999999</v>
      </c>
      <c r="Y20" s="3">
        <v>20.679735000000001</v>
      </c>
      <c r="Z20" s="3">
        <v>11.979761</v>
      </c>
      <c r="AA20" s="3">
        <v>21.501356000000001</v>
      </c>
      <c r="AB20" s="3">
        <v>17.430727000000001</v>
      </c>
      <c r="AC20" s="3">
        <v>19.695443999999998</v>
      </c>
      <c r="AD20" s="3">
        <v>22.820765000000002</v>
      </c>
      <c r="AE20" s="3">
        <v>19.407881</v>
      </c>
      <c r="AF20" s="3">
        <v>16.690995999999998</v>
      </c>
      <c r="AG20" s="3">
        <v>24.698893000000002</v>
      </c>
      <c r="AH20" s="3">
        <v>23.728735</v>
      </c>
      <c r="AI20" s="3">
        <v>23.009271999999999</v>
      </c>
      <c r="AJ20" s="3">
        <v>21.909106999999999</v>
      </c>
      <c r="AK20" s="3">
        <v>22.26774</v>
      </c>
      <c r="AL20" s="3">
        <v>18.37501</v>
      </c>
      <c r="AM20" s="3">
        <v>20.198360000000001</v>
      </c>
      <c r="AN20" s="3">
        <v>18.062418000000001</v>
      </c>
      <c r="AO20" s="3">
        <v>22.158985000000001</v>
      </c>
      <c r="AP20" s="3">
        <v>22.241436</v>
      </c>
      <c r="AQ20" s="3">
        <v>22.899547999999999</v>
      </c>
      <c r="AR20" s="3">
        <v>18.809802999999999</v>
      </c>
      <c r="AS20" s="3">
        <v>17.608803000000002</v>
      </c>
      <c r="AT20" s="3">
        <v>23.798525000000001</v>
      </c>
      <c r="AU20" s="3">
        <v>13.097839</v>
      </c>
      <c r="AV20" s="3">
        <v>20.622714999999999</v>
      </c>
      <c r="AW20" s="3">
        <v>20.637861000000001</v>
      </c>
      <c r="AX20" s="3">
        <v>20.968122000000001</v>
      </c>
      <c r="AY20" s="3">
        <v>20.149656</v>
      </c>
      <c r="AZ20" s="3">
        <v>14.966956</v>
      </c>
      <c r="BA20" s="3">
        <v>14.961866000000001</v>
      </c>
      <c r="BB20" s="3">
        <v>17.094505000000002</v>
      </c>
      <c r="BC20" s="3">
        <v>21.881226000000002</v>
      </c>
      <c r="BD20" s="3">
        <v>23.867493</v>
      </c>
      <c r="BE20" s="3">
        <v>24.271677</v>
      </c>
      <c r="BF20" s="3">
        <v>22.982057999999999</v>
      </c>
      <c r="BG20" s="3">
        <v>22.288589000000002</v>
      </c>
      <c r="BH20" s="3">
        <v>14.243643</v>
      </c>
      <c r="BI20" s="3">
        <v>21.594806999999999</v>
      </c>
      <c r="BJ20" s="3">
        <v>24.032616000000001</v>
      </c>
      <c r="BK20" s="3">
        <v>15.782814</v>
      </c>
      <c r="BL20" s="3">
        <v>15.356877000000001</v>
      </c>
      <c r="BM20" s="3">
        <v>15.678566999999999</v>
      </c>
      <c r="BN20" s="3">
        <v>21.047585999999999</v>
      </c>
      <c r="BO20" s="3">
        <v>23.233046000000002</v>
      </c>
      <c r="BP20" s="3">
        <v>20.798500000000001</v>
      </c>
      <c r="BQ20" s="3">
        <v>22.159009999999999</v>
      </c>
      <c r="BR20" s="3">
        <v>17.712536</v>
      </c>
      <c r="BS20" s="3">
        <v>22.931297000000001</v>
      </c>
      <c r="BT20" s="3">
        <v>22.430800999999999</v>
      </c>
      <c r="BU20" s="3">
        <v>20.400556999999999</v>
      </c>
      <c r="BV20" s="3">
        <v>20.123004999999999</v>
      </c>
      <c r="BW20" s="3">
        <v>20.291618</v>
      </c>
      <c r="BX20" s="3">
        <v>18.701511</v>
      </c>
      <c r="BY20" s="3">
        <v>22.888569</v>
      </c>
      <c r="BZ20" s="3">
        <v>16.353415999999999</v>
      </c>
      <c r="CA20" s="3">
        <v>20.173642999999998</v>
      </c>
      <c r="CB20" s="3">
        <v>18.267464</v>
      </c>
      <c r="CC20" s="3">
        <v>16.447790000000001</v>
      </c>
      <c r="CD20" s="3">
        <v>16.737879</v>
      </c>
      <c r="CE20" s="3">
        <v>22.973953000000002</v>
      </c>
      <c r="CF20" s="3">
        <v>24.606897</v>
      </c>
      <c r="CG20" s="3">
        <v>21.393657999999999</v>
      </c>
      <c r="CH20" s="3">
        <v>23.347555</v>
      </c>
      <c r="CI20" s="3">
        <v>17.225548</v>
      </c>
      <c r="CJ20" s="3">
        <v>20.954685000000001</v>
      </c>
      <c r="CK20" s="3">
        <v>21.777887</v>
      </c>
      <c r="CL20" s="3">
        <v>16.994028</v>
      </c>
      <c r="CM20" s="3">
        <v>22.725863</v>
      </c>
      <c r="CN20" s="3">
        <v>17.584593000000002</v>
      </c>
      <c r="CO20" s="3">
        <v>13.691958</v>
      </c>
      <c r="CP20" s="3">
        <v>12.200904</v>
      </c>
      <c r="CQ20" s="3">
        <v>17.965848999999999</v>
      </c>
      <c r="CR20" s="3">
        <v>21.210760000000001</v>
      </c>
      <c r="CS20" s="3">
        <v>20.670529999999999</v>
      </c>
      <c r="CT20" s="3">
        <v>23.487534</v>
      </c>
      <c r="CU20" s="3">
        <v>19.895168000000002</v>
      </c>
      <c r="CV20" s="3">
        <v>18.989836</v>
      </c>
      <c r="CW20" s="3">
        <v>22.003872000000001</v>
      </c>
      <c r="CX20" s="3">
        <v>14.273367</v>
      </c>
      <c r="CY20" s="3">
        <v>14.430386</v>
      </c>
      <c r="CZ20" s="3">
        <v>17.327862</v>
      </c>
      <c r="DA20" s="3">
        <v>20.955750999999999</v>
      </c>
      <c r="DB20" s="3">
        <v>23.237739999999999</v>
      </c>
      <c r="DC20" s="3">
        <v>21.336832000000001</v>
      </c>
      <c r="DD20" s="3">
        <v>16.012079</v>
      </c>
      <c r="DE20" s="3">
        <v>23.917145000000001</v>
      </c>
      <c r="DF20" s="3">
        <v>15.4452</v>
      </c>
      <c r="DG20" s="3">
        <v>17.725065000000001</v>
      </c>
      <c r="DH20" s="3">
        <v>22.904688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12.670745379999998</v>
      </c>
      <c r="H22" s="3">
        <f>MAX(M22:GJ22)</f>
        <v>23.221903000000001</v>
      </c>
      <c r="I22" s="3">
        <f>MIN(M22:GJ22)</f>
        <v>7.4300819999999996</v>
      </c>
      <c r="J22" s="3">
        <f>_xlfn.STDEV.P(M22:GJ22)</f>
        <v>3.1177683782319523</v>
      </c>
      <c r="K22" s="3">
        <f>_xlfn.VAR.S(M22:GJ22)</f>
        <v>9.8186663235384835</v>
      </c>
      <c r="M22" s="3">
        <v>15.94342</v>
      </c>
      <c r="N22" s="3">
        <v>10.106783999999999</v>
      </c>
      <c r="O22" s="3">
        <v>10.595628</v>
      </c>
      <c r="P22" s="3">
        <v>12.832792</v>
      </c>
      <c r="Q22" s="3">
        <v>10.736871000000001</v>
      </c>
      <c r="R22" s="3">
        <v>17.989274999999999</v>
      </c>
      <c r="S22" s="3">
        <v>14.718583000000001</v>
      </c>
      <c r="T22" s="3">
        <v>13.175141</v>
      </c>
      <c r="U22" s="3">
        <v>10.443923</v>
      </c>
      <c r="V22" s="3">
        <v>10.597989</v>
      </c>
      <c r="W22" s="3">
        <v>17.542632999999999</v>
      </c>
      <c r="X22" s="3">
        <v>10.941846999999999</v>
      </c>
      <c r="Y22" s="3">
        <v>13.326853</v>
      </c>
      <c r="Z22" s="3">
        <v>12.624091999999999</v>
      </c>
      <c r="AA22" s="3">
        <v>18.131357000000001</v>
      </c>
      <c r="AB22" s="3">
        <v>9.4210530000000006</v>
      </c>
      <c r="AC22" s="3">
        <v>16.205300999999999</v>
      </c>
      <c r="AD22" s="3">
        <v>14.938242000000001</v>
      </c>
      <c r="AE22" s="3">
        <v>9.8655170000000005</v>
      </c>
      <c r="AF22" s="3">
        <v>11.356595</v>
      </c>
      <c r="AG22" s="3">
        <v>11.910273999999999</v>
      </c>
      <c r="AH22" s="3">
        <v>13.84848</v>
      </c>
      <c r="AI22" s="3">
        <v>16.980039999999999</v>
      </c>
      <c r="AJ22" s="3">
        <v>13.041445</v>
      </c>
      <c r="AK22" s="3">
        <v>13.779534999999999</v>
      </c>
      <c r="AL22" s="3">
        <v>11.738806</v>
      </c>
      <c r="AM22" s="3">
        <v>8.8233510000000006</v>
      </c>
      <c r="AN22" s="3">
        <v>9.1965889999999995</v>
      </c>
      <c r="AO22" s="3">
        <v>16.423691000000002</v>
      </c>
      <c r="AP22" s="3">
        <v>11.783696000000001</v>
      </c>
      <c r="AQ22" s="3">
        <v>8.9270080000000007</v>
      </c>
      <c r="AR22" s="3">
        <v>12.787763999999999</v>
      </c>
      <c r="AS22" s="3">
        <v>13.06128</v>
      </c>
      <c r="AT22" s="3">
        <v>11.040476999999999</v>
      </c>
      <c r="AU22" s="3">
        <v>9.9678649999999998</v>
      </c>
      <c r="AV22" s="3">
        <v>20.668396000000001</v>
      </c>
      <c r="AW22" s="3">
        <v>16.043900000000001</v>
      </c>
      <c r="AX22" s="3">
        <v>16.787796</v>
      </c>
      <c r="AY22" s="3">
        <v>11.636877</v>
      </c>
      <c r="AZ22" s="3">
        <v>9.0823879999999999</v>
      </c>
      <c r="BA22" s="3">
        <v>12.371062</v>
      </c>
      <c r="BB22" s="3">
        <v>12.739898999999999</v>
      </c>
      <c r="BC22" s="3">
        <v>17.687688999999999</v>
      </c>
      <c r="BD22" s="3">
        <v>12.212567</v>
      </c>
      <c r="BE22" s="3">
        <v>11.512957</v>
      </c>
      <c r="BF22" s="3">
        <v>14.076563999999999</v>
      </c>
      <c r="BG22" s="3">
        <v>10.084861</v>
      </c>
      <c r="BH22" s="3">
        <v>14.164441999999999</v>
      </c>
      <c r="BI22" s="3">
        <v>12.808033</v>
      </c>
      <c r="BJ22" s="3">
        <v>18.071251</v>
      </c>
      <c r="BK22" s="3">
        <v>10.858333</v>
      </c>
      <c r="BL22" s="3">
        <v>10.734959999999999</v>
      </c>
      <c r="BM22" s="3">
        <v>7.4764689999999998</v>
      </c>
      <c r="BN22" s="3">
        <v>10.059842</v>
      </c>
      <c r="BO22" s="3">
        <v>10.465854</v>
      </c>
      <c r="BP22" s="3">
        <v>10.709939</v>
      </c>
      <c r="BQ22" s="3">
        <v>13.514798000000001</v>
      </c>
      <c r="BR22" s="3">
        <v>14.594357</v>
      </c>
      <c r="BS22" s="3">
        <v>11.859258000000001</v>
      </c>
      <c r="BT22" s="3">
        <v>10.111696999999999</v>
      </c>
      <c r="BU22" s="3">
        <v>18.645123999999999</v>
      </c>
      <c r="BV22" s="3">
        <v>11.628546999999999</v>
      </c>
      <c r="BW22" s="3">
        <v>11.761286</v>
      </c>
      <c r="BX22" s="3">
        <v>11.205560999999999</v>
      </c>
      <c r="BY22" s="3">
        <v>7.4300819999999996</v>
      </c>
      <c r="BZ22" s="3">
        <v>19.752728999999999</v>
      </c>
      <c r="CA22" s="3">
        <v>11.475156999999999</v>
      </c>
      <c r="CB22" s="3">
        <v>17.494457000000001</v>
      </c>
      <c r="CC22" s="3">
        <v>10.540743000000001</v>
      </c>
      <c r="CD22" s="3">
        <v>9.0904550000000004</v>
      </c>
      <c r="CE22" s="3">
        <v>12.947641000000001</v>
      </c>
      <c r="CF22" s="3">
        <v>13.413601</v>
      </c>
      <c r="CG22" s="3">
        <v>13.487945</v>
      </c>
      <c r="CH22" s="3">
        <v>10.607803000000001</v>
      </c>
      <c r="CI22" s="3">
        <v>14.170619</v>
      </c>
      <c r="CJ22" s="3">
        <v>10.069959000000001</v>
      </c>
      <c r="CK22" s="3">
        <v>9.7031329999999993</v>
      </c>
      <c r="CL22" s="3">
        <v>7.6664529999999997</v>
      </c>
      <c r="CM22" s="3">
        <v>8.5088240000000006</v>
      </c>
      <c r="CN22" s="3">
        <v>10.818902</v>
      </c>
      <c r="CO22" s="3">
        <v>12.107391</v>
      </c>
      <c r="CP22" s="3">
        <v>9.7593180000000004</v>
      </c>
      <c r="CQ22" s="3">
        <v>12.149198999999999</v>
      </c>
      <c r="CR22" s="3">
        <v>10.536288000000001</v>
      </c>
      <c r="CS22" s="3">
        <v>15.504778</v>
      </c>
      <c r="CT22" s="3">
        <v>23.221903000000001</v>
      </c>
      <c r="CU22" s="3">
        <v>10.248676</v>
      </c>
      <c r="CV22" s="3">
        <v>16.939646</v>
      </c>
      <c r="CW22" s="3">
        <v>16.337430999999999</v>
      </c>
      <c r="CX22" s="3">
        <v>7.6707549999999998</v>
      </c>
      <c r="CY22" s="3">
        <v>15.765199000000001</v>
      </c>
      <c r="CZ22" s="3">
        <v>10.914611000000001</v>
      </c>
      <c r="DA22" s="3">
        <v>15.742853999999999</v>
      </c>
      <c r="DB22" s="3">
        <v>14.317406</v>
      </c>
      <c r="DC22" s="3">
        <v>8.4750320000000006</v>
      </c>
      <c r="DD22" s="3">
        <v>14.685062</v>
      </c>
      <c r="DE22" s="3">
        <v>10.846321</v>
      </c>
      <c r="DF22" s="3">
        <v>10.456362</v>
      </c>
      <c r="DG22" s="3">
        <v>10.912236</v>
      </c>
      <c r="DH22" s="3">
        <v>14.926663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</row>
    <row r="24" spans="2:207" x14ac:dyDescent="0.2">
      <c r="D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</row>
    <row r="25" spans="2:207" x14ac:dyDescent="0.2">
      <c r="B25" t="s">
        <v>60</v>
      </c>
      <c r="D25" s="1" t="s">
        <v>24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26.1050304</v>
      </c>
      <c r="H26" s="3">
        <f>MAX(M26:GJ26)</f>
        <v>34.616759999999999</v>
      </c>
      <c r="I26" s="3">
        <f>MIN(M26:GJ26)</f>
        <v>23.685278</v>
      </c>
      <c r="J26" s="3">
        <f>_xlfn.STDEV.P(M26:GJ26)</f>
        <v>1.4657780153732898</v>
      </c>
      <c r="K26" s="3">
        <f>_xlfn.VAR.S(M26:GJ26)</f>
        <v>2.1702072629814744</v>
      </c>
      <c r="M26" s="3">
        <v>25.211224000000001</v>
      </c>
      <c r="N26" s="3">
        <v>26.687691000000001</v>
      </c>
      <c r="O26" s="3">
        <v>25.981323</v>
      </c>
      <c r="P26" s="3">
        <v>26.130600000000001</v>
      </c>
      <c r="Q26" s="3">
        <v>29.308544000000001</v>
      </c>
      <c r="R26" s="3">
        <v>24.345528000000002</v>
      </c>
      <c r="S26" s="3">
        <v>25.286777000000001</v>
      </c>
      <c r="T26" s="3">
        <v>24.856304000000002</v>
      </c>
      <c r="U26" s="3">
        <v>25.677809</v>
      </c>
      <c r="V26" s="3">
        <v>24.401454999999999</v>
      </c>
      <c r="W26" s="3">
        <v>23.995933999999998</v>
      </c>
      <c r="X26" s="3">
        <v>26.076279</v>
      </c>
      <c r="Y26" s="3">
        <v>24.014939999999999</v>
      </c>
      <c r="Z26" s="3">
        <v>25.978037</v>
      </c>
      <c r="AA26" s="3">
        <v>25.993469000000001</v>
      </c>
      <c r="AB26" s="3">
        <v>25.721788</v>
      </c>
      <c r="AC26" s="3">
        <v>24.661469</v>
      </c>
      <c r="AD26" s="3">
        <v>25.227238</v>
      </c>
      <c r="AE26" s="3">
        <v>23.953806</v>
      </c>
      <c r="AF26" s="3">
        <v>25.215966999999999</v>
      </c>
      <c r="AG26" s="3">
        <v>26.953527000000001</v>
      </c>
      <c r="AH26" s="3">
        <v>25.408698999999999</v>
      </c>
      <c r="AI26" s="3">
        <v>25.806598999999999</v>
      </c>
      <c r="AJ26" s="3">
        <v>25.991961</v>
      </c>
      <c r="AK26" s="3">
        <v>25.685375000000001</v>
      </c>
      <c r="AL26" s="3">
        <v>26.198784</v>
      </c>
      <c r="AM26" s="3">
        <v>25.841560000000001</v>
      </c>
      <c r="AN26" s="3">
        <v>24.617432000000001</v>
      </c>
      <c r="AO26" s="3">
        <v>27.383938000000001</v>
      </c>
      <c r="AP26" s="3">
        <v>25.765795000000001</v>
      </c>
      <c r="AQ26" s="3">
        <v>25.141846000000001</v>
      </c>
      <c r="AR26" s="3">
        <v>25.693477999999999</v>
      </c>
      <c r="AS26" s="3">
        <v>24.751930000000002</v>
      </c>
      <c r="AT26" s="3">
        <v>25.710591999999998</v>
      </c>
      <c r="AU26" s="3">
        <v>30.225483000000001</v>
      </c>
      <c r="AV26" s="3">
        <v>28.937277000000002</v>
      </c>
      <c r="AW26" s="3">
        <v>26.060347</v>
      </c>
      <c r="AX26" s="3">
        <v>25.599571000000001</v>
      </c>
      <c r="AY26" s="3">
        <v>24.347216</v>
      </c>
      <c r="AZ26" s="3">
        <v>25.703558000000001</v>
      </c>
      <c r="BA26" s="3">
        <v>26.319251999999999</v>
      </c>
      <c r="BB26" s="3">
        <v>25.432746999999999</v>
      </c>
      <c r="BC26" s="3">
        <v>25.262844000000001</v>
      </c>
      <c r="BD26" s="3">
        <v>25.237617</v>
      </c>
      <c r="BE26" s="3">
        <v>34.616759999999999</v>
      </c>
      <c r="BF26" s="3">
        <v>25.263404999999999</v>
      </c>
      <c r="BG26" s="3">
        <v>25.721215999999998</v>
      </c>
      <c r="BH26" s="3">
        <v>27.340022999999999</v>
      </c>
      <c r="BI26" s="3">
        <v>28.989704</v>
      </c>
      <c r="BJ26" s="3">
        <v>26.779799000000001</v>
      </c>
      <c r="BK26" s="3">
        <v>25.891928</v>
      </c>
      <c r="BL26" s="3">
        <v>26.088470000000001</v>
      </c>
      <c r="BM26" s="3">
        <v>25.410046000000001</v>
      </c>
      <c r="BN26" s="3">
        <v>25.801984999999998</v>
      </c>
      <c r="BO26" s="3">
        <v>25.828512</v>
      </c>
      <c r="BP26" s="3">
        <v>26.652194999999999</v>
      </c>
      <c r="BQ26" s="3">
        <v>25.971696999999999</v>
      </c>
      <c r="BR26" s="3">
        <v>27.796714999999999</v>
      </c>
      <c r="BS26" s="3">
        <v>26.387228</v>
      </c>
      <c r="BT26" s="3">
        <v>26.953780999999999</v>
      </c>
      <c r="BU26" s="3">
        <v>23.685278</v>
      </c>
      <c r="BV26" s="3">
        <v>26.570945999999999</v>
      </c>
      <c r="BW26" s="3">
        <v>25.234324000000001</v>
      </c>
      <c r="BX26" s="3">
        <v>25.818159000000001</v>
      </c>
      <c r="BY26" s="3">
        <v>27.767119999999998</v>
      </c>
      <c r="BZ26" s="3">
        <v>24.815857000000001</v>
      </c>
      <c r="CA26" s="3">
        <v>26.373894</v>
      </c>
      <c r="CB26" s="3">
        <v>25.203785</v>
      </c>
      <c r="CC26" s="3">
        <v>24.81193</v>
      </c>
      <c r="CD26" s="3">
        <v>26.945049000000001</v>
      </c>
      <c r="CE26" s="3">
        <v>26.129881000000001</v>
      </c>
      <c r="CF26" s="3">
        <v>27.322275000000001</v>
      </c>
      <c r="CG26" s="3">
        <v>29.274781999999998</v>
      </c>
      <c r="CH26" s="3">
        <v>28.140514</v>
      </c>
      <c r="CI26" s="3">
        <v>24.644579</v>
      </c>
      <c r="CJ26" s="3">
        <v>25.854012999999998</v>
      </c>
      <c r="CK26" s="3">
        <v>25.772169000000002</v>
      </c>
      <c r="CL26" s="3">
        <v>26.350484999999999</v>
      </c>
      <c r="CM26" s="3">
        <v>25.835581000000001</v>
      </c>
      <c r="CN26" s="3">
        <v>27.093868000000001</v>
      </c>
      <c r="CO26" s="3">
        <v>26.411632999999998</v>
      </c>
      <c r="CP26" s="3">
        <v>25.687052000000001</v>
      </c>
      <c r="CQ26" s="3">
        <v>25.842431999999999</v>
      </c>
      <c r="CR26" s="3">
        <v>26.119005000000001</v>
      </c>
      <c r="CS26" s="3">
        <v>25.534634</v>
      </c>
      <c r="CT26" s="3">
        <v>25.098606</v>
      </c>
      <c r="CU26" s="3">
        <v>25.456828999999999</v>
      </c>
      <c r="CV26" s="3">
        <v>28.812935</v>
      </c>
      <c r="CW26" s="3">
        <v>27.381333999999999</v>
      </c>
      <c r="CX26" s="3">
        <v>26.078695</v>
      </c>
      <c r="CY26" s="3">
        <v>25.134729</v>
      </c>
      <c r="CZ26" s="3">
        <v>25.524650999999999</v>
      </c>
      <c r="DA26" s="3">
        <v>25.369817999999999</v>
      </c>
      <c r="DB26" s="3">
        <v>25.599399999999999</v>
      </c>
      <c r="DC26" s="3">
        <v>26.348262999999999</v>
      </c>
      <c r="DD26" s="3">
        <v>26.697490999999999</v>
      </c>
      <c r="DE26" s="3">
        <v>26.504646000000001</v>
      </c>
      <c r="DF26" s="3">
        <v>27.092967999999999</v>
      </c>
      <c r="DG26" s="3">
        <v>26.926096000000001</v>
      </c>
      <c r="DH26" s="3">
        <v>24.940259999999999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29.193590000000015</v>
      </c>
      <c r="H28" s="3">
        <f>MAX(M28:GJ28)</f>
        <v>37.423274999999997</v>
      </c>
      <c r="I28" s="3">
        <f>MIN(M28:GJ28)</f>
        <v>23.877655000000001</v>
      </c>
      <c r="J28" s="3">
        <f>_xlfn.STDEV.P(M28:GJ28)</f>
        <v>2.1043905528985771</v>
      </c>
      <c r="K28" s="3">
        <f>_xlfn.VAR.S(M28:GJ28)</f>
        <v>4.4731915142714946</v>
      </c>
      <c r="M28" s="3">
        <v>29.657378999999999</v>
      </c>
      <c r="N28" s="3">
        <v>30.370297999999998</v>
      </c>
      <c r="O28" s="3">
        <v>30.671154000000001</v>
      </c>
      <c r="P28" s="3">
        <v>29.106128999999999</v>
      </c>
      <c r="Q28" s="3">
        <v>31.542096999999998</v>
      </c>
      <c r="R28" s="3">
        <v>27.673255999999999</v>
      </c>
      <c r="S28" s="3">
        <v>30.666986000000001</v>
      </c>
      <c r="T28" s="3">
        <v>30.938085999999998</v>
      </c>
      <c r="U28" s="3">
        <v>31.515194000000001</v>
      </c>
      <c r="V28" s="3">
        <v>34.434479000000003</v>
      </c>
      <c r="W28" s="3">
        <v>29.127607000000001</v>
      </c>
      <c r="X28" s="3">
        <v>29.517672999999998</v>
      </c>
      <c r="Y28" s="3">
        <v>30.884029000000002</v>
      </c>
      <c r="Z28" s="3">
        <v>28.708126</v>
      </c>
      <c r="AA28" s="3">
        <v>30.813374</v>
      </c>
      <c r="AB28" s="3">
        <v>33.764319999999998</v>
      </c>
      <c r="AC28" s="3">
        <v>29.932994999999998</v>
      </c>
      <c r="AD28" s="3">
        <v>29.789005</v>
      </c>
      <c r="AE28" s="3">
        <v>27.456907000000001</v>
      </c>
      <c r="AF28" s="3">
        <v>30.247150000000001</v>
      </c>
      <c r="AG28" s="3">
        <v>31.72419</v>
      </c>
      <c r="AH28" s="3">
        <v>30.00226</v>
      </c>
      <c r="AI28" s="3">
        <v>30.076878000000001</v>
      </c>
      <c r="AJ28" s="3">
        <v>26.986753</v>
      </c>
      <c r="AK28" s="3">
        <v>30.412800000000001</v>
      </c>
      <c r="AL28" s="3">
        <v>28.473500999999999</v>
      </c>
      <c r="AM28" s="3">
        <v>25.626377000000002</v>
      </c>
      <c r="AN28" s="3">
        <v>26.860465999999999</v>
      </c>
      <c r="AO28" s="3">
        <v>27.004570000000001</v>
      </c>
      <c r="AP28" s="3">
        <v>27.857928999999999</v>
      </c>
      <c r="AQ28" s="3">
        <v>27.880766000000001</v>
      </c>
      <c r="AR28" s="3">
        <v>30.303014999999998</v>
      </c>
      <c r="AS28" s="3">
        <v>29.841217</v>
      </c>
      <c r="AT28" s="3">
        <v>28.579729</v>
      </c>
      <c r="AU28" s="3">
        <v>30.917522000000002</v>
      </c>
      <c r="AV28" s="3">
        <v>29.857596999999998</v>
      </c>
      <c r="AW28" s="3">
        <v>29.492884</v>
      </c>
      <c r="AX28" s="3">
        <v>31.076910000000002</v>
      </c>
      <c r="AY28" s="3">
        <v>29.272690000000001</v>
      </c>
      <c r="AZ28" s="3">
        <v>26.681963</v>
      </c>
      <c r="BA28" s="3">
        <v>27.970219</v>
      </c>
      <c r="BB28" s="3">
        <v>28.840541999999999</v>
      </c>
      <c r="BC28" s="3">
        <v>30.408287000000001</v>
      </c>
      <c r="BD28" s="3">
        <v>27.322029000000001</v>
      </c>
      <c r="BE28" s="3">
        <v>29.590038</v>
      </c>
      <c r="BF28" s="3">
        <v>28.903267</v>
      </c>
      <c r="BG28" s="3">
        <v>30.727136999999999</v>
      </c>
      <c r="BH28" s="3">
        <v>30.999652999999999</v>
      </c>
      <c r="BI28" s="3">
        <v>28.322455999999999</v>
      </c>
      <c r="BJ28" s="3">
        <v>30.159884999999999</v>
      </c>
      <c r="BK28" s="3">
        <v>28.114594</v>
      </c>
      <c r="BL28" s="3">
        <v>30.347839</v>
      </c>
      <c r="BM28" s="3">
        <v>26.299097</v>
      </c>
      <c r="BN28" s="3">
        <v>30.776226000000001</v>
      </c>
      <c r="BO28" s="3">
        <v>29.377942999999998</v>
      </c>
      <c r="BP28" s="3">
        <v>25.890264999999999</v>
      </c>
      <c r="BQ28" s="3">
        <v>33.598239999999997</v>
      </c>
      <c r="BR28" s="3">
        <v>28.970694999999999</v>
      </c>
      <c r="BS28" s="3">
        <v>27.426407000000001</v>
      </c>
      <c r="BT28" s="3">
        <v>27.471529</v>
      </c>
      <c r="BU28" s="3">
        <v>32.051833999999999</v>
      </c>
      <c r="BV28" s="3">
        <v>30.031289999999998</v>
      </c>
      <c r="BW28" s="3">
        <v>29.502407000000002</v>
      </c>
      <c r="BX28" s="3">
        <v>28.339523</v>
      </c>
      <c r="BY28" s="3">
        <v>25.760672</v>
      </c>
      <c r="BZ28" s="3">
        <v>28.842998999999999</v>
      </c>
      <c r="CA28" s="3">
        <v>28.966988000000001</v>
      </c>
      <c r="CB28" s="3">
        <v>30.913868000000001</v>
      </c>
      <c r="CC28" s="3">
        <v>27.858547000000002</v>
      </c>
      <c r="CD28" s="3">
        <v>29.844487999999998</v>
      </c>
      <c r="CE28" s="3">
        <v>27.088177000000002</v>
      </c>
      <c r="CF28" s="3">
        <v>37.423274999999997</v>
      </c>
      <c r="CG28" s="3">
        <v>28.324103999999998</v>
      </c>
      <c r="CH28" s="3">
        <v>23.877655000000001</v>
      </c>
      <c r="CI28" s="3">
        <v>28.862193999999999</v>
      </c>
      <c r="CJ28" s="3">
        <v>25.163</v>
      </c>
      <c r="CK28" s="3">
        <v>30.641176000000002</v>
      </c>
      <c r="CL28" s="3">
        <v>27.633376999999999</v>
      </c>
      <c r="CM28" s="3">
        <v>26.584671</v>
      </c>
      <c r="CN28" s="3">
        <v>27.838552</v>
      </c>
      <c r="CO28" s="3">
        <v>28.355927000000001</v>
      </c>
      <c r="CP28" s="3">
        <v>32.949317999999998</v>
      </c>
      <c r="CQ28" s="3">
        <v>29.082487</v>
      </c>
      <c r="CR28" s="3">
        <v>27.664466999999998</v>
      </c>
      <c r="CS28" s="3">
        <v>27.364720999999999</v>
      </c>
      <c r="CT28" s="3">
        <v>29.997612</v>
      </c>
      <c r="CU28" s="3">
        <v>28.031486999999998</v>
      </c>
      <c r="CV28" s="3">
        <v>29.913018999999998</v>
      </c>
      <c r="CW28" s="3">
        <v>29.141787999999998</v>
      </c>
      <c r="CX28" s="3">
        <v>31.005627</v>
      </c>
      <c r="CY28" s="3">
        <v>27.297931999999999</v>
      </c>
      <c r="CZ28" s="3">
        <v>26.625800999999999</v>
      </c>
      <c r="DA28" s="3">
        <v>31.736269</v>
      </c>
      <c r="DB28" s="3">
        <v>27.627255999999999</v>
      </c>
      <c r="DC28" s="3">
        <v>30.741268000000002</v>
      </c>
      <c r="DD28" s="3">
        <v>30.155767000000001</v>
      </c>
      <c r="DE28" s="3">
        <v>30.385065000000001</v>
      </c>
      <c r="DF28" s="3">
        <v>28.071247</v>
      </c>
      <c r="DG28" s="3">
        <v>25.234190000000002</v>
      </c>
      <c r="DH28" s="3">
        <v>25.166346000000001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31.279142850000007</v>
      </c>
      <c r="H30" s="3">
        <f>MAX(M30:GJ30)</f>
        <v>38.527813000000002</v>
      </c>
      <c r="I30" s="3">
        <f>MIN(M30:GJ30)</f>
        <v>27.337997000000001</v>
      </c>
      <c r="J30" s="3">
        <f>_xlfn.STDEV.P(M30:GJ30)</f>
        <v>2.0368824945136201</v>
      </c>
      <c r="K30" s="3">
        <f>_xlfn.VAR.S(M30:GJ30)</f>
        <v>4.1907982792485123</v>
      </c>
      <c r="M30" s="3">
        <v>32.379353000000002</v>
      </c>
      <c r="N30" s="3">
        <v>32.841183000000001</v>
      </c>
      <c r="O30" s="3">
        <v>34.860442999999997</v>
      </c>
      <c r="P30" s="3">
        <v>33.642071000000001</v>
      </c>
      <c r="Q30" s="3">
        <v>32.235970000000002</v>
      </c>
      <c r="R30" s="3">
        <v>34.769027999999999</v>
      </c>
      <c r="S30" s="3">
        <v>32.688659999999999</v>
      </c>
      <c r="T30" s="3">
        <v>32.612850000000002</v>
      </c>
      <c r="U30" s="3">
        <v>32.974784999999997</v>
      </c>
      <c r="V30" s="3">
        <v>34.10136</v>
      </c>
      <c r="W30" s="3">
        <v>33.000233000000001</v>
      </c>
      <c r="X30" s="3">
        <v>34.784377999999997</v>
      </c>
      <c r="Y30" s="3">
        <v>32.821716000000002</v>
      </c>
      <c r="Z30" s="3">
        <v>33.459575999999998</v>
      </c>
      <c r="AA30" s="3">
        <v>33.676825999999998</v>
      </c>
      <c r="AB30" s="3">
        <v>34.107863999999999</v>
      </c>
      <c r="AC30" s="3">
        <v>31.214499</v>
      </c>
      <c r="AD30" s="3">
        <v>34.176223999999998</v>
      </c>
      <c r="AE30" s="3">
        <v>32.840877999999996</v>
      </c>
      <c r="AF30" s="3">
        <v>33.624476999999999</v>
      </c>
      <c r="AG30" s="3">
        <v>34.163527999999999</v>
      </c>
      <c r="AH30" s="3">
        <v>31.100390999999998</v>
      </c>
      <c r="AI30" s="3">
        <v>34.287478999999998</v>
      </c>
      <c r="AJ30" s="3">
        <v>38.527813000000002</v>
      </c>
      <c r="AK30" s="3">
        <v>34.389964999999997</v>
      </c>
      <c r="AL30" s="3">
        <v>30.223082000000002</v>
      </c>
      <c r="AM30" s="3">
        <v>30.806849</v>
      </c>
      <c r="AN30" s="3">
        <v>32.050612999999998</v>
      </c>
      <c r="AO30" s="3">
        <v>31.650402</v>
      </c>
      <c r="AP30" s="3">
        <v>30.228455</v>
      </c>
      <c r="AQ30" s="3">
        <v>31.073587</v>
      </c>
      <c r="AR30" s="3">
        <v>31.978825000000001</v>
      </c>
      <c r="AS30" s="3">
        <v>30.687819999999999</v>
      </c>
      <c r="AT30" s="3">
        <v>30.211752000000001</v>
      </c>
      <c r="AU30" s="3">
        <v>32.937480999999998</v>
      </c>
      <c r="AV30" s="3">
        <v>29.870229999999999</v>
      </c>
      <c r="AW30" s="3">
        <v>29.506495999999999</v>
      </c>
      <c r="AX30" s="3">
        <v>30.595275999999998</v>
      </c>
      <c r="AY30" s="3">
        <v>30.235865</v>
      </c>
      <c r="AZ30" s="3">
        <v>34.097087999999999</v>
      </c>
      <c r="BA30" s="3">
        <v>33.974280999999998</v>
      </c>
      <c r="BB30" s="3">
        <v>33.143261000000003</v>
      </c>
      <c r="BC30" s="3">
        <v>33.610928000000001</v>
      </c>
      <c r="BD30" s="3">
        <v>32.330475</v>
      </c>
      <c r="BE30" s="3">
        <v>29.800187999999999</v>
      </c>
      <c r="BF30" s="3">
        <v>31.940037</v>
      </c>
      <c r="BG30" s="3">
        <v>28.228625999999998</v>
      </c>
      <c r="BH30" s="3">
        <v>29.676355000000001</v>
      </c>
      <c r="BI30" s="3">
        <v>33.103803999999997</v>
      </c>
      <c r="BJ30" s="3">
        <v>32.617171999999997</v>
      </c>
      <c r="BK30" s="3">
        <v>28.962205999999998</v>
      </c>
      <c r="BL30" s="3">
        <v>31.070702000000001</v>
      </c>
      <c r="BM30" s="3">
        <v>29.205082000000001</v>
      </c>
      <c r="BN30" s="3">
        <v>29.995607</v>
      </c>
      <c r="BO30" s="3">
        <v>31.094702000000002</v>
      </c>
      <c r="BP30" s="3">
        <v>29.709638999999999</v>
      </c>
      <c r="BQ30" s="3">
        <v>28.454519000000001</v>
      </c>
      <c r="BR30" s="3">
        <v>28.619859999999999</v>
      </c>
      <c r="BS30" s="3">
        <v>30.861248</v>
      </c>
      <c r="BT30" s="3">
        <v>30.597276999999998</v>
      </c>
      <c r="BU30" s="3">
        <v>29.649307</v>
      </c>
      <c r="BV30" s="3">
        <v>31.127115</v>
      </c>
      <c r="BW30" s="3">
        <v>31.198114</v>
      </c>
      <c r="BX30" s="3">
        <v>30.240418999999999</v>
      </c>
      <c r="BY30" s="3">
        <v>35.375819999999997</v>
      </c>
      <c r="BZ30" s="3">
        <v>29.858788000000001</v>
      </c>
      <c r="CA30" s="3">
        <v>29.672739</v>
      </c>
      <c r="CB30" s="3">
        <v>29.911943000000001</v>
      </c>
      <c r="CC30" s="3">
        <v>32.254826000000001</v>
      </c>
      <c r="CD30" s="3">
        <v>28.565837999999999</v>
      </c>
      <c r="CE30" s="3">
        <v>30.752140000000001</v>
      </c>
      <c r="CF30" s="3">
        <v>29.757705999999999</v>
      </c>
      <c r="CG30" s="3">
        <v>29.958015</v>
      </c>
      <c r="CH30" s="3">
        <v>32.329174000000002</v>
      </c>
      <c r="CI30" s="3">
        <v>31.187692999999999</v>
      </c>
      <c r="CJ30" s="3">
        <v>29.128039999999999</v>
      </c>
      <c r="CK30" s="3">
        <v>30.119541000000002</v>
      </c>
      <c r="CL30" s="3">
        <v>29.431583</v>
      </c>
      <c r="CM30" s="3">
        <v>31.159903</v>
      </c>
      <c r="CN30" s="3">
        <v>30.588380999999998</v>
      </c>
      <c r="CO30" s="3">
        <v>28.670784000000001</v>
      </c>
      <c r="CP30" s="3">
        <v>29.434056999999999</v>
      </c>
      <c r="CQ30" s="3">
        <v>29.271664000000001</v>
      </c>
      <c r="CR30" s="3">
        <v>29.468029000000001</v>
      </c>
      <c r="CS30" s="3">
        <v>32.057338999999999</v>
      </c>
      <c r="CT30" s="3">
        <v>30.402090000000001</v>
      </c>
      <c r="CU30" s="3">
        <v>27.874157</v>
      </c>
      <c r="CV30" s="3">
        <v>28.224153999999999</v>
      </c>
      <c r="CW30" s="3">
        <v>27.337997000000001</v>
      </c>
      <c r="CX30" s="3">
        <v>31.440186000000001</v>
      </c>
      <c r="CY30" s="3">
        <v>29.298454</v>
      </c>
      <c r="CZ30" s="3">
        <v>32.858511</v>
      </c>
      <c r="DA30" s="3">
        <v>31.112549000000001</v>
      </c>
      <c r="DB30" s="3">
        <v>31.306132999999999</v>
      </c>
      <c r="DC30" s="3">
        <v>29.875230999999999</v>
      </c>
      <c r="DD30" s="3">
        <v>29.309155000000001</v>
      </c>
      <c r="DE30" s="3">
        <v>27.950372999999999</v>
      </c>
      <c r="DF30" s="3">
        <v>29.319935000000001</v>
      </c>
      <c r="DG30" s="3">
        <v>29.451453999999998</v>
      </c>
      <c r="DH30" s="3">
        <v>28.553608000000001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21.08831636</v>
      </c>
      <c r="H32" s="3">
        <f>MAX(M32:GJ32)</f>
        <v>24.303637999999999</v>
      </c>
      <c r="I32" s="3">
        <f>MIN(M32:GJ32)</f>
        <v>18.584009000000002</v>
      </c>
      <c r="J32" s="3">
        <f>_xlfn.STDEV.P(M32:GJ32)</f>
        <v>1.1509144621386902</v>
      </c>
      <c r="K32" s="3">
        <f>_xlfn.VAR.S(M32:GJ32)</f>
        <v>1.3379839385454451</v>
      </c>
      <c r="M32" s="3">
        <v>22.814561999999999</v>
      </c>
      <c r="N32" s="3">
        <v>20.988313999999999</v>
      </c>
      <c r="O32" s="3">
        <v>20.849357999999999</v>
      </c>
      <c r="P32" s="3">
        <v>20.095649999999999</v>
      </c>
      <c r="Q32" s="3">
        <v>22.307661</v>
      </c>
      <c r="R32" s="3">
        <v>22.004303</v>
      </c>
      <c r="S32" s="3">
        <v>23.096584</v>
      </c>
      <c r="T32" s="3">
        <v>20.961466000000001</v>
      </c>
      <c r="U32" s="3">
        <v>21.676397000000001</v>
      </c>
      <c r="V32" s="3">
        <v>19.356731</v>
      </c>
      <c r="W32" s="3">
        <v>21.502742999999999</v>
      </c>
      <c r="X32" s="3">
        <v>20.095006999999999</v>
      </c>
      <c r="Y32" s="3">
        <v>21.114100000000001</v>
      </c>
      <c r="Z32" s="3">
        <v>21.065956</v>
      </c>
      <c r="AA32" s="3">
        <v>19.329861000000001</v>
      </c>
      <c r="AB32" s="3">
        <v>20.586690999999998</v>
      </c>
      <c r="AC32" s="3">
        <v>20.168903</v>
      </c>
      <c r="AD32" s="3">
        <v>20.575485</v>
      </c>
      <c r="AE32" s="3">
        <v>23.132826000000001</v>
      </c>
      <c r="AF32" s="3">
        <v>20.160830000000001</v>
      </c>
      <c r="AG32" s="3">
        <v>20.742709999999999</v>
      </c>
      <c r="AH32" s="3">
        <v>19.961763000000001</v>
      </c>
      <c r="AI32" s="3">
        <v>21.877912999999999</v>
      </c>
      <c r="AJ32" s="3">
        <v>20.852060000000002</v>
      </c>
      <c r="AK32" s="3">
        <v>20.655279</v>
      </c>
      <c r="AL32" s="3">
        <v>21.342419</v>
      </c>
      <c r="AM32" s="3">
        <v>19.768345</v>
      </c>
      <c r="AN32" s="3">
        <v>20.112649999999999</v>
      </c>
      <c r="AO32" s="3">
        <v>19.615953000000001</v>
      </c>
      <c r="AP32" s="3">
        <v>20.634295000000002</v>
      </c>
      <c r="AQ32" s="3">
        <v>21.684380000000001</v>
      </c>
      <c r="AR32" s="3">
        <v>21.628917999999999</v>
      </c>
      <c r="AS32" s="3">
        <v>21.511137000000002</v>
      </c>
      <c r="AT32" s="3">
        <v>24.303637999999999</v>
      </c>
      <c r="AU32" s="3">
        <v>20.456797000000002</v>
      </c>
      <c r="AV32" s="3">
        <v>22.600615999999999</v>
      </c>
      <c r="AW32" s="3">
        <v>22.669917999999999</v>
      </c>
      <c r="AX32" s="3">
        <v>20.495111000000001</v>
      </c>
      <c r="AY32" s="3">
        <v>19.107023000000002</v>
      </c>
      <c r="AZ32" s="3">
        <v>20.536655</v>
      </c>
      <c r="BA32" s="3">
        <v>23.052025</v>
      </c>
      <c r="BB32" s="3">
        <v>20.108843</v>
      </c>
      <c r="BC32" s="3">
        <v>21.105135000000001</v>
      </c>
      <c r="BD32" s="3">
        <v>23.252768</v>
      </c>
      <c r="BE32" s="3">
        <v>22.291070999999999</v>
      </c>
      <c r="BF32" s="3">
        <v>20.652304000000001</v>
      </c>
      <c r="BG32" s="3">
        <v>21.474287</v>
      </c>
      <c r="BH32" s="3">
        <v>20.528721000000001</v>
      </c>
      <c r="BI32" s="3">
        <v>20.639970999999999</v>
      </c>
      <c r="BJ32" s="3">
        <v>22.254926999999999</v>
      </c>
      <c r="BK32" s="3">
        <v>23.121238999999999</v>
      </c>
      <c r="BL32" s="3">
        <v>22.071003000000001</v>
      </c>
      <c r="BM32" s="3">
        <v>20.436678000000001</v>
      </c>
      <c r="BN32" s="3">
        <v>19.787327000000001</v>
      </c>
      <c r="BO32" s="3">
        <v>21.775948</v>
      </c>
      <c r="BP32" s="3">
        <v>20.094002</v>
      </c>
      <c r="BQ32" s="3">
        <v>23.910913000000001</v>
      </c>
      <c r="BR32" s="3">
        <v>20.581465000000001</v>
      </c>
      <c r="BS32" s="3">
        <v>20.977674</v>
      </c>
      <c r="BT32" s="3">
        <v>19.684350999999999</v>
      </c>
      <c r="BU32" s="3">
        <v>22.677928999999999</v>
      </c>
      <c r="BV32" s="3">
        <v>21.469750999999999</v>
      </c>
      <c r="BW32" s="3">
        <v>21.976994999999999</v>
      </c>
      <c r="BX32" s="3">
        <v>20.282931999999999</v>
      </c>
      <c r="BY32" s="3">
        <v>19.467855</v>
      </c>
      <c r="BZ32" s="3">
        <v>21.002002999999998</v>
      </c>
      <c r="CA32" s="3">
        <v>20.067920999999998</v>
      </c>
      <c r="CB32" s="3">
        <v>18.584009000000002</v>
      </c>
      <c r="CC32" s="3">
        <v>22.060891999999999</v>
      </c>
      <c r="CD32" s="3">
        <v>20.094721</v>
      </c>
      <c r="CE32" s="3">
        <v>20.549747</v>
      </c>
      <c r="CF32" s="3">
        <v>21.116620999999999</v>
      </c>
      <c r="CG32" s="3">
        <v>20.981584999999999</v>
      </c>
      <c r="CH32" s="3">
        <v>21.936176</v>
      </c>
      <c r="CI32" s="3">
        <v>21.335773</v>
      </c>
      <c r="CJ32" s="3">
        <v>19.651592000000001</v>
      </c>
      <c r="CK32" s="3">
        <v>21.079080999999999</v>
      </c>
      <c r="CL32" s="3">
        <v>19.676262000000001</v>
      </c>
      <c r="CM32" s="3">
        <v>21.584547000000001</v>
      </c>
      <c r="CN32" s="3">
        <v>20.360523000000001</v>
      </c>
      <c r="CO32" s="3">
        <v>20.413563</v>
      </c>
      <c r="CP32" s="3">
        <v>19.763334</v>
      </c>
      <c r="CQ32" s="3">
        <v>18.628304</v>
      </c>
      <c r="CR32" s="3">
        <v>21.992138000000001</v>
      </c>
      <c r="CS32" s="3">
        <v>20.365894000000001</v>
      </c>
      <c r="CT32" s="3">
        <v>21.429161000000001</v>
      </c>
      <c r="CU32" s="3">
        <v>23.701899999999998</v>
      </c>
      <c r="CV32" s="3">
        <v>22.455010999999999</v>
      </c>
      <c r="CW32" s="3">
        <v>19.428391999999999</v>
      </c>
      <c r="CX32" s="3">
        <v>21.452086999999999</v>
      </c>
      <c r="CY32" s="3">
        <v>21.206779000000001</v>
      </c>
      <c r="CZ32" s="3">
        <v>20.434483</v>
      </c>
      <c r="DA32" s="3">
        <v>20.868448000000001</v>
      </c>
      <c r="DB32" s="3">
        <v>21.826606999999999</v>
      </c>
      <c r="DC32" s="3">
        <v>22.44031</v>
      </c>
      <c r="DD32" s="3">
        <v>20.747914999999999</v>
      </c>
      <c r="DE32" s="3">
        <v>21.232523</v>
      </c>
      <c r="DF32" s="3">
        <v>21.205083999999999</v>
      </c>
      <c r="DG32" s="3">
        <v>22.259433999999999</v>
      </c>
      <c r="DH32" s="3">
        <v>20.781694000000002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21.746282649999998</v>
      </c>
      <c r="H34" s="3">
        <f>MAX(M34:GJ34)</f>
        <v>25.713394000000001</v>
      </c>
      <c r="I34" s="3">
        <f>MIN(M34:GJ34)</f>
        <v>18.664736000000001</v>
      </c>
      <c r="J34" s="3">
        <f>_xlfn.STDEV.P(M34:GJ34)</f>
        <v>1.4535992716062043</v>
      </c>
      <c r="K34" s="3">
        <f>_xlfn.VAR.S(M34:GJ34)</f>
        <v>2.1342937802162503</v>
      </c>
      <c r="M34" s="3">
        <v>18.664736000000001</v>
      </c>
      <c r="N34" s="3">
        <v>21.906355000000001</v>
      </c>
      <c r="O34" s="3">
        <v>20.435369000000001</v>
      </c>
      <c r="P34" s="3">
        <v>22.168377</v>
      </c>
      <c r="Q34" s="3">
        <v>20.259981</v>
      </c>
      <c r="R34" s="3">
        <v>22.398769000000001</v>
      </c>
      <c r="S34" s="3">
        <v>23.214603</v>
      </c>
      <c r="T34" s="3">
        <v>20.374807000000001</v>
      </c>
      <c r="U34" s="3">
        <v>22.637117</v>
      </c>
      <c r="V34" s="3">
        <v>23.440895000000001</v>
      </c>
      <c r="W34" s="3">
        <v>24.805698</v>
      </c>
      <c r="X34" s="3">
        <v>19.556813999999999</v>
      </c>
      <c r="Y34" s="3">
        <v>21.318121000000001</v>
      </c>
      <c r="Z34" s="3">
        <v>20.249548000000001</v>
      </c>
      <c r="AA34" s="3">
        <v>21.758189999999999</v>
      </c>
      <c r="AB34" s="3">
        <v>22.394853999999999</v>
      </c>
      <c r="AC34" s="3">
        <v>23.862555</v>
      </c>
      <c r="AD34" s="3">
        <v>22.960602000000002</v>
      </c>
      <c r="AE34" s="3">
        <v>22.068104000000002</v>
      </c>
      <c r="AF34" s="3">
        <v>23.119558000000001</v>
      </c>
      <c r="AG34" s="3">
        <v>22.289999000000002</v>
      </c>
      <c r="AH34" s="3">
        <v>23.104731000000001</v>
      </c>
      <c r="AI34" s="3">
        <v>23.831322</v>
      </c>
      <c r="AJ34" s="3">
        <v>25.081424999999999</v>
      </c>
      <c r="AK34" s="3">
        <v>25.713394000000001</v>
      </c>
      <c r="AL34" s="3">
        <v>19.912067</v>
      </c>
      <c r="AM34" s="3">
        <v>22.122710999999999</v>
      </c>
      <c r="AN34" s="3">
        <v>20.127312</v>
      </c>
      <c r="AO34" s="3">
        <v>21.962788</v>
      </c>
      <c r="AP34" s="3">
        <v>21.937479</v>
      </c>
      <c r="AQ34" s="3">
        <v>23.795393000000001</v>
      </c>
      <c r="AR34" s="3">
        <v>20.119071999999999</v>
      </c>
      <c r="AS34" s="3">
        <v>21.638421999999998</v>
      </c>
      <c r="AT34" s="3">
        <v>22.420912000000001</v>
      </c>
      <c r="AU34" s="3">
        <v>20.512592000000001</v>
      </c>
      <c r="AV34" s="3">
        <v>22.870981</v>
      </c>
      <c r="AW34" s="3">
        <v>21.811713999999998</v>
      </c>
      <c r="AX34" s="3">
        <v>20.753375999999999</v>
      </c>
      <c r="AY34" s="3">
        <v>19.571815000000001</v>
      </c>
      <c r="AZ34" s="3">
        <v>21.738647</v>
      </c>
      <c r="BA34" s="3">
        <v>21.048549999999999</v>
      </c>
      <c r="BB34" s="3">
        <v>24.014859999999999</v>
      </c>
      <c r="BC34" s="3">
        <v>23.731392</v>
      </c>
      <c r="BD34" s="3">
        <v>20.490788999999999</v>
      </c>
      <c r="BE34" s="3">
        <v>22.177112999999999</v>
      </c>
      <c r="BF34" s="3">
        <v>21.515778000000001</v>
      </c>
      <c r="BG34" s="3">
        <v>22.034084</v>
      </c>
      <c r="BH34" s="3">
        <v>19.174244000000002</v>
      </c>
      <c r="BI34" s="3">
        <v>22.547015999999999</v>
      </c>
      <c r="BJ34" s="3">
        <v>22.708940999999999</v>
      </c>
      <c r="BK34" s="3">
        <v>19.193090000000002</v>
      </c>
      <c r="BL34" s="3">
        <v>21.14575</v>
      </c>
      <c r="BM34" s="3">
        <v>19.742674000000001</v>
      </c>
      <c r="BN34" s="3">
        <v>20.282862000000002</v>
      </c>
      <c r="BO34" s="3">
        <v>20.164657999999999</v>
      </c>
      <c r="BP34" s="3">
        <v>23.967918000000001</v>
      </c>
      <c r="BQ34" s="3">
        <v>20.372779999999999</v>
      </c>
      <c r="BR34" s="3">
        <v>22.211554</v>
      </c>
      <c r="BS34" s="3">
        <v>22.139140999999999</v>
      </c>
      <c r="BT34" s="3">
        <v>22.426532999999999</v>
      </c>
      <c r="BU34" s="3">
        <v>22.943724</v>
      </c>
      <c r="BV34" s="3">
        <v>21.832035000000001</v>
      </c>
      <c r="BW34" s="3">
        <v>20.44622</v>
      </c>
      <c r="BX34" s="3">
        <v>20.625070999999998</v>
      </c>
      <c r="BY34" s="3">
        <v>20.114474999999999</v>
      </c>
      <c r="BZ34" s="3">
        <v>21.327256999999999</v>
      </c>
      <c r="CA34" s="3">
        <v>22.627009999999999</v>
      </c>
      <c r="CB34" s="3">
        <v>23.856059999999999</v>
      </c>
      <c r="CC34" s="3">
        <v>20.742397</v>
      </c>
      <c r="CD34" s="3">
        <v>22.078849999999999</v>
      </c>
      <c r="CE34" s="3">
        <v>20.887245</v>
      </c>
      <c r="CF34" s="3">
        <v>22.707615000000001</v>
      </c>
      <c r="CG34" s="3">
        <v>19.470044999999999</v>
      </c>
      <c r="CH34" s="3">
        <v>23.101075999999999</v>
      </c>
      <c r="CI34" s="3">
        <v>22.409434999999998</v>
      </c>
      <c r="CJ34" s="3">
        <v>20.123919999999998</v>
      </c>
      <c r="CK34" s="3">
        <v>22.022504999999999</v>
      </c>
      <c r="CL34" s="3">
        <v>20.298265000000001</v>
      </c>
      <c r="CM34" s="3">
        <v>21.554141999999999</v>
      </c>
      <c r="CN34" s="3">
        <v>22.324358</v>
      </c>
      <c r="CO34" s="3">
        <v>22.686546</v>
      </c>
      <c r="CP34" s="3">
        <v>21.979576000000002</v>
      </c>
      <c r="CQ34" s="3">
        <v>20.500526000000001</v>
      </c>
      <c r="CR34" s="3">
        <v>23.731881999999999</v>
      </c>
      <c r="CS34" s="3">
        <v>20.504932</v>
      </c>
      <c r="CT34" s="3">
        <v>22.479884999999999</v>
      </c>
      <c r="CU34" s="3">
        <v>21.835238</v>
      </c>
      <c r="CV34" s="3">
        <v>19.972725000000001</v>
      </c>
      <c r="CW34" s="3">
        <v>19.003359</v>
      </c>
      <c r="CX34" s="3">
        <v>20.745004999999999</v>
      </c>
      <c r="CY34" s="3">
        <v>22.188063</v>
      </c>
      <c r="CZ34" s="3">
        <v>23.419991</v>
      </c>
      <c r="DA34" s="3">
        <v>20.696459000000001</v>
      </c>
      <c r="DB34" s="3">
        <v>20.716805999999998</v>
      </c>
      <c r="DC34" s="3">
        <v>22.788329999999998</v>
      </c>
      <c r="DD34" s="3">
        <v>22.645036999999999</v>
      </c>
      <c r="DE34" s="3">
        <v>21.962311</v>
      </c>
      <c r="DF34" s="3">
        <v>19.222487999999998</v>
      </c>
      <c r="DG34" s="3">
        <v>22.145454000000001</v>
      </c>
      <c r="DH34" s="3">
        <v>23.911014999999999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</row>
    <row r="37" spans="2:207" x14ac:dyDescent="0.2">
      <c r="B37" t="s">
        <v>60</v>
      </c>
      <c r="D37" s="1" t="s">
        <v>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23.126689889999998</v>
      </c>
      <c r="H38" s="3">
        <f>MAX(M38:GJ38)</f>
        <v>31.507534</v>
      </c>
      <c r="I38" s="3">
        <f>MIN(M38:GJ38)</f>
        <v>19.680137999999999</v>
      </c>
      <c r="J38" s="3">
        <f>_xlfn.STDEV.P(M38:GJ38)</f>
        <v>1.5472992778880943</v>
      </c>
      <c r="K38" s="3">
        <f>_xlfn.VAR.S(M38:GJ38)</f>
        <v>2.4183182377303214</v>
      </c>
      <c r="M38" s="3">
        <v>22.425083000000001</v>
      </c>
      <c r="N38" s="3">
        <v>22.310064000000001</v>
      </c>
      <c r="O38" s="3">
        <v>22.004328000000001</v>
      </c>
      <c r="P38" s="3">
        <v>23.184206</v>
      </c>
      <c r="Q38" s="3">
        <v>27.311031</v>
      </c>
      <c r="R38" s="3">
        <v>21.491931999999998</v>
      </c>
      <c r="S38" s="3">
        <v>22.325818999999999</v>
      </c>
      <c r="T38" s="3">
        <v>22.148405</v>
      </c>
      <c r="U38" s="3">
        <v>22.710957000000001</v>
      </c>
      <c r="V38" s="3">
        <v>21.904378999999999</v>
      </c>
      <c r="W38" s="3">
        <v>21.996860999999999</v>
      </c>
      <c r="X38" s="3">
        <v>22.760052000000002</v>
      </c>
      <c r="Y38" s="3">
        <v>22.537275000000001</v>
      </c>
      <c r="Z38" s="3">
        <v>22.896124</v>
      </c>
      <c r="AA38" s="3">
        <v>22.445936</v>
      </c>
      <c r="AB38" s="3">
        <v>22.597134</v>
      </c>
      <c r="AC38" s="3">
        <v>20.509371000000002</v>
      </c>
      <c r="AD38" s="3">
        <v>22.908947000000001</v>
      </c>
      <c r="AE38" s="3">
        <v>19.680137999999999</v>
      </c>
      <c r="AF38" s="3">
        <v>21.770128</v>
      </c>
      <c r="AG38" s="3">
        <v>24.705257</v>
      </c>
      <c r="AH38" s="3">
        <v>22.391541</v>
      </c>
      <c r="AI38" s="3">
        <v>22.861384999999999</v>
      </c>
      <c r="AJ38" s="3">
        <v>22.836382</v>
      </c>
      <c r="AK38" s="3">
        <v>22.331547</v>
      </c>
      <c r="AL38" s="3">
        <v>22.425567999999998</v>
      </c>
      <c r="AM38" s="3">
        <v>23.1387</v>
      </c>
      <c r="AN38" s="3">
        <v>21.441552999999999</v>
      </c>
      <c r="AO38" s="3">
        <v>24.46265</v>
      </c>
      <c r="AP38" s="3">
        <v>22.544858999999999</v>
      </c>
      <c r="AQ38" s="3">
        <v>22.482849000000002</v>
      </c>
      <c r="AR38" s="3">
        <v>22.447983000000001</v>
      </c>
      <c r="AS38" s="3">
        <v>21.806706999999999</v>
      </c>
      <c r="AT38" s="3">
        <v>22.333580000000001</v>
      </c>
      <c r="AU38" s="3">
        <v>28.161770000000001</v>
      </c>
      <c r="AV38" s="3">
        <v>25.854230999999999</v>
      </c>
      <c r="AW38" s="3">
        <v>22.509944999999998</v>
      </c>
      <c r="AX38" s="3">
        <v>22.651748999999999</v>
      </c>
      <c r="AY38" s="3">
        <v>21.691306999999998</v>
      </c>
      <c r="AZ38" s="3">
        <v>22.899639000000001</v>
      </c>
      <c r="BA38" s="3">
        <v>23.462603000000001</v>
      </c>
      <c r="BB38" s="3">
        <v>22.462154000000002</v>
      </c>
      <c r="BC38" s="3">
        <v>22.919585999999999</v>
      </c>
      <c r="BD38" s="3">
        <v>20.440667999999999</v>
      </c>
      <c r="BE38" s="3">
        <v>31.507534</v>
      </c>
      <c r="BF38" s="3">
        <v>22.272352000000001</v>
      </c>
      <c r="BG38" s="3">
        <v>23.769117000000001</v>
      </c>
      <c r="BH38" s="3">
        <v>23.714739000000002</v>
      </c>
      <c r="BI38" s="3">
        <v>24.479702</v>
      </c>
      <c r="BJ38" s="3">
        <v>24.395491</v>
      </c>
      <c r="BK38" s="3">
        <v>22.835467999999999</v>
      </c>
      <c r="BL38" s="3">
        <v>23.109894000000001</v>
      </c>
      <c r="BM38" s="3">
        <v>22.778531999999998</v>
      </c>
      <c r="BN38" s="3">
        <v>22.421144000000002</v>
      </c>
      <c r="BO38" s="3">
        <v>21.809418000000001</v>
      </c>
      <c r="BP38" s="3">
        <v>24.394757999999999</v>
      </c>
      <c r="BQ38" s="3">
        <v>23.175806000000001</v>
      </c>
      <c r="BR38" s="3">
        <v>25.084233999999999</v>
      </c>
      <c r="BS38" s="3">
        <v>23.737755</v>
      </c>
      <c r="BT38" s="3">
        <v>24.135339999999999</v>
      </c>
      <c r="BU38" s="3">
        <v>21.850206</v>
      </c>
      <c r="BV38" s="3">
        <v>23.331264000000001</v>
      </c>
      <c r="BW38" s="3">
        <v>22.785923</v>
      </c>
      <c r="BX38" s="3">
        <v>21.585875999999999</v>
      </c>
      <c r="BY38" s="3">
        <v>24.506571000000001</v>
      </c>
      <c r="BZ38" s="3">
        <v>22.390863</v>
      </c>
      <c r="CA38" s="3">
        <v>22.747242</v>
      </c>
      <c r="CB38" s="3">
        <v>23.207632</v>
      </c>
      <c r="CC38" s="3">
        <v>20.559512999999999</v>
      </c>
      <c r="CD38" s="3">
        <v>23.271744000000002</v>
      </c>
      <c r="CE38" s="3">
        <v>23.602385000000002</v>
      </c>
      <c r="CF38" s="3">
        <v>24.114933000000001</v>
      </c>
      <c r="CG38" s="3">
        <v>26.362712999999999</v>
      </c>
      <c r="CH38" s="3">
        <v>25.098410000000001</v>
      </c>
      <c r="CI38" s="3">
        <v>22.589003000000002</v>
      </c>
      <c r="CJ38" s="3">
        <v>23.194821999999998</v>
      </c>
      <c r="CK38" s="3">
        <v>22.910229000000001</v>
      </c>
      <c r="CL38" s="3">
        <v>23.222553000000001</v>
      </c>
      <c r="CM38" s="3">
        <v>22.599585000000001</v>
      </c>
      <c r="CN38" s="3">
        <v>23.647321999999999</v>
      </c>
      <c r="CO38" s="3">
        <v>23.417428999999998</v>
      </c>
      <c r="CP38" s="3">
        <v>22.949691999999999</v>
      </c>
      <c r="CQ38" s="3">
        <v>22.585163000000001</v>
      </c>
      <c r="CR38" s="3">
        <v>23.555042</v>
      </c>
      <c r="CS38" s="3">
        <v>22.729880999999999</v>
      </c>
      <c r="CT38" s="3">
        <v>22.754104999999999</v>
      </c>
      <c r="CU38" s="3">
        <v>22.909165999999999</v>
      </c>
      <c r="CV38" s="3">
        <v>26.607695</v>
      </c>
      <c r="CW38" s="3">
        <v>24.054324999999999</v>
      </c>
      <c r="CX38" s="3">
        <v>22.79862</v>
      </c>
      <c r="CY38" s="3">
        <v>22.290854</v>
      </c>
      <c r="CZ38" s="3">
        <v>22.539504999999998</v>
      </c>
      <c r="DA38" s="3">
        <v>22.992878000000001</v>
      </c>
      <c r="DB38" s="3">
        <v>22.557983</v>
      </c>
      <c r="DC38" s="3">
        <v>22.755034999999999</v>
      </c>
      <c r="DD38" s="3">
        <v>24.253682999999999</v>
      </c>
      <c r="DE38" s="3">
        <v>24.331880999999999</v>
      </c>
      <c r="DF38" s="3">
        <v>24.246426</v>
      </c>
      <c r="DG38" s="3">
        <v>23.568508000000001</v>
      </c>
      <c r="DH38" s="3">
        <v>22.388662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25.495737869999992</v>
      </c>
      <c r="H40" s="3">
        <f>MAX(M40:GJ40)</f>
        <v>30.049696000000001</v>
      </c>
      <c r="I40" s="3">
        <f>MIN(M40:GJ40)</f>
        <v>21.231643999999999</v>
      </c>
      <c r="J40" s="3">
        <f>_xlfn.STDEV.P(M40:GJ40)</f>
        <v>1.8543957600915331</v>
      </c>
      <c r="K40" s="3">
        <f>_xlfn.VAR.S(M40:GJ40)</f>
        <v>3.473518823278237</v>
      </c>
      <c r="M40" s="3">
        <v>27.480719000000001</v>
      </c>
      <c r="N40" s="3">
        <v>21.231643999999999</v>
      </c>
      <c r="O40" s="3">
        <v>27.174296999999999</v>
      </c>
      <c r="P40" s="3">
        <v>25.166118999999998</v>
      </c>
      <c r="Q40" s="3">
        <v>28.958908000000001</v>
      </c>
      <c r="R40" s="3">
        <v>25.415213000000001</v>
      </c>
      <c r="S40" s="3">
        <v>24.347258</v>
      </c>
      <c r="T40" s="3">
        <v>27.462071999999999</v>
      </c>
      <c r="U40" s="3">
        <v>27.485240999999998</v>
      </c>
      <c r="V40" s="3">
        <v>29.255697000000001</v>
      </c>
      <c r="W40" s="3">
        <v>26.185376999999999</v>
      </c>
      <c r="X40" s="3">
        <v>23.184685000000002</v>
      </c>
      <c r="Y40" s="3">
        <v>27.921021</v>
      </c>
      <c r="Z40" s="3">
        <v>22.299800999999999</v>
      </c>
      <c r="AA40" s="3">
        <v>27.849278999999999</v>
      </c>
      <c r="AB40" s="3">
        <v>26.835165</v>
      </c>
      <c r="AC40" s="3">
        <v>26.973917</v>
      </c>
      <c r="AD40" s="3">
        <v>26.341557999999999</v>
      </c>
      <c r="AE40" s="3">
        <v>23.235413000000001</v>
      </c>
      <c r="AF40" s="3">
        <v>25.902792000000002</v>
      </c>
      <c r="AG40" s="3">
        <v>26.942557999999998</v>
      </c>
      <c r="AH40" s="3">
        <v>27.129152000000001</v>
      </c>
      <c r="AI40" s="3">
        <v>25.352551999999999</v>
      </c>
      <c r="AJ40" s="3">
        <v>21.727022000000002</v>
      </c>
      <c r="AK40" s="3">
        <v>26.432683999999998</v>
      </c>
      <c r="AL40" s="3">
        <v>26.737366000000002</v>
      </c>
      <c r="AM40" s="3">
        <v>22.788253999999998</v>
      </c>
      <c r="AN40" s="3">
        <v>25.364550000000001</v>
      </c>
      <c r="AO40" s="3">
        <v>25.648282999999999</v>
      </c>
      <c r="AP40" s="3">
        <v>27.090937</v>
      </c>
      <c r="AQ40" s="3">
        <v>25.627604000000002</v>
      </c>
      <c r="AR40" s="3">
        <v>24.968337999999999</v>
      </c>
      <c r="AS40" s="3">
        <v>26.540939000000002</v>
      </c>
      <c r="AT40" s="3">
        <v>24.879041999999998</v>
      </c>
      <c r="AU40" s="3">
        <v>25.896125999999999</v>
      </c>
      <c r="AV40" s="3">
        <v>23.11994</v>
      </c>
      <c r="AW40" s="3">
        <v>24.454733000000001</v>
      </c>
      <c r="AX40" s="3">
        <v>27.142745999999999</v>
      </c>
      <c r="AY40" s="3">
        <v>25.489204000000001</v>
      </c>
      <c r="AZ40" s="3">
        <v>24.825651000000001</v>
      </c>
      <c r="BA40" s="3">
        <v>24.451796000000002</v>
      </c>
      <c r="BB40" s="3">
        <v>25.644583000000001</v>
      </c>
      <c r="BC40" s="3">
        <v>25.825174000000001</v>
      </c>
      <c r="BD40" s="3">
        <v>23.934711</v>
      </c>
      <c r="BE40" s="3">
        <v>24.989529000000001</v>
      </c>
      <c r="BF40" s="3">
        <v>26.696144</v>
      </c>
      <c r="BG40" s="3">
        <v>28.782982000000001</v>
      </c>
      <c r="BH40" s="3">
        <v>27.590572000000002</v>
      </c>
      <c r="BI40" s="3">
        <v>26.817909</v>
      </c>
      <c r="BJ40" s="3">
        <v>30.049696000000001</v>
      </c>
      <c r="BK40" s="3">
        <v>26.839659000000001</v>
      </c>
      <c r="BL40" s="3">
        <v>21.774394999999998</v>
      </c>
      <c r="BM40" s="3">
        <v>25.261129</v>
      </c>
      <c r="BN40" s="3">
        <v>25.531025</v>
      </c>
      <c r="BO40" s="3">
        <v>25.210326999999999</v>
      </c>
      <c r="BP40" s="3">
        <v>23.676676</v>
      </c>
      <c r="BQ40" s="3">
        <v>25.224215999999998</v>
      </c>
      <c r="BR40" s="3">
        <v>26.576098999999999</v>
      </c>
      <c r="BS40" s="3">
        <v>23.621068999999999</v>
      </c>
      <c r="BT40" s="3">
        <v>24.232664</v>
      </c>
      <c r="BU40" s="3">
        <v>23.010459999999998</v>
      </c>
      <c r="BV40" s="3">
        <v>25.464448999999998</v>
      </c>
      <c r="BW40" s="3">
        <v>28.776997000000001</v>
      </c>
      <c r="BX40" s="3">
        <v>26.212478999999998</v>
      </c>
      <c r="BY40" s="3">
        <v>21.528362000000001</v>
      </c>
      <c r="BZ40" s="3">
        <v>25.500484</v>
      </c>
      <c r="CA40" s="3">
        <v>24.345699</v>
      </c>
      <c r="CB40" s="3">
        <v>25.848827</v>
      </c>
      <c r="CC40" s="3">
        <v>26.060721999999998</v>
      </c>
      <c r="CD40" s="3">
        <v>25.217434000000001</v>
      </c>
      <c r="CE40" s="3">
        <v>22.513767000000001</v>
      </c>
      <c r="CF40" s="3">
        <v>29.377269999999999</v>
      </c>
      <c r="CG40" s="3">
        <v>26.150738</v>
      </c>
      <c r="CH40" s="3">
        <v>24.063065999999999</v>
      </c>
      <c r="CI40" s="3">
        <v>22.430510000000002</v>
      </c>
      <c r="CJ40" s="3">
        <v>24.513404999999999</v>
      </c>
      <c r="CK40" s="3">
        <v>24.26519</v>
      </c>
      <c r="CL40" s="3">
        <v>26.823661999999999</v>
      </c>
      <c r="CM40" s="3">
        <v>24.156836999999999</v>
      </c>
      <c r="CN40" s="3">
        <v>26.631084000000001</v>
      </c>
      <c r="CO40" s="3">
        <v>24.242474000000001</v>
      </c>
      <c r="CP40" s="3">
        <v>27.594597</v>
      </c>
      <c r="CQ40" s="3">
        <v>26.288457999999999</v>
      </c>
      <c r="CR40" s="3">
        <v>22.060858</v>
      </c>
      <c r="CS40" s="3">
        <v>25.741467</v>
      </c>
      <c r="CT40" s="3">
        <v>25.990577999999999</v>
      </c>
      <c r="CU40" s="3">
        <v>24.450077</v>
      </c>
      <c r="CV40" s="3">
        <v>26.845988999999999</v>
      </c>
      <c r="CW40" s="3">
        <v>24.525836999999999</v>
      </c>
      <c r="CX40" s="3">
        <v>26.573357000000001</v>
      </c>
      <c r="CY40" s="3">
        <v>25.428595000000001</v>
      </c>
      <c r="CZ40" s="3">
        <v>25.416494</v>
      </c>
      <c r="DA40" s="3">
        <v>24.801067</v>
      </c>
      <c r="DB40" s="3">
        <v>23.262609000000001</v>
      </c>
      <c r="DC40" s="3">
        <v>25.220572000000001</v>
      </c>
      <c r="DD40" s="3">
        <v>24.997</v>
      </c>
      <c r="DE40" s="3">
        <v>28.281075000000001</v>
      </c>
      <c r="DF40" s="3">
        <v>27.426205</v>
      </c>
      <c r="DG40" s="3">
        <v>24.094961000000001</v>
      </c>
      <c r="DH40" s="3">
        <v>21.845863000000001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26.06779701</v>
      </c>
      <c r="H42" s="3">
        <f>MAX(M42:GJ42)</f>
        <v>28.755237999999999</v>
      </c>
      <c r="I42" s="3">
        <f>MIN(M42:GJ42)</f>
        <v>24.099727999999999</v>
      </c>
      <c r="J42" s="3">
        <f>_xlfn.STDEV.P(M42:GJ42)</f>
        <v>1.0247764484001718</v>
      </c>
      <c r="K42" s="3">
        <f>_xlfn.VAR.S(M42:GJ42)</f>
        <v>1.0607745143390606</v>
      </c>
      <c r="M42" s="3">
        <v>27.054425999999999</v>
      </c>
      <c r="N42" s="3">
        <v>25.242788000000001</v>
      </c>
      <c r="O42" s="3">
        <v>26.548517</v>
      </c>
      <c r="P42" s="3">
        <v>26.604496000000001</v>
      </c>
      <c r="Q42" s="3">
        <v>25.008789</v>
      </c>
      <c r="R42" s="3">
        <v>27.857111</v>
      </c>
      <c r="S42" s="3">
        <v>25.782398000000001</v>
      </c>
      <c r="T42" s="3">
        <v>25.708981999999999</v>
      </c>
      <c r="U42" s="3">
        <v>25.493466999999999</v>
      </c>
      <c r="V42" s="3">
        <v>27.007717</v>
      </c>
      <c r="W42" s="3">
        <v>25.271547000000002</v>
      </c>
      <c r="X42" s="3">
        <v>26.517979</v>
      </c>
      <c r="Y42" s="3">
        <v>25.914380999999999</v>
      </c>
      <c r="Z42" s="3">
        <v>26.730370000000001</v>
      </c>
      <c r="AA42" s="3">
        <v>28.406531999999999</v>
      </c>
      <c r="AB42" s="3">
        <v>26.028120000000001</v>
      </c>
      <c r="AC42" s="3">
        <v>24.901522</v>
      </c>
      <c r="AD42" s="3">
        <v>25.413129999999999</v>
      </c>
      <c r="AE42" s="3">
        <v>26.149290000000001</v>
      </c>
      <c r="AF42" s="3">
        <v>25.683772999999999</v>
      </c>
      <c r="AG42" s="3">
        <v>25.540970000000002</v>
      </c>
      <c r="AH42" s="3">
        <v>25.493393000000001</v>
      </c>
      <c r="AI42" s="3">
        <v>26.020706000000001</v>
      </c>
      <c r="AJ42" s="3">
        <v>27.530374999999999</v>
      </c>
      <c r="AK42" s="3">
        <v>25.794734999999999</v>
      </c>
      <c r="AL42" s="3">
        <v>27.533460999999999</v>
      </c>
      <c r="AM42" s="3">
        <v>26.095020000000002</v>
      </c>
      <c r="AN42" s="3">
        <v>27.73217</v>
      </c>
      <c r="AO42" s="3">
        <v>25.274512999999999</v>
      </c>
      <c r="AP42" s="3">
        <v>24.669415000000001</v>
      </c>
      <c r="AQ42" s="3">
        <v>25.504792999999999</v>
      </c>
      <c r="AR42" s="3">
        <v>27.450975</v>
      </c>
      <c r="AS42" s="3">
        <v>26.536214999999999</v>
      </c>
      <c r="AT42" s="3">
        <v>25.201321</v>
      </c>
      <c r="AU42" s="3">
        <v>27.324064</v>
      </c>
      <c r="AV42" s="3">
        <v>26.752237000000001</v>
      </c>
      <c r="AW42" s="3">
        <v>25.011627000000001</v>
      </c>
      <c r="AX42" s="3">
        <v>24.935148000000002</v>
      </c>
      <c r="AY42" s="3">
        <v>24.099727999999999</v>
      </c>
      <c r="AZ42" s="3">
        <v>26.817872999999999</v>
      </c>
      <c r="BA42" s="3">
        <v>25.408349999999999</v>
      </c>
      <c r="BB42" s="3">
        <v>28.219874999999998</v>
      </c>
      <c r="BC42" s="3">
        <v>27.926010000000002</v>
      </c>
      <c r="BD42" s="3">
        <v>25.197503999999999</v>
      </c>
      <c r="BE42" s="3">
        <v>24.936634000000002</v>
      </c>
      <c r="BF42" s="3">
        <v>26.010265</v>
      </c>
      <c r="BG42" s="3">
        <v>26.132994</v>
      </c>
      <c r="BH42" s="3">
        <v>25.615036</v>
      </c>
      <c r="BI42" s="3">
        <v>25.274759</v>
      </c>
      <c r="BJ42" s="3">
        <v>24.852713000000001</v>
      </c>
      <c r="BK42" s="3">
        <v>25.202857999999999</v>
      </c>
      <c r="BL42" s="3">
        <v>26.272456999999999</v>
      </c>
      <c r="BM42" s="3">
        <v>25.562946</v>
      </c>
      <c r="BN42" s="3">
        <v>26.002844</v>
      </c>
      <c r="BO42" s="3">
        <v>26.358737999999999</v>
      </c>
      <c r="BP42" s="3">
        <v>25.698877</v>
      </c>
      <c r="BQ42" s="3">
        <v>25.404019999999999</v>
      </c>
      <c r="BR42" s="3">
        <v>25.186945000000001</v>
      </c>
      <c r="BS42" s="3">
        <v>26.701343999999999</v>
      </c>
      <c r="BT42" s="3">
        <v>25.587942000000002</v>
      </c>
      <c r="BU42" s="3">
        <v>25.951353000000001</v>
      </c>
      <c r="BV42" s="3">
        <v>28.306479</v>
      </c>
      <c r="BW42" s="3">
        <v>27.324975999999999</v>
      </c>
      <c r="BX42" s="3">
        <v>24.741551999999999</v>
      </c>
      <c r="BY42" s="3">
        <v>27.855972000000001</v>
      </c>
      <c r="BZ42" s="3">
        <v>26.169004000000001</v>
      </c>
      <c r="CA42" s="3">
        <v>25.342962</v>
      </c>
      <c r="CB42" s="3">
        <v>25.097815000000001</v>
      </c>
      <c r="CC42" s="3">
        <v>26.820326000000001</v>
      </c>
      <c r="CD42" s="3">
        <v>25.086646999999999</v>
      </c>
      <c r="CE42" s="3">
        <v>26.013735</v>
      </c>
      <c r="CF42" s="3">
        <v>26.688528000000002</v>
      </c>
      <c r="CG42" s="3">
        <v>24.433610999999999</v>
      </c>
      <c r="CH42" s="3">
        <v>27.938108</v>
      </c>
      <c r="CI42" s="3">
        <v>25.547594</v>
      </c>
      <c r="CJ42" s="3">
        <v>25.792020999999998</v>
      </c>
      <c r="CK42" s="3">
        <v>26.028116000000001</v>
      </c>
      <c r="CL42" s="3">
        <v>24.725909999999999</v>
      </c>
      <c r="CM42" s="3">
        <v>27.659191</v>
      </c>
      <c r="CN42" s="3">
        <v>26.411048999999998</v>
      </c>
      <c r="CO42" s="3">
        <v>24.842472000000001</v>
      </c>
      <c r="CP42" s="3">
        <v>24.938535999999999</v>
      </c>
      <c r="CQ42" s="3">
        <v>26.252800000000001</v>
      </c>
      <c r="CR42" s="3">
        <v>26.668676000000001</v>
      </c>
      <c r="CS42" s="3">
        <v>28.179220000000001</v>
      </c>
      <c r="CT42" s="3">
        <v>26.391390000000001</v>
      </c>
      <c r="CU42" s="3">
        <v>24.764996</v>
      </c>
      <c r="CV42" s="3">
        <v>26.155833999999999</v>
      </c>
      <c r="CW42" s="3">
        <v>24.401941000000001</v>
      </c>
      <c r="CX42" s="3">
        <v>26.351884999999999</v>
      </c>
      <c r="CY42" s="3">
        <v>26.654350000000001</v>
      </c>
      <c r="CZ42" s="3">
        <v>28.755237999999999</v>
      </c>
      <c r="DA42" s="3">
        <v>26.414583</v>
      </c>
      <c r="DB42" s="3">
        <v>27.028925000000001</v>
      </c>
      <c r="DC42" s="3">
        <v>25.160990000000002</v>
      </c>
      <c r="DD42" s="3">
        <v>25.447979</v>
      </c>
      <c r="DE42" s="3">
        <v>26.078211</v>
      </c>
      <c r="DF42" s="3">
        <v>25.949074</v>
      </c>
      <c r="DG42" s="3">
        <v>25.304334999999998</v>
      </c>
      <c r="DH42" s="3">
        <v>24.906131999999999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19.316142700000004</v>
      </c>
      <c r="H44" s="3">
        <f>MAX(M44:GJ44)</f>
        <v>24.291830000000001</v>
      </c>
      <c r="I44" s="3">
        <f>MIN(M44:GJ44)</f>
        <v>16.449400000000001</v>
      </c>
      <c r="J44" s="3">
        <f>_xlfn.STDEV.P(M44:GJ44)</f>
        <v>1.4934617856855958</v>
      </c>
      <c r="K44" s="3">
        <f>_xlfn.VAR.S(M44:GJ44)</f>
        <v>2.2529576821244532</v>
      </c>
      <c r="M44" s="3">
        <v>20.535692000000001</v>
      </c>
      <c r="N44" s="3">
        <v>18.479824000000001</v>
      </c>
      <c r="O44" s="3">
        <v>20.855356</v>
      </c>
      <c r="P44" s="3">
        <v>18.656203999999999</v>
      </c>
      <c r="Q44" s="3">
        <v>19.602654999999999</v>
      </c>
      <c r="R44" s="3">
        <v>18.009053999999999</v>
      </c>
      <c r="S44" s="3">
        <v>21.073817999999999</v>
      </c>
      <c r="T44" s="3">
        <v>21.933264000000001</v>
      </c>
      <c r="U44" s="3">
        <v>19.588943</v>
      </c>
      <c r="V44" s="3">
        <v>17.805256</v>
      </c>
      <c r="W44" s="3">
        <v>20.594954000000001</v>
      </c>
      <c r="X44" s="3">
        <v>20.177235</v>
      </c>
      <c r="Y44" s="3">
        <v>18.903061000000001</v>
      </c>
      <c r="Z44" s="3">
        <v>18.787617000000001</v>
      </c>
      <c r="AA44" s="3">
        <v>18.363142</v>
      </c>
      <c r="AB44" s="3">
        <v>19.476687999999999</v>
      </c>
      <c r="AC44" s="3">
        <v>19.354793999999998</v>
      </c>
      <c r="AD44" s="3">
        <v>19.609659000000001</v>
      </c>
      <c r="AE44" s="3">
        <v>24.291830000000001</v>
      </c>
      <c r="AF44" s="3">
        <v>18.052944</v>
      </c>
      <c r="AG44" s="3">
        <v>19.114077000000002</v>
      </c>
      <c r="AH44" s="3">
        <v>17.490110000000001</v>
      </c>
      <c r="AI44" s="3">
        <v>21.190847000000002</v>
      </c>
      <c r="AJ44" s="3">
        <v>20.685843999999999</v>
      </c>
      <c r="AK44" s="3">
        <v>19.962703999999999</v>
      </c>
      <c r="AL44" s="3">
        <v>20.297688000000001</v>
      </c>
      <c r="AM44" s="3">
        <v>17.424816</v>
      </c>
      <c r="AN44" s="3">
        <v>17.604742000000002</v>
      </c>
      <c r="AO44" s="3">
        <v>17.256623999999999</v>
      </c>
      <c r="AP44" s="3">
        <v>18.684968999999999</v>
      </c>
      <c r="AQ44" s="3">
        <v>20.096375999999999</v>
      </c>
      <c r="AR44" s="3">
        <v>21.433764</v>
      </c>
      <c r="AS44" s="3">
        <v>22.206361999999999</v>
      </c>
      <c r="AT44" s="3">
        <v>21.014772000000001</v>
      </c>
      <c r="AU44" s="3">
        <v>17.078989</v>
      </c>
      <c r="AV44" s="3">
        <v>19.748573</v>
      </c>
      <c r="AW44" s="3">
        <v>20.503004000000001</v>
      </c>
      <c r="AX44" s="3">
        <v>20.058389999999999</v>
      </c>
      <c r="AY44" s="3">
        <v>18.308904999999999</v>
      </c>
      <c r="AZ44" s="3">
        <v>18.967106000000001</v>
      </c>
      <c r="BA44" s="3">
        <v>20.727032000000001</v>
      </c>
      <c r="BB44" s="3">
        <v>18.396208000000001</v>
      </c>
      <c r="BC44" s="3">
        <v>16.449400000000001</v>
      </c>
      <c r="BD44" s="3">
        <v>23.526793999999999</v>
      </c>
      <c r="BE44" s="3">
        <v>21.334146</v>
      </c>
      <c r="BF44" s="3">
        <v>19.920300000000001</v>
      </c>
      <c r="BG44" s="3">
        <v>19.235682000000001</v>
      </c>
      <c r="BH44" s="3">
        <v>18.358908</v>
      </c>
      <c r="BI44" s="3">
        <v>21.562428000000001</v>
      </c>
      <c r="BJ44" s="3">
        <v>19.074524</v>
      </c>
      <c r="BK44" s="3">
        <v>20.255955</v>
      </c>
      <c r="BL44" s="3">
        <v>20.409094</v>
      </c>
      <c r="BM44" s="3">
        <v>19.631537999999999</v>
      </c>
      <c r="BN44" s="3">
        <v>18.097304999999999</v>
      </c>
      <c r="BO44" s="3">
        <v>19.903538000000001</v>
      </c>
      <c r="BP44" s="3">
        <v>18.632256000000002</v>
      </c>
      <c r="BQ44" s="3">
        <v>20.970928000000001</v>
      </c>
      <c r="BR44" s="3">
        <v>19.244261000000002</v>
      </c>
      <c r="BS44" s="3">
        <v>19.031462000000001</v>
      </c>
      <c r="BT44" s="3">
        <v>17.411221999999999</v>
      </c>
      <c r="BU44" s="3">
        <v>21.303297000000001</v>
      </c>
      <c r="BV44" s="3">
        <v>20.802254000000001</v>
      </c>
      <c r="BW44" s="3">
        <v>19.551928</v>
      </c>
      <c r="BX44" s="3">
        <v>18.43759</v>
      </c>
      <c r="BY44" s="3">
        <v>19.449507000000001</v>
      </c>
      <c r="BZ44" s="3">
        <v>18.777024999999998</v>
      </c>
      <c r="CA44" s="3">
        <v>17.092784999999999</v>
      </c>
      <c r="CB44" s="3">
        <v>18.849861000000001</v>
      </c>
      <c r="CC44" s="3">
        <v>21.853864999999999</v>
      </c>
      <c r="CD44" s="3">
        <v>17.392685</v>
      </c>
      <c r="CE44" s="3">
        <v>17.988894999999999</v>
      </c>
      <c r="CF44" s="3">
        <v>17.448072</v>
      </c>
      <c r="CG44" s="3">
        <v>18.758354000000001</v>
      </c>
      <c r="CH44" s="3">
        <v>23.221004000000001</v>
      </c>
      <c r="CI44" s="3">
        <v>18.971518</v>
      </c>
      <c r="CJ44" s="3">
        <v>17.965516999999998</v>
      </c>
      <c r="CK44" s="3">
        <v>19.533442999999998</v>
      </c>
      <c r="CL44" s="3">
        <v>18.558228</v>
      </c>
      <c r="CM44" s="3">
        <v>19.677277</v>
      </c>
      <c r="CN44" s="3">
        <v>17.345313999999998</v>
      </c>
      <c r="CO44" s="3">
        <v>18.982507999999999</v>
      </c>
      <c r="CP44" s="3">
        <v>18.414532000000001</v>
      </c>
      <c r="CQ44" s="3">
        <v>20.686654999999998</v>
      </c>
      <c r="CR44" s="3">
        <v>19.139433</v>
      </c>
      <c r="CS44" s="3">
        <v>17.982265000000002</v>
      </c>
      <c r="CT44" s="3">
        <v>17.919191000000001</v>
      </c>
      <c r="CU44" s="3">
        <v>19.002748</v>
      </c>
      <c r="CV44" s="3">
        <v>20.137585000000001</v>
      </c>
      <c r="CW44" s="3">
        <v>17.646646</v>
      </c>
      <c r="CX44" s="3">
        <v>17.541537999999999</v>
      </c>
      <c r="CY44" s="3">
        <v>18.736639</v>
      </c>
      <c r="CZ44" s="3">
        <v>18.350947999999999</v>
      </c>
      <c r="DA44" s="3">
        <v>18.161149999999999</v>
      </c>
      <c r="DB44" s="3">
        <v>18.389530000000001</v>
      </c>
      <c r="DC44" s="3">
        <v>20.331457</v>
      </c>
      <c r="DD44" s="3">
        <v>18.327881000000001</v>
      </c>
      <c r="DE44" s="3">
        <v>16.647158000000001</v>
      </c>
      <c r="DF44" s="3">
        <v>19.746963999999998</v>
      </c>
      <c r="DG44" s="3">
        <v>18.947098</v>
      </c>
      <c r="DH44" s="3">
        <v>18.090292000000002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19.897092699999998</v>
      </c>
      <c r="H46" s="3">
        <f>MAX(M46:GJ46)</f>
        <v>24.427616</v>
      </c>
      <c r="I46" s="3">
        <f>MIN(M46:GJ46)</f>
        <v>13.352815</v>
      </c>
      <c r="J46" s="3">
        <f>_xlfn.STDEV.P(M46:GJ46)</f>
        <v>2.4261951653848937</v>
      </c>
      <c r="K46" s="3">
        <f>_xlfn.VAR.S(M46:GJ46)</f>
        <v>5.9458817985222492</v>
      </c>
      <c r="M46" s="3">
        <v>13.352815</v>
      </c>
      <c r="N46" s="3">
        <v>23.570179</v>
      </c>
      <c r="O46" s="3">
        <v>19.442765999999999</v>
      </c>
      <c r="P46" s="3">
        <v>23.744692000000001</v>
      </c>
      <c r="Q46" s="3">
        <v>17.772175000000001</v>
      </c>
      <c r="R46" s="3">
        <v>17.162915999999999</v>
      </c>
      <c r="S46" s="3">
        <v>20.069479000000001</v>
      </c>
      <c r="T46" s="3">
        <v>16.591677000000001</v>
      </c>
      <c r="U46" s="3">
        <v>21.78389</v>
      </c>
      <c r="V46" s="3">
        <v>22.471952000000002</v>
      </c>
      <c r="W46" s="3">
        <v>22.849495000000001</v>
      </c>
      <c r="X46" s="3">
        <v>19.942208999999998</v>
      </c>
      <c r="Y46" s="3">
        <v>17.836697000000001</v>
      </c>
      <c r="Z46" s="3">
        <v>15.634327000000001</v>
      </c>
      <c r="AA46" s="3">
        <v>18.277978999999998</v>
      </c>
      <c r="AB46" s="3">
        <v>19.984076999999999</v>
      </c>
      <c r="AC46" s="3">
        <v>23.779668999999998</v>
      </c>
      <c r="AD46" s="3">
        <v>23.486747999999999</v>
      </c>
      <c r="AE46" s="3">
        <v>21.410450000000001</v>
      </c>
      <c r="AF46" s="3">
        <v>20.438282000000001</v>
      </c>
      <c r="AG46" s="3">
        <v>18.441883000000001</v>
      </c>
      <c r="AH46" s="3">
        <v>22.090910000000001</v>
      </c>
      <c r="AI46" s="3">
        <v>22.305004</v>
      </c>
      <c r="AJ46" s="3">
        <v>23.937169999999998</v>
      </c>
      <c r="AK46" s="3">
        <v>24.427616</v>
      </c>
      <c r="AL46" s="3">
        <v>17.704910000000002</v>
      </c>
      <c r="AM46" s="3">
        <v>21.947205</v>
      </c>
      <c r="AN46" s="3">
        <v>16.245833999999999</v>
      </c>
      <c r="AO46" s="3">
        <v>22.361076000000001</v>
      </c>
      <c r="AP46" s="3">
        <v>18.392441000000002</v>
      </c>
      <c r="AQ46" s="3">
        <v>22.173555</v>
      </c>
      <c r="AR46" s="3">
        <v>16.877409</v>
      </c>
      <c r="AS46" s="3">
        <v>18.553633000000001</v>
      </c>
      <c r="AT46" s="3">
        <v>18.122077999999998</v>
      </c>
      <c r="AU46" s="3">
        <v>19.459187</v>
      </c>
      <c r="AV46" s="3">
        <v>19.933298000000001</v>
      </c>
      <c r="AW46" s="3">
        <v>18.568888000000001</v>
      </c>
      <c r="AX46" s="3">
        <v>16.831194</v>
      </c>
      <c r="AY46" s="3">
        <v>18.632453999999999</v>
      </c>
      <c r="AZ46" s="3">
        <v>18.244765999999998</v>
      </c>
      <c r="BA46" s="3">
        <v>19.041761000000001</v>
      </c>
      <c r="BB46" s="3">
        <v>23.905819000000001</v>
      </c>
      <c r="BC46" s="3">
        <v>22.775444</v>
      </c>
      <c r="BD46" s="3">
        <v>16.956102000000001</v>
      </c>
      <c r="BE46" s="3">
        <v>22.068767999999999</v>
      </c>
      <c r="BF46" s="3">
        <v>19.884827000000001</v>
      </c>
      <c r="BG46" s="3">
        <v>21.698107</v>
      </c>
      <c r="BH46" s="3">
        <v>17.70035</v>
      </c>
      <c r="BI46" s="3">
        <v>22.607294</v>
      </c>
      <c r="BJ46" s="3">
        <v>23.069395</v>
      </c>
      <c r="BK46" s="3">
        <v>16.011413999999998</v>
      </c>
      <c r="BL46" s="3">
        <v>24.163817999999999</v>
      </c>
      <c r="BM46" s="3">
        <v>17.782482000000002</v>
      </c>
      <c r="BN46" s="3">
        <v>21.646108999999999</v>
      </c>
      <c r="BO46" s="3">
        <v>18.192105999999999</v>
      </c>
      <c r="BP46" s="3">
        <v>21.221432</v>
      </c>
      <c r="BQ46" s="3">
        <v>16.470511999999999</v>
      </c>
      <c r="BR46" s="3">
        <v>19.455974999999999</v>
      </c>
      <c r="BS46" s="3">
        <v>18.207903000000002</v>
      </c>
      <c r="BT46" s="3">
        <v>19.282961</v>
      </c>
      <c r="BU46" s="3">
        <v>22.300982999999999</v>
      </c>
      <c r="BV46" s="3">
        <v>16.093519000000001</v>
      </c>
      <c r="BW46" s="3">
        <v>20.248933999999998</v>
      </c>
      <c r="BX46" s="3">
        <v>17.594044</v>
      </c>
      <c r="BY46" s="3">
        <v>19.17802</v>
      </c>
      <c r="BZ46" s="3">
        <v>19.531395</v>
      </c>
      <c r="CA46" s="3">
        <v>21.280449000000001</v>
      </c>
      <c r="CB46" s="3">
        <v>23.282088999999999</v>
      </c>
      <c r="CC46" s="3">
        <v>19.018039999999999</v>
      </c>
      <c r="CD46" s="3">
        <v>19.448477</v>
      </c>
      <c r="CE46" s="3">
        <v>20.877732999999999</v>
      </c>
      <c r="CF46" s="3">
        <v>20.918142</v>
      </c>
      <c r="CG46" s="3">
        <v>18.88785</v>
      </c>
      <c r="CH46" s="3">
        <v>22.987386999999998</v>
      </c>
      <c r="CI46" s="3">
        <v>21.183729</v>
      </c>
      <c r="CJ46" s="3">
        <v>15.997636999999999</v>
      </c>
      <c r="CK46" s="3">
        <v>23.005427999999998</v>
      </c>
      <c r="CL46" s="3">
        <v>19.835484000000001</v>
      </c>
      <c r="CM46" s="3">
        <v>21.528217000000001</v>
      </c>
      <c r="CN46" s="3">
        <v>18.544080999999998</v>
      </c>
      <c r="CO46" s="3">
        <v>21.193930000000002</v>
      </c>
      <c r="CP46" s="3">
        <v>19.254313</v>
      </c>
      <c r="CQ46" s="3">
        <v>15.701307</v>
      </c>
      <c r="CR46" s="3">
        <v>20.887319999999999</v>
      </c>
      <c r="CS46" s="3">
        <v>16.173466000000001</v>
      </c>
      <c r="CT46" s="3">
        <v>20.668154000000001</v>
      </c>
      <c r="CU46" s="3">
        <v>18.1539</v>
      </c>
      <c r="CV46" s="3">
        <v>19.471720000000001</v>
      </c>
      <c r="CW46" s="3">
        <v>18.475442999999999</v>
      </c>
      <c r="CX46" s="3">
        <v>19.055776999999999</v>
      </c>
      <c r="CY46" s="3">
        <v>17.069761</v>
      </c>
      <c r="CZ46" s="3">
        <v>23.577621000000001</v>
      </c>
      <c r="DA46" s="3">
        <v>21.262488999999999</v>
      </c>
      <c r="DB46" s="3">
        <v>21.08869</v>
      </c>
      <c r="DC46" s="3">
        <v>22.566569999999999</v>
      </c>
      <c r="DD46" s="3">
        <v>18.252604999999999</v>
      </c>
      <c r="DE46" s="3">
        <v>18.867408999999999</v>
      </c>
      <c r="DF46" s="3">
        <v>16.586243</v>
      </c>
      <c r="DG46" s="3">
        <v>19.930077000000001</v>
      </c>
      <c r="DH46" s="3">
        <v>22.735272999999999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</row>
    <row r="48" spans="2:207" x14ac:dyDescent="0.2">
      <c r="D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</row>
    <row r="49" spans="2:207" x14ac:dyDescent="0.2">
      <c r="B49" t="s">
        <v>60</v>
      </c>
      <c r="D49" s="1" t="s">
        <v>32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24.024053229999996</v>
      </c>
      <c r="H50" s="3">
        <f>MAX(M50:GJ50)</f>
        <v>33.207591999999998</v>
      </c>
      <c r="I50" s="3">
        <f>MIN(M50:GJ50)</f>
        <v>22.194220999999999</v>
      </c>
      <c r="J50" s="3">
        <f>_xlfn.STDEV.P(M50:GJ50)</f>
        <v>1.6253427077503735</v>
      </c>
      <c r="K50" s="3">
        <f>_xlfn.VAR.S(M50:GJ50)</f>
        <v>2.6684231491286021</v>
      </c>
      <c r="M50" s="3">
        <v>23.101500999999999</v>
      </c>
      <c r="N50" s="3">
        <v>27.041937000000001</v>
      </c>
      <c r="O50" s="3">
        <v>25.24614</v>
      </c>
      <c r="P50" s="3">
        <v>23.866026000000002</v>
      </c>
      <c r="Q50" s="3">
        <v>27.329094000000001</v>
      </c>
      <c r="R50" s="3">
        <v>23.911009</v>
      </c>
      <c r="S50" s="3">
        <v>23.421886000000001</v>
      </c>
      <c r="T50" s="3">
        <v>23.367467999999999</v>
      </c>
      <c r="U50" s="3">
        <v>23.155657000000001</v>
      </c>
      <c r="V50" s="3">
        <v>22.930009999999999</v>
      </c>
      <c r="W50" s="3">
        <v>24.868735999999998</v>
      </c>
      <c r="X50" s="3">
        <v>23.600017999999999</v>
      </c>
      <c r="Y50" s="3">
        <v>23.162897000000001</v>
      </c>
      <c r="Z50" s="3">
        <v>26.620940999999998</v>
      </c>
      <c r="AA50" s="3">
        <v>23.875463</v>
      </c>
      <c r="AB50" s="3">
        <v>22.801672</v>
      </c>
      <c r="AC50" s="3">
        <v>24.574345000000001</v>
      </c>
      <c r="AD50" s="3">
        <v>22.711881999999999</v>
      </c>
      <c r="AE50" s="3">
        <v>24.74184</v>
      </c>
      <c r="AF50" s="3">
        <v>23.285048</v>
      </c>
      <c r="AG50" s="3">
        <v>27.035620000000002</v>
      </c>
      <c r="AH50" s="3">
        <v>23.104897000000001</v>
      </c>
      <c r="AI50" s="3">
        <v>22.745211000000001</v>
      </c>
      <c r="AJ50" s="3">
        <v>23.121006000000001</v>
      </c>
      <c r="AK50" s="3">
        <v>25.481081</v>
      </c>
      <c r="AL50" s="3">
        <v>23.337997000000001</v>
      </c>
      <c r="AM50" s="3">
        <v>23.156808999999999</v>
      </c>
      <c r="AN50" s="3">
        <v>23.121953999999999</v>
      </c>
      <c r="AO50" s="3">
        <v>24.703555999999999</v>
      </c>
      <c r="AP50" s="3">
        <v>22.869565999999999</v>
      </c>
      <c r="AQ50" s="3">
        <v>22.77413</v>
      </c>
      <c r="AR50" s="3">
        <v>22.921364000000001</v>
      </c>
      <c r="AS50" s="3">
        <v>23.757190999999999</v>
      </c>
      <c r="AT50" s="3">
        <v>24.305841000000001</v>
      </c>
      <c r="AU50" s="3">
        <v>27.749331999999999</v>
      </c>
      <c r="AV50" s="3">
        <v>27.019065999999999</v>
      </c>
      <c r="AW50" s="3">
        <v>23.236865999999999</v>
      </c>
      <c r="AX50" s="3">
        <v>23.252275000000001</v>
      </c>
      <c r="AY50" s="3">
        <v>24.555015999999998</v>
      </c>
      <c r="AZ50" s="3">
        <v>23.355122000000001</v>
      </c>
      <c r="BA50" s="3">
        <v>22.917293999999998</v>
      </c>
      <c r="BB50" s="3">
        <v>23.271408000000001</v>
      </c>
      <c r="BC50" s="3">
        <v>22.556699999999999</v>
      </c>
      <c r="BD50" s="3">
        <v>23.529245</v>
      </c>
      <c r="BE50" s="3">
        <v>33.207591999999998</v>
      </c>
      <c r="BF50" s="3">
        <v>23.065246999999999</v>
      </c>
      <c r="BG50" s="3">
        <v>23.769026</v>
      </c>
      <c r="BH50" s="3">
        <v>24.182151999999999</v>
      </c>
      <c r="BI50" s="3">
        <v>27.94556</v>
      </c>
      <c r="BJ50" s="3">
        <v>26.014901999999999</v>
      </c>
      <c r="BK50" s="3">
        <v>22.473322</v>
      </c>
      <c r="BL50" s="3">
        <v>23.491886000000001</v>
      </c>
      <c r="BM50" s="3">
        <v>22.194220999999999</v>
      </c>
      <c r="BN50" s="3">
        <v>22.565436999999999</v>
      </c>
      <c r="BO50" s="3">
        <v>23.580584999999999</v>
      </c>
      <c r="BP50" s="3">
        <v>24.096895</v>
      </c>
      <c r="BQ50" s="3">
        <v>23.016923999999999</v>
      </c>
      <c r="BR50" s="3">
        <v>24.759492999999999</v>
      </c>
      <c r="BS50" s="3">
        <v>24.641653000000002</v>
      </c>
      <c r="BT50" s="3">
        <v>25.660191000000001</v>
      </c>
      <c r="BU50" s="3">
        <v>23.814848000000001</v>
      </c>
      <c r="BV50" s="3">
        <v>23.570141</v>
      </c>
      <c r="BW50" s="3">
        <v>22.592517999999998</v>
      </c>
      <c r="BX50" s="3">
        <v>23.765623000000001</v>
      </c>
      <c r="BY50" s="3">
        <v>24.256136000000001</v>
      </c>
      <c r="BZ50" s="3">
        <v>22.760641</v>
      </c>
      <c r="CA50" s="3">
        <v>23.497606000000001</v>
      </c>
      <c r="CB50" s="3">
        <v>22.602325</v>
      </c>
      <c r="CC50" s="3">
        <v>23.213169000000001</v>
      </c>
      <c r="CD50" s="3">
        <v>25.244613999999999</v>
      </c>
      <c r="CE50" s="3">
        <v>25.617509999999999</v>
      </c>
      <c r="CF50" s="3">
        <v>24.618269000000002</v>
      </c>
      <c r="CG50" s="3">
        <v>27.390723999999999</v>
      </c>
      <c r="CH50" s="3">
        <v>25.736084000000002</v>
      </c>
      <c r="CI50" s="3">
        <v>23.365601999999999</v>
      </c>
      <c r="CJ50" s="3">
        <v>23.891359000000001</v>
      </c>
      <c r="CK50" s="3">
        <v>22.627399</v>
      </c>
      <c r="CL50" s="3">
        <v>23.662426</v>
      </c>
      <c r="CM50" s="3">
        <v>22.785069</v>
      </c>
      <c r="CN50" s="3">
        <v>25.216474999999999</v>
      </c>
      <c r="CO50" s="3">
        <v>23.583456000000002</v>
      </c>
      <c r="CP50" s="3">
        <v>22.868547</v>
      </c>
      <c r="CQ50" s="3">
        <v>23.132923000000002</v>
      </c>
      <c r="CR50" s="3">
        <v>23.394531000000001</v>
      </c>
      <c r="CS50" s="3">
        <v>22.522621000000001</v>
      </c>
      <c r="CT50" s="3">
        <v>22.912822999999999</v>
      </c>
      <c r="CU50" s="3">
        <v>22.669150999999999</v>
      </c>
      <c r="CV50" s="3">
        <v>26.777151</v>
      </c>
      <c r="CW50" s="3">
        <v>24.832773</v>
      </c>
      <c r="CX50" s="3">
        <v>23.93572</v>
      </c>
      <c r="CY50" s="3">
        <v>22.779838999999999</v>
      </c>
      <c r="CZ50" s="3">
        <v>22.939812</v>
      </c>
      <c r="DA50" s="3">
        <v>22.647784999999999</v>
      </c>
      <c r="DB50" s="3">
        <v>22.800785000000001</v>
      </c>
      <c r="DC50" s="3">
        <v>22.510152999999999</v>
      </c>
      <c r="DD50" s="3">
        <v>24.359753000000001</v>
      </c>
      <c r="DE50" s="3">
        <v>23.665785</v>
      </c>
      <c r="DF50" s="3">
        <v>23.955732000000001</v>
      </c>
      <c r="DG50" s="3">
        <v>24.875025000000001</v>
      </c>
      <c r="DH50" s="3">
        <v>22.855217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25.522541590000007</v>
      </c>
      <c r="H52" s="3">
        <f>MAX(M52:GJ52)</f>
        <v>29.231404999999999</v>
      </c>
      <c r="I52" s="3">
        <f>MIN(M52:GJ52)</f>
        <v>22.103895000000001</v>
      </c>
      <c r="J52" s="3">
        <f>_xlfn.STDEV.P(M52:GJ52)</f>
        <v>1.5414295362573802</v>
      </c>
      <c r="K52" s="3">
        <f>_xlfn.VAR.S(M52:GJ52)</f>
        <v>2.4000050659056997</v>
      </c>
      <c r="M52" s="3">
        <v>27.89292</v>
      </c>
      <c r="N52" s="3">
        <v>24.561647000000001</v>
      </c>
      <c r="O52" s="3">
        <v>25.171161999999999</v>
      </c>
      <c r="P52" s="3">
        <v>26.411718</v>
      </c>
      <c r="Q52" s="3">
        <v>27.892769000000001</v>
      </c>
      <c r="R52" s="3">
        <v>23.094781999999999</v>
      </c>
      <c r="S52" s="3">
        <v>27.99954</v>
      </c>
      <c r="T52" s="3">
        <v>25.917618000000001</v>
      </c>
      <c r="U52" s="3">
        <v>26.646608000000001</v>
      </c>
      <c r="V52" s="3">
        <v>28.4284</v>
      </c>
      <c r="W52" s="3">
        <v>25.093781</v>
      </c>
      <c r="X52" s="3">
        <v>24.614065</v>
      </c>
      <c r="Y52" s="3">
        <v>26.659455999999999</v>
      </c>
      <c r="Z52" s="3">
        <v>23.932604000000001</v>
      </c>
      <c r="AA52" s="3">
        <v>27.454998</v>
      </c>
      <c r="AB52" s="3">
        <v>27.731059999999999</v>
      </c>
      <c r="AC52" s="3">
        <v>25.191873999999999</v>
      </c>
      <c r="AD52" s="3">
        <v>26.349457000000001</v>
      </c>
      <c r="AE52" s="3">
        <v>23.289173000000002</v>
      </c>
      <c r="AF52" s="3">
        <v>26.819872</v>
      </c>
      <c r="AG52" s="3">
        <v>29.231404999999999</v>
      </c>
      <c r="AH52" s="3">
        <v>24.939798</v>
      </c>
      <c r="AI52" s="3">
        <v>25.160017</v>
      </c>
      <c r="AJ52" s="3">
        <v>23.945243999999999</v>
      </c>
      <c r="AK52" s="3">
        <v>25.986595000000001</v>
      </c>
      <c r="AL52" s="3">
        <v>25.996566999999999</v>
      </c>
      <c r="AM52" s="3">
        <v>27.245874000000001</v>
      </c>
      <c r="AN52" s="3">
        <v>25.448124</v>
      </c>
      <c r="AO52" s="3">
        <v>27.285734000000001</v>
      </c>
      <c r="AP52" s="3">
        <v>26.910931000000001</v>
      </c>
      <c r="AQ52" s="3">
        <v>25.537013999999999</v>
      </c>
      <c r="AR52" s="3">
        <v>24.657616000000001</v>
      </c>
      <c r="AS52" s="3">
        <v>25.724159</v>
      </c>
      <c r="AT52" s="3">
        <v>24.740684999999999</v>
      </c>
      <c r="AU52" s="3">
        <v>25.810286000000001</v>
      </c>
      <c r="AV52" s="3">
        <v>24.273728999999999</v>
      </c>
      <c r="AW52" s="3">
        <v>23.650948</v>
      </c>
      <c r="AX52" s="3">
        <v>24.689412999999998</v>
      </c>
      <c r="AY52" s="3">
        <v>25.613213999999999</v>
      </c>
      <c r="AZ52" s="3">
        <v>24.42173</v>
      </c>
      <c r="BA52" s="3">
        <v>26.922744999999999</v>
      </c>
      <c r="BB52" s="3">
        <v>24.957032999999999</v>
      </c>
      <c r="BC52" s="3">
        <v>26.085484000000001</v>
      </c>
      <c r="BD52" s="3">
        <v>24.171637</v>
      </c>
      <c r="BE52" s="3">
        <v>26.850306</v>
      </c>
      <c r="BF52" s="3">
        <v>27.430620000000001</v>
      </c>
      <c r="BG52" s="3">
        <v>26.602817999999999</v>
      </c>
      <c r="BH52" s="3">
        <v>26.712714999999999</v>
      </c>
      <c r="BI52" s="3">
        <v>26.037223999999998</v>
      </c>
      <c r="BJ52" s="3">
        <v>28.581966000000001</v>
      </c>
      <c r="BK52" s="3">
        <v>26.899298000000002</v>
      </c>
      <c r="BL52" s="3">
        <v>24.168735999999999</v>
      </c>
      <c r="BM52" s="3">
        <v>23.966754999999999</v>
      </c>
      <c r="BN52" s="3">
        <v>27.160988</v>
      </c>
      <c r="BO52" s="3">
        <v>25.427727000000001</v>
      </c>
      <c r="BP52" s="3">
        <v>23.200002999999999</v>
      </c>
      <c r="BQ52" s="3">
        <v>26.294661000000001</v>
      </c>
      <c r="BR52" s="3">
        <v>25.307617</v>
      </c>
      <c r="BS52" s="3">
        <v>25.827137</v>
      </c>
      <c r="BT52" s="3">
        <v>23.097449999999998</v>
      </c>
      <c r="BU52" s="3">
        <v>22.218464000000001</v>
      </c>
      <c r="BV52" s="3">
        <v>27.462288000000001</v>
      </c>
      <c r="BW52" s="3">
        <v>26.546343</v>
      </c>
      <c r="BX52" s="3">
        <v>25.233656</v>
      </c>
      <c r="BY52" s="3">
        <v>24.117165</v>
      </c>
      <c r="BZ52" s="3">
        <v>24.363337000000001</v>
      </c>
      <c r="CA52" s="3">
        <v>24.749409</v>
      </c>
      <c r="CB52" s="3">
        <v>24.925004999999999</v>
      </c>
      <c r="CC52" s="3">
        <v>24.857877999999999</v>
      </c>
      <c r="CD52" s="3">
        <v>25.806920999999999</v>
      </c>
      <c r="CE52" s="3">
        <v>23.296648000000001</v>
      </c>
      <c r="CF52" s="3">
        <v>28.042379</v>
      </c>
      <c r="CG52" s="3">
        <v>24.029164999999999</v>
      </c>
      <c r="CH52" s="3">
        <v>24.469481999999999</v>
      </c>
      <c r="CI52" s="3">
        <v>23.057759999999998</v>
      </c>
      <c r="CJ52" s="3">
        <v>24.497402000000001</v>
      </c>
      <c r="CK52" s="3">
        <v>27.610695</v>
      </c>
      <c r="CL52" s="3">
        <v>27.765926</v>
      </c>
      <c r="CM52" s="3">
        <v>24.642901999999999</v>
      </c>
      <c r="CN52" s="3">
        <v>25.353577000000001</v>
      </c>
      <c r="CO52" s="3">
        <v>23.19858</v>
      </c>
      <c r="CP52" s="3">
        <v>27.74888</v>
      </c>
      <c r="CQ52" s="3">
        <v>24.776979000000001</v>
      </c>
      <c r="CR52" s="3">
        <v>22.656395</v>
      </c>
      <c r="CS52" s="3">
        <v>24.376965999999999</v>
      </c>
      <c r="CT52" s="3">
        <v>24.773174000000001</v>
      </c>
      <c r="CU52" s="3">
        <v>27.331575000000001</v>
      </c>
      <c r="CV52" s="3">
        <v>25.709161999999999</v>
      </c>
      <c r="CW52" s="3">
        <v>26.151197</v>
      </c>
      <c r="CX52" s="3">
        <v>25.953410999999999</v>
      </c>
      <c r="CY52" s="3">
        <v>25.486977</v>
      </c>
      <c r="CZ52" s="3">
        <v>24.279212999999999</v>
      </c>
      <c r="DA52" s="3">
        <v>24.015291000000001</v>
      </c>
      <c r="DB52" s="3">
        <v>23.027334</v>
      </c>
      <c r="DC52" s="3">
        <v>26.148336</v>
      </c>
      <c r="DD52" s="3">
        <v>26.225045999999999</v>
      </c>
      <c r="DE52" s="3">
        <v>26.503340000000001</v>
      </c>
      <c r="DF52" s="3">
        <v>26.736692000000001</v>
      </c>
      <c r="DG52" s="3">
        <v>23.879807</v>
      </c>
      <c r="DH52" s="3">
        <v>22.103895000000001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24.679403139999991</v>
      </c>
      <c r="H54" s="3">
        <f>MAX(M54:GJ54)</f>
        <v>27.546976000000001</v>
      </c>
      <c r="I54" s="3">
        <f>MIN(M54:GJ54)</f>
        <v>22.704875999999999</v>
      </c>
      <c r="J54" s="3">
        <f>_xlfn.STDEV.P(M54:GJ54)</f>
        <v>1.0933771410095974</v>
      </c>
      <c r="K54" s="3">
        <f>_xlfn.VAR.S(M54:GJ54)</f>
        <v>1.2075490631134556</v>
      </c>
      <c r="M54" s="3">
        <v>23.832602000000001</v>
      </c>
      <c r="N54" s="3">
        <v>22.708604999999999</v>
      </c>
      <c r="O54" s="3">
        <v>25.539455</v>
      </c>
      <c r="P54" s="3">
        <v>24.861919</v>
      </c>
      <c r="Q54" s="3">
        <v>23.009900999999999</v>
      </c>
      <c r="R54" s="3">
        <v>26.505371</v>
      </c>
      <c r="S54" s="3">
        <v>24.718323000000002</v>
      </c>
      <c r="T54" s="3">
        <v>24.280821</v>
      </c>
      <c r="U54" s="3">
        <v>23.419589999999999</v>
      </c>
      <c r="V54" s="3">
        <v>24.915645999999999</v>
      </c>
      <c r="W54" s="3">
        <v>23.398764</v>
      </c>
      <c r="X54" s="3">
        <v>25.491717999999999</v>
      </c>
      <c r="Y54" s="3">
        <v>23.563074</v>
      </c>
      <c r="Z54" s="3">
        <v>25.828154000000001</v>
      </c>
      <c r="AA54" s="3">
        <v>26.470590999999999</v>
      </c>
      <c r="AB54" s="3">
        <v>24.988194</v>
      </c>
      <c r="AC54" s="3">
        <v>23.542131000000001</v>
      </c>
      <c r="AD54" s="3">
        <v>24.030709999999999</v>
      </c>
      <c r="AE54" s="3">
        <v>23.953427999999999</v>
      </c>
      <c r="AF54" s="3">
        <v>23.382539999999999</v>
      </c>
      <c r="AG54" s="3">
        <v>23.883375000000001</v>
      </c>
      <c r="AH54" s="3">
        <v>23.669976999999999</v>
      </c>
      <c r="AI54" s="3">
        <v>25.160433000000001</v>
      </c>
      <c r="AJ54" s="3">
        <v>26.446527</v>
      </c>
      <c r="AK54" s="3">
        <v>24.468769000000002</v>
      </c>
      <c r="AL54" s="3">
        <v>24.965221</v>
      </c>
      <c r="AM54" s="3">
        <v>24.631466</v>
      </c>
      <c r="AN54" s="3">
        <v>24.982711999999999</v>
      </c>
      <c r="AO54" s="3">
        <v>24.741206999999999</v>
      </c>
      <c r="AP54" s="3">
        <v>22.919243000000002</v>
      </c>
      <c r="AQ54" s="3">
        <v>24.487290999999999</v>
      </c>
      <c r="AR54" s="3">
        <v>26.363842000000002</v>
      </c>
      <c r="AS54" s="3">
        <v>24.904382999999999</v>
      </c>
      <c r="AT54" s="3">
        <v>23.462554999999998</v>
      </c>
      <c r="AU54" s="3">
        <v>25.527784</v>
      </c>
      <c r="AV54" s="3">
        <v>24.024137</v>
      </c>
      <c r="AW54" s="3">
        <v>23.580556999999999</v>
      </c>
      <c r="AX54" s="3">
        <v>23.474461000000002</v>
      </c>
      <c r="AY54" s="3">
        <v>23.006350999999999</v>
      </c>
      <c r="AZ54" s="3">
        <v>24.840235</v>
      </c>
      <c r="BA54" s="3">
        <v>24.737469000000001</v>
      </c>
      <c r="BB54" s="3">
        <v>27.546976000000001</v>
      </c>
      <c r="BC54" s="3">
        <v>26.680510000000002</v>
      </c>
      <c r="BD54" s="3">
        <v>23.491893999999998</v>
      </c>
      <c r="BE54" s="3">
        <v>22.809419999999999</v>
      </c>
      <c r="BF54" s="3">
        <v>25.237622999999999</v>
      </c>
      <c r="BG54" s="3">
        <v>23.768263000000001</v>
      </c>
      <c r="BH54" s="3">
        <v>24.399177999999999</v>
      </c>
      <c r="BI54" s="3">
        <v>25.178211000000001</v>
      </c>
      <c r="BJ54" s="3">
        <v>23.413779999999999</v>
      </c>
      <c r="BK54" s="3">
        <v>24.157451999999999</v>
      </c>
      <c r="BL54" s="3">
        <v>25.279603999999999</v>
      </c>
      <c r="BM54" s="3">
        <v>24.859957000000001</v>
      </c>
      <c r="BN54" s="3">
        <v>24.771688000000001</v>
      </c>
      <c r="BO54" s="3">
        <v>24.618347</v>
      </c>
      <c r="BP54" s="3">
        <v>24.884556</v>
      </c>
      <c r="BQ54" s="3">
        <v>23.614263999999999</v>
      </c>
      <c r="BR54" s="3">
        <v>24.309443999999999</v>
      </c>
      <c r="BS54" s="3">
        <v>25.434850999999998</v>
      </c>
      <c r="BT54" s="3">
        <v>24.362096999999999</v>
      </c>
      <c r="BU54" s="3">
        <v>23.886254999999998</v>
      </c>
      <c r="BV54" s="3">
        <v>26.693548</v>
      </c>
      <c r="BW54" s="3">
        <v>25.860510000000001</v>
      </c>
      <c r="BX54" s="3">
        <v>22.704875999999999</v>
      </c>
      <c r="BY54" s="3">
        <v>26.419160999999999</v>
      </c>
      <c r="BZ54" s="3">
        <v>24.847041999999998</v>
      </c>
      <c r="CA54" s="3">
        <v>24.631926</v>
      </c>
      <c r="CB54" s="3">
        <v>24.213331</v>
      </c>
      <c r="CC54" s="3">
        <v>24.779534999999999</v>
      </c>
      <c r="CD54" s="3">
        <v>23.397465</v>
      </c>
      <c r="CE54" s="3">
        <v>25.437467999999999</v>
      </c>
      <c r="CF54" s="3">
        <v>25.729834</v>
      </c>
      <c r="CG54" s="3">
        <v>24.473300999999999</v>
      </c>
      <c r="CH54" s="3">
        <v>26.521771999999999</v>
      </c>
      <c r="CI54" s="3">
        <v>24.076575999999999</v>
      </c>
      <c r="CJ54" s="3">
        <v>25.119432</v>
      </c>
      <c r="CK54" s="3">
        <v>25.212375999999999</v>
      </c>
      <c r="CL54" s="3">
        <v>24.84169</v>
      </c>
      <c r="CM54" s="3">
        <v>26.202524</v>
      </c>
      <c r="CN54" s="3">
        <v>25.175508000000001</v>
      </c>
      <c r="CO54" s="3">
        <v>24.421198</v>
      </c>
      <c r="CP54" s="3">
        <v>23.986103</v>
      </c>
      <c r="CQ54" s="3">
        <v>24.995446999999999</v>
      </c>
      <c r="CR54" s="3">
        <v>26.153835000000001</v>
      </c>
      <c r="CS54" s="3">
        <v>27.392879000000001</v>
      </c>
      <c r="CT54" s="3">
        <v>25.398264000000001</v>
      </c>
      <c r="CU54" s="3">
        <v>22.733152</v>
      </c>
      <c r="CV54" s="3">
        <v>25.884374999999999</v>
      </c>
      <c r="CW54" s="3">
        <v>22.719023</v>
      </c>
      <c r="CX54" s="3">
        <v>24.615034000000001</v>
      </c>
      <c r="CY54" s="3">
        <v>25.263214000000001</v>
      </c>
      <c r="CZ54" s="3">
        <v>26.572371</v>
      </c>
      <c r="DA54" s="3">
        <v>24.739108999999999</v>
      </c>
      <c r="DB54" s="3">
        <v>25.209764</v>
      </c>
      <c r="DC54" s="3">
        <v>24.982306000000001</v>
      </c>
      <c r="DD54" s="3">
        <v>24.313369999999999</v>
      </c>
      <c r="DE54" s="3">
        <v>25.357346</v>
      </c>
      <c r="DF54" s="3">
        <v>24.744539</v>
      </c>
      <c r="DG54" s="3">
        <v>23.007597000000001</v>
      </c>
      <c r="DH54" s="3">
        <v>23.689610999999999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28.600734229999997</v>
      </c>
      <c r="H56" s="3">
        <f>MAX(M56:GJ56)</f>
        <v>31.991575000000001</v>
      </c>
      <c r="I56" s="3">
        <f>MIN(M56:GJ56)</f>
        <v>23.999268000000001</v>
      </c>
      <c r="J56" s="3">
        <f>_xlfn.STDEV.P(M56:GJ56)</f>
        <v>1.6204582526052305</v>
      </c>
      <c r="K56" s="3">
        <f>_xlfn.VAR.S(M56:GJ56)</f>
        <v>2.6524090388246435</v>
      </c>
      <c r="M56" s="3">
        <v>30.235963999999999</v>
      </c>
      <c r="N56" s="3">
        <v>28.583915999999999</v>
      </c>
      <c r="O56" s="3">
        <v>27.034607000000001</v>
      </c>
      <c r="P56" s="3">
        <v>27.057452999999999</v>
      </c>
      <c r="Q56" s="3">
        <v>27.475518999999998</v>
      </c>
      <c r="R56" s="3">
        <v>28.528784000000002</v>
      </c>
      <c r="S56" s="3">
        <v>27.375156</v>
      </c>
      <c r="T56" s="3">
        <v>29.784348999999999</v>
      </c>
      <c r="U56" s="3">
        <v>29.274380000000001</v>
      </c>
      <c r="V56" s="3">
        <v>26.955938</v>
      </c>
      <c r="W56" s="3">
        <v>26.510303</v>
      </c>
      <c r="X56" s="3">
        <v>28.025763000000001</v>
      </c>
      <c r="Y56" s="3">
        <v>28.125696000000001</v>
      </c>
      <c r="Z56" s="3">
        <v>28.981936000000001</v>
      </c>
      <c r="AA56" s="3">
        <v>27.601780000000002</v>
      </c>
      <c r="AB56" s="3">
        <v>30.312301999999999</v>
      </c>
      <c r="AC56" s="3">
        <v>27.127383999999999</v>
      </c>
      <c r="AD56" s="3">
        <v>30.653403999999998</v>
      </c>
      <c r="AE56" s="3">
        <v>24.308720000000001</v>
      </c>
      <c r="AF56" s="3">
        <v>30.138947000000002</v>
      </c>
      <c r="AG56" s="3">
        <v>30.411584999999999</v>
      </c>
      <c r="AH56" s="3">
        <v>28.311283</v>
      </c>
      <c r="AI56" s="3">
        <v>29.557461</v>
      </c>
      <c r="AJ56" s="3">
        <v>26.085463000000001</v>
      </c>
      <c r="AK56" s="3">
        <v>28.422737000000001</v>
      </c>
      <c r="AL56" s="3">
        <v>28.812854999999999</v>
      </c>
      <c r="AM56" s="3">
        <v>29.656580000000002</v>
      </c>
      <c r="AN56" s="3">
        <v>29.311299999999999</v>
      </c>
      <c r="AO56" s="3">
        <v>27.10416</v>
      </c>
      <c r="AP56" s="3">
        <v>26.792415999999999</v>
      </c>
      <c r="AQ56" s="3">
        <v>30.300121000000001</v>
      </c>
      <c r="AR56" s="3">
        <v>29.219090000000001</v>
      </c>
      <c r="AS56" s="3">
        <v>28.472522999999999</v>
      </c>
      <c r="AT56" s="3">
        <v>30.390146000000001</v>
      </c>
      <c r="AU56" s="3">
        <v>29.901499000000001</v>
      </c>
      <c r="AV56" s="3">
        <v>30.877383999999999</v>
      </c>
      <c r="AW56" s="3">
        <v>29.242194999999999</v>
      </c>
      <c r="AX56" s="3">
        <v>26.017258000000002</v>
      </c>
      <c r="AY56" s="3">
        <v>26.072666000000002</v>
      </c>
      <c r="AZ56" s="3">
        <v>28.101247999999998</v>
      </c>
      <c r="BA56" s="3">
        <v>30.652151</v>
      </c>
      <c r="BB56" s="3">
        <v>28.598801000000002</v>
      </c>
      <c r="BC56" s="3">
        <v>30.382355</v>
      </c>
      <c r="BD56" s="3">
        <v>28.614687</v>
      </c>
      <c r="BE56" s="3">
        <v>31.991575000000001</v>
      </c>
      <c r="BF56" s="3">
        <v>29.447081000000001</v>
      </c>
      <c r="BG56" s="3">
        <v>29.760505999999999</v>
      </c>
      <c r="BH56" s="3">
        <v>28.648921999999999</v>
      </c>
      <c r="BI56" s="3">
        <v>29.381305999999999</v>
      </c>
      <c r="BJ56" s="3">
        <v>30.275347</v>
      </c>
      <c r="BK56" s="3">
        <v>30.202128999999999</v>
      </c>
      <c r="BL56" s="3">
        <v>30.400043</v>
      </c>
      <c r="BM56" s="3">
        <v>26.350615999999999</v>
      </c>
      <c r="BN56" s="3">
        <v>26.505911000000001</v>
      </c>
      <c r="BO56" s="3">
        <v>26.661221999999999</v>
      </c>
      <c r="BP56" s="3">
        <v>28.240376999999999</v>
      </c>
      <c r="BQ56" s="3">
        <v>26.680178000000002</v>
      </c>
      <c r="BR56" s="3">
        <v>30.319676999999999</v>
      </c>
      <c r="BS56" s="3">
        <v>29.220917</v>
      </c>
      <c r="BT56" s="3">
        <v>28.027799999999999</v>
      </c>
      <c r="BU56" s="3">
        <v>27.755405</v>
      </c>
      <c r="BV56" s="3">
        <v>28.328959000000001</v>
      </c>
      <c r="BW56" s="3">
        <v>29.487864999999999</v>
      </c>
      <c r="BX56" s="3">
        <v>28.476274</v>
      </c>
      <c r="BY56" s="3">
        <v>26.734950999999999</v>
      </c>
      <c r="BZ56" s="3">
        <v>29.762701</v>
      </c>
      <c r="CA56" s="3">
        <v>29.064654999999998</v>
      </c>
      <c r="CB56" s="3">
        <v>26.093900999999999</v>
      </c>
      <c r="CC56" s="3">
        <v>24.078531000000002</v>
      </c>
      <c r="CD56" s="3">
        <v>29.508768</v>
      </c>
      <c r="CE56" s="3">
        <v>29.219162000000001</v>
      </c>
      <c r="CF56" s="3">
        <v>29.809750000000001</v>
      </c>
      <c r="CG56" s="3">
        <v>27.740411999999999</v>
      </c>
      <c r="CH56" s="3">
        <v>26.129017000000001</v>
      </c>
      <c r="CI56" s="3">
        <v>28.222249999999999</v>
      </c>
      <c r="CJ56" s="3">
        <v>27.822642999999999</v>
      </c>
      <c r="CK56" s="3">
        <v>29.679438000000001</v>
      </c>
      <c r="CL56" s="3">
        <v>27.989882999999999</v>
      </c>
      <c r="CM56" s="3">
        <v>26.256235</v>
      </c>
      <c r="CN56" s="3">
        <v>26.84713</v>
      </c>
      <c r="CO56" s="3">
        <v>29.197239</v>
      </c>
      <c r="CP56" s="3">
        <v>28.528362000000001</v>
      </c>
      <c r="CQ56" s="3">
        <v>23.999268000000001</v>
      </c>
      <c r="CR56" s="3">
        <v>29.091263000000001</v>
      </c>
      <c r="CS56" s="3">
        <v>27.703917000000001</v>
      </c>
      <c r="CT56" s="3">
        <v>30.065470000000001</v>
      </c>
      <c r="CU56" s="3">
        <v>29.899172</v>
      </c>
      <c r="CV56" s="3">
        <v>29.505409</v>
      </c>
      <c r="CW56" s="3">
        <v>26.181978000000001</v>
      </c>
      <c r="CX56" s="3">
        <v>30.976965</v>
      </c>
      <c r="CY56" s="3">
        <v>29.445625</v>
      </c>
      <c r="CZ56" s="3">
        <v>29.378405000000001</v>
      </c>
      <c r="DA56" s="3">
        <v>29.394812000000002</v>
      </c>
      <c r="DB56" s="3">
        <v>28.954445</v>
      </c>
      <c r="DC56" s="3">
        <v>31.918945000000001</v>
      </c>
      <c r="DD56" s="3">
        <v>29.524426999999999</v>
      </c>
      <c r="DE56" s="3">
        <v>30.147358000000001</v>
      </c>
      <c r="DF56" s="3">
        <v>29.958036</v>
      </c>
      <c r="DG56" s="3">
        <v>30.864197000000001</v>
      </c>
      <c r="DH56" s="3">
        <v>28.816327999999999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26.779134969999994</v>
      </c>
      <c r="H58" s="3">
        <f>MAX(M58:GJ58)</f>
        <v>31.039061</v>
      </c>
      <c r="I58" s="3">
        <f>MIN(M58:GJ58)</f>
        <v>21.941780000000001</v>
      </c>
      <c r="J58" s="3">
        <f>_xlfn.STDEV.P(M58:GJ58)</f>
        <v>1.8742152630106792</v>
      </c>
      <c r="K58" s="3">
        <f>_xlfn.VAR.S(M58:GJ58)</f>
        <v>3.5481644970729183</v>
      </c>
      <c r="M58" s="3">
        <v>28.510542000000001</v>
      </c>
      <c r="N58" s="3">
        <v>23.099665000000002</v>
      </c>
      <c r="O58" s="3">
        <v>25.551711999999998</v>
      </c>
      <c r="P58" s="3">
        <v>28.378067000000001</v>
      </c>
      <c r="Q58" s="3">
        <v>27.357714000000001</v>
      </c>
      <c r="R58" s="3">
        <v>25.718239000000001</v>
      </c>
      <c r="S58" s="3">
        <v>25.641235000000002</v>
      </c>
      <c r="T58" s="3">
        <v>27.068279</v>
      </c>
      <c r="U58" s="3">
        <v>25.899601000000001</v>
      </c>
      <c r="V58" s="3">
        <v>24.850383999999998</v>
      </c>
      <c r="W58" s="3">
        <v>27.949017000000001</v>
      </c>
      <c r="X58" s="3">
        <v>25.901215000000001</v>
      </c>
      <c r="Y58" s="3">
        <v>28.689045</v>
      </c>
      <c r="Z58" s="3">
        <v>29.613454999999998</v>
      </c>
      <c r="AA58" s="3">
        <v>27.936823</v>
      </c>
      <c r="AB58" s="3">
        <v>30.926926000000002</v>
      </c>
      <c r="AC58" s="3">
        <v>28.117279</v>
      </c>
      <c r="AD58" s="3">
        <v>23.640523999999999</v>
      </c>
      <c r="AE58" s="3">
        <v>27.266200999999999</v>
      </c>
      <c r="AF58" s="3">
        <v>23.209862000000001</v>
      </c>
      <c r="AG58" s="3">
        <v>24.690211999999999</v>
      </c>
      <c r="AH58" s="3">
        <v>25.133419</v>
      </c>
      <c r="AI58" s="3">
        <v>27.196353999999999</v>
      </c>
      <c r="AJ58" s="3">
        <v>24.284407000000002</v>
      </c>
      <c r="AK58" s="3">
        <v>26.740545000000001</v>
      </c>
      <c r="AL58" s="3">
        <v>27.275116000000001</v>
      </c>
      <c r="AM58" s="3">
        <v>28.896967</v>
      </c>
      <c r="AN58" s="3">
        <v>28.372067999999999</v>
      </c>
      <c r="AO58" s="3">
        <v>27.536766</v>
      </c>
      <c r="AP58" s="3">
        <v>30.154879000000001</v>
      </c>
      <c r="AQ58" s="3">
        <v>26.338370999999999</v>
      </c>
      <c r="AR58" s="3">
        <v>27.953700999999999</v>
      </c>
      <c r="AS58" s="3">
        <v>25.702888000000002</v>
      </c>
      <c r="AT58" s="3">
        <v>28.28397</v>
      </c>
      <c r="AU58" s="3">
        <v>26.946885999999999</v>
      </c>
      <c r="AV58" s="3">
        <v>27.380495</v>
      </c>
      <c r="AW58" s="3">
        <v>25.704726999999998</v>
      </c>
      <c r="AX58" s="3">
        <v>25.780380000000001</v>
      </c>
      <c r="AY58" s="3">
        <v>29.248778999999999</v>
      </c>
      <c r="AZ58" s="3">
        <v>27.855695999999998</v>
      </c>
      <c r="BA58" s="3">
        <v>29.054791999999999</v>
      </c>
      <c r="BB58" s="3">
        <v>25.632104999999999</v>
      </c>
      <c r="BC58" s="3">
        <v>26.159625999999999</v>
      </c>
      <c r="BD58" s="3">
        <v>28.342517999999998</v>
      </c>
      <c r="BE58" s="3">
        <v>21.941780000000001</v>
      </c>
      <c r="BF58" s="3">
        <v>24.818171</v>
      </c>
      <c r="BG58" s="3">
        <v>24.807832999999999</v>
      </c>
      <c r="BH58" s="3">
        <v>25.191917</v>
      </c>
      <c r="BI58" s="3">
        <v>24.721319000000001</v>
      </c>
      <c r="BJ58" s="3">
        <v>23.685580999999999</v>
      </c>
      <c r="BK58" s="3">
        <v>27.243963000000001</v>
      </c>
      <c r="BL58" s="3">
        <v>27.674392999999998</v>
      </c>
      <c r="BM58" s="3">
        <v>27.196225999999999</v>
      </c>
      <c r="BN58" s="3">
        <v>27.235430000000001</v>
      </c>
      <c r="BO58" s="3">
        <v>29.867853</v>
      </c>
      <c r="BP58" s="3">
        <v>27.734618999999999</v>
      </c>
      <c r="BQ58" s="3">
        <v>25.972992000000001</v>
      </c>
      <c r="BR58" s="3">
        <v>27.931047</v>
      </c>
      <c r="BS58" s="3">
        <v>29.553431</v>
      </c>
      <c r="BT58" s="3">
        <v>24.706047000000002</v>
      </c>
      <c r="BU58" s="3">
        <v>29.233066999999998</v>
      </c>
      <c r="BV58" s="3">
        <v>28.347244</v>
      </c>
      <c r="BW58" s="3">
        <v>27.367048</v>
      </c>
      <c r="BX58" s="3">
        <v>27.626728</v>
      </c>
      <c r="BY58" s="3">
        <v>29.298646999999999</v>
      </c>
      <c r="BZ58" s="3">
        <v>29.722801</v>
      </c>
      <c r="CA58" s="3">
        <v>26.660996999999998</v>
      </c>
      <c r="CB58" s="3">
        <v>24.555123999999999</v>
      </c>
      <c r="CC58" s="3">
        <v>27.823564999999999</v>
      </c>
      <c r="CD58" s="3">
        <v>23.599212999999999</v>
      </c>
      <c r="CE58" s="3">
        <v>23.634136000000002</v>
      </c>
      <c r="CF58" s="3">
        <v>23.691088000000001</v>
      </c>
      <c r="CG58" s="3">
        <v>24.993523</v>
      </c>
      <c r="CH58" s="3">
        <v>25.461404999999999</v>
      </c>
      <c r="CI58" s="3">
        <v>28.240551</v>
      </c>
      <c r="CJ58" s="3">
        <v>26.092466000000002</v>
      </c>
      <c r="CK58" s="3">
        <v>26.737928</v>
      </c>
      <c r="CL58" s="3">
        <v>25.685199999999998</v>
      </c>
      <c r="CM58" s="3">
        <v>28.037355000000002</v>
      </c>
      <c r="CN58" s="3">
        <v>31.013898999999999</v>
      </c>
      <c r="CO58" s="3">
        <v>26.011649999999999</v>
      </c>
      <c r="CP58" s="3">
        <v>27.347352999999998</v>
      </c>
      <c r="CQ58" s="3">
        <v>27.903974999999999</v>
      </c>
      <c r="CR58" s="3">
        <v>26.459505</v>
      </c>
      <c r="CS58" s="3">
        <v>26.642807000000001</v>
      </c>
      <c r="CT58" s="3">
        <v>27.016193000000001</v>
      </c>
      <c r="CU58" s="3">
        <v>27.85117</v>
      </c>
      <c r="CV58" s="3">
        <v>27.750928999999999</v>
      </c>
      <c r="CW58" s="3">
        <v>26.718896999999998</v>
      </c>
      <c r="CX58" s="3">
        <v>26.727012999999999</v>
      </c>
      <c r="CY58" s="3">
        <v>31.039061</v>
      </c>
      <c r="CZ58" s="3">
        <v>25.298676</v>
      </c>
      <c r="DA58" s="3">
        <v>24.329574999999998</v>
      </c>
      <c r="DB58" s="3">
        <v>25.773326999999998</v>
      </c>
      <c r="DC58" s="3">
        <v>23.798437</v>
      </c>
      <c r="DD58" s="3">
        <v>26.53792</v>
      </c>
      <c r="DE58" s="3">
        <v>24.909127999999999</v>
      </c>
      <c r="DF58" s="3">
        <v>28.199427</v>
      </c>
      <c r="DG58" s="3">
        <v>25.860261999999999</v>
      </c>
      <c r="DH58" s="3">
        <v>27.642153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</row>
    <row r="60" spans="2:207" x14ac:dyDescent="0.2"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</row>
    <row r="61" spans="2:207" x14ac:dyDescent="0.2">
      <c r="B61" t="s">
        <v>60</v>
      </c>
      <c r="D61" s="1" t="s">
        <v>37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34.039677810000001</v>
      </c>
      <c r="H62" s="3">
        <f>MAX(M62:GJ62)</f>
        <v>42.601405999999997</v>
      </c>
      <c r="I62" s="3">
        <f>MIN(M62:GJ62)</f>
        <v>31.996445000000001</v>
      </c>
      <c r="J62" s="3">
        <f>_xlfn.STDEV.P(M62:GJ62)</f>
        <v>1.4785309596791449</v>
      </c>
      <c r="K62" s="3">
        <f>_xlfn.VAR.S(M62:GJ62)</f>
        <v>2.2081351502320539</v>
      </c>
      <c r="M62" s="3">
        <v>33.593474999999998</v>
      </c>
      <c r="N62" s="3">
        <v>35.940376000000001</v>
      </c>
      <c r="O62" s="3">
        <v>34.007271000000003</v>
      </c>
      <c r="P62" s="3">
        <v>34.030624000000003</v>
      </c>
      <c r="Q62" s="3">
        <v>38.400509</v>
      </c>
      <c r="R62" s="3">
        <v>32.872123999999999</v>
      </c>
      <c r="S62" s="3">
        <v>33.115017000000002</v>
      </c>
      <c r="T62" s="3">
        <v>34.109341000000001</v>
      </c>
      <c r="U62" s="3">
        <v>33.858035999999998</v>
      </c>
      <c r="V62" s="3">
        <v>33.998824999999997</v>
      </c>
      <c r="W62" s="3">
        <v>34.139274999999998</v>
      </c>
      <c r="X62" s="3">
        <v>33.952660000000002</v>
      </c>
      <c r="Y62" s="3">
        <v>33.065055999999998</v>
      </c>
      <c r="Z62" s="3">
        <v>35.799736000000003</v>
      </c>
      <c r="AA62" s="3">
        <v>34.027512000000002</v>
      </c>
      <c r="AB62" s="3">
        <v>33.687927000000002</v>
      </c>
      <c r="AC62" s="3">
        <v>32.635086000000001</v>
      </c>
      <c r="AD62" s="3">
        <v>33.400047000000001</v>
      </c>
      <c r="AE62" s="3">
        <v>33.741000999999997</v>
      </c>
      <c r="AF62" s="3">
        <v>33.419314999999997</v>
      </c>
      <c r="AG62" s="3">
        <v>36.648032999999998</v>
      </c>
      <c r="AH62" s="3">
        <v>31.996445000000001</v>
      </c>
      <c r="AI62" s="3">
        <v>33.606921999999997</v>
      </c>
      <c r="AJ62" s="3">
        <v>33.812969000000002</v>
      </c>
      <c r="AK62" s="3">
        <v>33.934631000000003</v>
      </c>
      <c r="AL62" s="3">
        <v>33.167717000000003</v>
      </c>
      <c r="AM62" s="3">
        <v>33.372405999999998</v>
      </c>
      <c r="AN62" s="3">
        <v>32.994923</v>
      </c>
      <c r="AO62" s="3">
        <v>34.855099000000003</v>
      </c>
      <c r="AP62" s="3">
        <v>32.923096000000001</v>
      </c>
      <c r="AQ62" s="3">
        <v>33.378104999999998</v>
      </c>
      <c r="AR62" s="3">
        <v>33.838745000000003</v>
      </c>
      <c r="AS62" s="3">
        <v>32.283217999999998</v>
      </c>
      <c r="AT62" s="3">
        <v>33.586390999999999</v>
      </c>
      <c r="AU62" s="3">
        <v>37.349322999999998</v>
      </c>
      <c r="AV62" s="3">
        <v>37.064030000000002</v>
      </c>
      <c r="AW62" s="3">
        <v>33.258713</v>
      </c>
      <c r="AX62" s="3">
        <v>32.394489</v>
      </c>
      <c r="AY62" s="3">
        <v>34.197144000000002</v>
      </c>
      <c r="AZ62" s="3">
        <v>33.656055000000002</v>
      </c>
      <c r="BA62" s="3">
        <v>33.906726999999997</v>
      </c>
      <c r="BB62" s="3">
        <v>33.320869000000002</v>
      </c>
      <c r="BC62" s="3">
        <v>33.388641</v>
      </c>
      <c r="BD62" s="3">
        <v>33.628673999999997</v>
      </c>
      <c r="BE62" s="3">
        <v>42.601405999999997</v>
      </c>
      <c r="BF62" s="3">
        <v>33.240768000000003</v>
      </c>
      <c r="BG62" s="3">
        <v>33.345722000000002</v>
      </c>
      <c r="BH62" s="3">
        <v>34.939903000000001</v>
      </c>
      <c r="BI62" s="3">
        <v>36.487563999999999</v>
      </c>
      <c r="BJ62" s="3">
        <v>35.101073999999997</v>
      </c>
      <c r="BK62" s="3">
        <v>33.182938</v>
      </c>
      <c r="BL62" s="3">
        <v>32.487839000000001</v>
      </c>
      <c r="BM62" s="3">
        <v>33.330314999999999</v>
      </c>
      <c r="BN62" s="3">
        <v>32.729667999999997</v>
      </c>
      <c r="BO62" s="3">
        <v>33.546272000000002</v>
      </c>
      <c r="BP62" s="3">
        <v>35.066200000000002</v>
      </c>
      <c r="BQ62" s="3">
        <v>33.174430999999998</v>
      </c>
      <c r="BR62" s="3">
        <v>35.228489000000003</v>
      </c>
      <c r="BS62" s="3">
        <v>34.896019000000003</v>
      </c>
      <c r="BT62" s="3">
        <v>34.041004000000001</v>
      </c>
      <c r="BU62" s="3">
        <v>32.620654999999999</v>
      </c>
      <c r="BV62" s="3">
        <v>32.432724</v>
      </c>
      <c r="BW62" s="3">
        <v>33.167521999999998</v>
      </c>
      <c r="BX62" s="3">
        <v>32.801490999999999</v>
      </c>
      <c r="BY62" s="3">
        <v>34.640101999999999</v>
      </c>
      <c r="BZ62" s="3">
        <v>33.900700000000001</v>
      </c>
      <c r="CA62" s="3">
        <v>33.507198000000002</v>
      </c>
      <c r="CB62" s="3">
        <v>33.496966999999998</v>
      </c>
      <c r="CC62" s="3">
        <v>34.029586999999999</v>
      </c>
      <c r="CD62" s="3">
        <v>34.582253000000001</v>
      </c>
      <c r="CE62" s="3">
        <v>35.666035000000001</v>
      </c>
      <c r="CF62" s="3">
        <v>34.633549000000002</v>
      </c>
      <c r="CG62" s="3">
        <v>36.87923</v>
      </c>
      <c r="CH62" s="3">
        <v>35.822346000000003</v>
      </c>
      <c r="CI62" s="3">
        <v>33.219920999999999</v>
      </c>
      <c r="CJ62" s="3">
        <v>33.970160999999997</v>
      </c>
      <c r="CK62" s="3">
        <v>33.246220000000001</v>
      </c>
      <c r="CL62" s="3">
        <v>33.307529000000002</v>
      </c>
      <c r="CM62" s="3">
        <v>33.455410000000001</v>
      </c>
      <c r="CN62" s="3">
        <v>34.415142000000003</v>
      </c>
      <c r="CO62" s="3">
        <v>33.264557000000003</v>
      </c>
      <c r="CP62" s="3">
        <v>33.185676999999998</v>
      </c>
      <c r="CQ62" s="3">
        <v>33.287692999999997</v>
      </c>
      <c r="CR62" s="3">
        <v>33.395653000000003</v>
      </c>
      <c r="CS62" s="3">
        <v>33.461345999999999</v>
      </c>
      <c r="CT62" s="3">
        <v>33.220592000000003</v>
      </c>
      <c r="CU62" s="3">
        <v>33.157902</v>
      </c>
      <c r="CV62" s="3">
        <v>37.242480999999998</v>
      </c>
      <c r="CW62" s="3">
        <v>35.004089</v>
      </c>
      <c r="CX62" s="3">
        <v>33.985396999999999</v>
      </c>
      <c r="CY62" s="3">
        <v>33.368546000000002</v>
      </c>
      <c r="CZ62" s="3">
        <v>32.165168999999999</v>
      </c>
      <c r="DA62" s="3">
        <v>32.677146999999998</v>
      </c>
      <c r="DB62" s="3">
        <v>34.102203000000003</v>
      </c>
      <c r="DC62" s="3">
        <v>33.211426000000003</v>
      </c>
      <c r="DD62" s="3">
        <v>34.840698000000003</v>
      </c>
      <c r="DE62" s="3">
        <v>32.866982</v>
      </c>
      <c r="DF62" s="3">
        <v>35.143433000000002</v>
      </c>
      <c r="DG62" s="3">
        <v>34.976269000000002</v>
      </c>
      <c r="DH62" s="3">
        <v>33.859589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38.312296889999992</v>
      </c>
      <c r="H64" s="3">
        <f>MAX(M64:GJ64)</f>
        <v>42.544964</v>
      </c>
      <c r="I64" s="3">
        <f>MIN(M64:GJ64)</f>
        <v>33.209522</v>
      </c>
      <c r="J64" s="3">
        <f>_xlfn.STDEV.P(M64:GJ64)</f>
        <v>2.1866944824774399</v>
      </c>
      <c r="K64" s="3">
        <f>_xlfn.VAR.S(M64:GJ64)</f>
        <v>4.829932080502302</v>
      </c>
      <c r="M64" s="3">
        <v>41.372166</v>
      </c>
      <c r="N64" s="3">
        <v>33.209522</v>
      </c>
      <c r="O64" s="3">
        <v>42.526794000000002</v>
      </c>
      <c r="P64" s="3">
        <v>39.564929999999997</v>
      </c>
      <c r="Q64" s="3">
        <v>42.365177000000003</v>
      </c>
      <c r="R64" s="3">
        <v>33.800300999999997</v>
      </c>
      <c r="S64" s="3">
        <v>38.202145000000002</v>
      </c>
      <c r="T64" s="3">
        <v>37.714001000000003</v>
      </c>
      <c r="U64" s="3">
        <v>38.971809</v>
      </c>
      <c r="V64" s="3">
        <v>42.544964</v>
      </c>
      <c r="W64" s="3">
        <v>38.418559999999999</v>
      </c>
      <c r="X64" s="3">
        <v>39.961368999999998</v>
      </c>
      <c r="Y64" s="3">
        <v>40.736365999999997</v>
      </c>
      <c r="Z64" s="3">
        <v>37.685626999999997</v>
      </c>
      <c r="AA64" s="3">
        <v>39.889476999999999</v>
      </c>
      <c r="AB64" s="3">
        <v>41.896614</v>
      </c>
      <c r="AC64" s="3">
        <v>37.778492</v>
      </c>
      <c r="AD64" s="3">
        <v>40.771000000000001</v>
      </c>
      <c r="AE64" s="3">
        <v>36.133246999999997</v>
      </c>
      <c r="AF64" s="3">
        <v>38.008194000000003</v>
      </c>
      <c r="AG64" s="3">
        <v>37.400523999999997</v>
      </c>
      <c r="AH64" s="3">
        <v>38.522686</v>
      </c>
      <c r="AI64" s="3">
        <v>40.974266</v>
      </c>
      <c r="AJ64" s="3">
        <v>35.367297999999998</v>
      </c>
      <c r="AK64" s="3">
        <v>38.731273999999999</v>
      </c>
      <c r="AL64" s="3">
        <v>38.532871</v>
      </c>
      <c r="AM64" s="3">
        <v>33.589489</v>
      </c>
      <c r="AN64" s="3">
        <v>37.492195000000002</v>
      </c>
      <c r="AO64" s="3">
        <v>41.921714999999999</v>
      </c>
      <c r="AP64" s="3">
        <v>41.648429999999998</v>
      </c>
      <c r="AQ64" s="3">
        <v>37.186455000000002</v>
      </c>
      <c r="AR64" s="3">
        <v>34.646965000000002</v>
      </c>
      <c r="AS64" s="3">
        <v>39.045783999999998</v>
      </c>
      <c r="AT64" s="3">
        <v>38.991089000000002</v>
      </c>
      <c r="AU64" s="3">
        <v>38.009265999999997</v>
      </c>
      <c r="AV64" s="3">
        <v>35.087429</v>
      </c>
      <c r="AW64" s="3">
        <v>37.733727000000002</v>
      </c>
      <c r="AX64" s="3">
        <v>38.059486</v>
      </c>
      <c r="AY64" s="3">
        <v>37.358184999999999</v>
      </c>
      <c r="AZ64" s="3">
        <v>37.021236000000002</v>
      </c>
      <c r="BA64" s="3">
        <v>40.476925000000001</v>
      </c>
      <c r="BB64" s="3">
        <v>38.727736999999998</v>
      </c>
      <c r="BC64" s="3">
        <v>39.433017999999997</v>
      </c>
      <c r="BD64" s="3">
        <v>39.296039999999998</v>
      </c>
      <c r="BE64" s="3">
        <v>37.940837999999999</v>
      </c>
      <c r="BF64" s="3">
        <v>40.666182999999997</v>
      </c>
      <c r="BG64" s="3">
        <v>41.259441000000002</v>
      </c>
      <c r="BH64" s="3">
        <v>40.407145999999997</v>
      </c>
      <c r="BI64" s="3">
        <v>41.774979000000002</v>
      </c>
      <c r="BJ64" s="3">
        <v>40.216667000000001</v>
      </c>
      <c r="BK64" s="3">
        <v>37.542458000000003</v>
      </c>
      <c r="BL64" s="3">
        <v>35.531756999999999</v>
      </c>
      <c r="BM64" s="3">
        <v>39.529629</v>
      </c>
      <c r="BN64" s="3">
        <v>40.292786</v>
      </c>
      <c r="BO64" s="3">
        <v>40.660015000000001</v>
      </c>
      <c r="BP64" s="3">
        <v>36.186034999999997</v>
      </c>
      <c r="BQ64" s="3">
        <v>38.927635000000002</v>
      </c>
      <c r="BR64" s="3">
        <v>38.947609</v>
      </c>
      <c r="BS64" s="3">
        <v>35.489384000000001</v>
      </c>
      <c r="BT64" s="3">
        <v>36.203628999999999</v>
      </c>
      <c r="BU64" s="3">
        <v>34.900620000000004</v>
      </c>
      <c r="BV64" s="3">
        <v>37.779152000000003</v>
      </c>
      <c r="BW64" s="3">
        <v>41.256546</v>
      </c>
      <c r="BX64" s="3">
        <v>34.896560999999998</v>
      </c>
      <c r="BY64" s="3">
        <v>36.647491000000002</v>
      </c>
      <c r="BZ64" s="3">
        <v>39.607886999999998</v>
      </c>
      <c r="CA64" s="3">
        <v>36.918101999999998</v>
      </c>
      <c r="CB64" s="3">
        <v>40.377903000000003</v>
      </c>
      <c r="CC64" s="3">
        <v>41.485638000000002</v>
      </c>
      <c r="CD64" s="3">
        <v>37.694870000000002</v>
      </c>
      <c r="CE64" s="3">
        <v>35.315185999999997</v>
      </c>
      <c r="CF64" s="3">
        <v>40.69894</v>
      </c>
      <c r="CG64" s="3">
        <v>39.842376999999999</v>
      </c>
      <c r="CH64" s="3">
        <v>35.110213999999999</v>
      </c>
      <c r="CI64" s="3">
        <v>34.341014999999999</v>
      </c>
      <c r="CJ64" s="3">
        <v>35.783088999999997</v>
      </c>
      <c r="CK64" s="3">
        <v>39.434227</v>
      </c>
      <c r="CL64" s="3">
        <v>40.253489999999999</v>
      </c>
      <c r="CM64" s="3">
        <v>38.717533000000003</v>
      </c>
      <c r="CN64" s="3">
        <v>38.893405999999999</v>
      </c>
      <c r="CO64" s="3">
        <v>36.814632000000003</v>
      </c>
      <c r="CP64" s="3">
        <v>39.100746000000001</v>
      </c>
      <c r="CQ64" s="3">
        <v>38.610725000000002</v>
      </c>
      <c r="CR64" s="3">
        <v>37.359172999999998</v>
      </c>
      <c r="CS64" s="3">
        <v>37.465857999999997</v>
      </c>
      <c r="CT64" s="3">
        <v>36.694450000000003</v>
      </c>
      <c r="CU64" s="3">
        <v>37.432502999999997</v>
      </c>
      <c r="CV64" s="3">
        <v>41.203055999999997</v>
      </c>
      <c r="CW64" s="3">
        <v>36.748226000000003</v>
      </c>
      <c r="CX64" s="3">
        <v>39.094749</v>
      </c>
      <c r="CY64" s="3">
        <v>37.686008000000001</v>
      </c>
      <c r="CZ64" s="3">
        <v>35.206470000000003</v>
      </c>
      <c r="DA64" s="3">
        <v>39.721603000000002</v>
      </c>
      <c r="DB64" s="3">
        <v>35.639679000000001</v>
      </c>
      <c r="DC64" s="3">
        <v>37.948196000000003</v>
      </c>
      <c r="DD64" s="3">
        <v>38.075329000000004</v>
      </c>
      <c r="DE64" s="3">
        <v>36.746090000000002</v>
      </c>
      <c r="DF64" s="3">
        <v>38.818210999999998</v>
      </c>
      <c r="DG64" s="3">
        <v>37.419486999999997</v>
      </c>
      <c r="DH64" s="3">
        <v>35.109214999999999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41.086971000000005</v>
      </c>
      <c r="H66" s="3">
        <f>MAX(M66:GJ66)</f>
        <v>44.010426000000002</v>
      </c>
      <c r="I66" s="3">
        <f>MIN(M66:GJ66)</f>
        <v>36.965274999999998</v>
      </c>
      <c r="J66" s="3">
        <f>_xlfn.STDEV.P(M66:GJ66)</f>
        <v>1.2516632617596959</v>
      </c>
      <c r="K66" s="3">
        <f>_xlfn.VAR.S(M66:GJ66)</f>
        <v>1.5824857786251727</v>
      </c>
      <c r="M66" s="3">
        <v>41.696120999999998</v>
      </c>
      <c r="N66" s="3">
        <v>40.289295000000003</v>
      </c>
      <c r="O66" s="3">
        <v>42.980533999999999</v>
      </c>
      <c r="P66" s="3">
        <v>41.639969000000001</v>
      </c>
      <c r="Q66" s="3">
        <v>40.274445</v>
      </c>
      <c r="R66" s="3">
        <v>43.280262</v>
      </c>
      <c r="S66" s="3">
        <v>41.672787</v>
      </c>
      <c r="T66" s="3">
        <v>40.857826000000003</v>
      </c>
      <c r="U66" s="3">
        <v>39.954292000000002</v>
      </c>
      <c r="V66" s="3">
        <v>42.598007000000003</v>
      </c>
      <c r="W66" s="3">
        <v>41.071060000000003</v>
      </c>
      <c r="X66" s="3">
        <v>40.928646000000001</v>
      </c>
      <c r="Y66" s="3">
        <v>41.473754999999997</v>
      </c>
      <c r="Z66" s="3">
        <v>43.299064999999999</v>
      </c>
      <c r="AA66" s="3">
        <v>42.972847000000002</v>
      </c>
      <c r="AB66" s="3">
        <v>41.550747000000001</v>
      </c>
      <c r="AC66" s="3">
        <v>39.307223999999998</v>
      </c>
      <c r="AD66" s="3">
        <v>42.108443999999999</v>
      </c>
      <c r="AE66" s="3">
        <v>41.448582000000002</v>
      </c>
      <c r="AF66" s="3">
        <v>40.714469999999999</v>
      </c>
      <c r="AG66" s="3">
        <v>40.575153</v>
      </c>
      <c r="AH66" s="3">
        <v>40.684418000000001</v>
      </c>
      <c r="AI66" s="3">
        <v>42.627887999999999</v>
      </c>
      <c r="AJ66" s="3">
        <v>43.670563000000001</v>
      </c>
      <c r="AK66" s="3">
        <v>41.775623000000003</v>
      </c>
      <c r="AL66" s="3">
        <v>42.236182999999997</v>
      </c>
      <c r="AM66" s="3">
        <v>40.114845000000003</v>
      </c>
      <c r="AN66" s="3">
        <v>40.857841000000001</v>
      </c>
      <c r="AO66" s="3">
        <v>41.004134999999998</v>
      </c>
      <c r="AP66" s="3">
        <v>39.164214999999999</v>
      </c>
      <c r="AQ66" s="3">
        <v>41.151694999999997</v>
      </c>
      <c r="AR66" s="3">
        <v>41.843032999999998</v>
      </c>
      <c r="AS66" s="3">
        <v>41.394939000000001</v>
      </c>
      <c r="AT66" s="3">
        <v>39.338093000000001</v>
      </c>
      <c r="AU66" s="3">
        <v>42.192771999999998</v>
      </c>
      <c r="AV66" s="3">
        <v>40.491073999999998</v>
      </c>
      <c r="AW66" s="3">
        <v>40.507942</v>
      </c>
      <c r="AX66" s="3">
        <v>40.102733999999998</v>
      </c>
      <c r="AY66" s="3">
        <v>39.229588</v>
      </c>
      <c r="AZ66" s="3">
        <v>42.103076999999999</v>
      </c>
      <c r="BA66" s="3">
        <v>42.238342000000003</v>
      </c>
      <c r="BB66" s="3">
        <v>43.080860000000001</v>
      </c>
      <c r="BC66" s="3">
        <v>44.010426000000002</v>
      </c>
      <c r="BD66" s="3">
        <v>40.372917000000001</v>
      </c>
      <c r="BE66" s="3">
        <v>39.804543000000002</v>
      </c>
      <c r="BF66" s="3">
        <v>40.393805999999998</v>
      </c>
      <c r="BG66" s="3">
        <v>40.659187000000003</v>
      </c>
      <c r="BH66" s="3">
        <v>40.387042999999998</v>
      </c>
      <c r="BI66" s="3">
        <v>39.334342999999997</v>
      </c>
      <c r="BJ66" s="3">
        <v>40.639144999999999</v>
      </c>
      <c r="BK66" s="3">
        <v>40.101505000000003</v>
      </c>
      <c r="BL66" s="3">
        <v>41.151755999999999</v>
      </c>
      <c r="BM66" s="3">
        <v>40.785919</v>
      </c>
      <c r="BN66" s="3">
        <v>40.766472</v>
      </c>
      <c r="BO66" s="3">
        <v>40.252536999999997</v>
      </c>
      <c r="BP66" s="3">
        <v>41.677802999999997</v>
      </c>
      <c r="BQ66" s="3">
        <v>39.524036000000002</v>
      </c>
      <c r="BR66" s="3">
        <v>40.658928000000003</v>
      </c>
      <c r="BS66" s="3">
        <v>42.226818000000002</v>
      </c>
      <c r="BT66" s="3">
        <v>41.429099999999998</v>
      </c>
      <c r="BU66" s="3">
        <v>40.438502999999997</v>
      </c>
      <c r="BV66" s="3">
        <v>43.084800999999999</v>
      </c>
      <c r="BW66" s="3">
        <v>42.274386999999997</v>
      </c>
      <c r="BX66" s="3">
        <v>39.281875999999997</v>
      </c>
      <c r="BY66" s="3">
        <v>43.890934000000001</v>
      </c>
      <c r="BZ66" s="3">
        <v>42.265213000000003</v>
      </c>
      <c r="CA66" s="3">
        <v>40.509151000000003</v>
      </c>
      <c r="CB66" s="3">
        <v>40.479484999999997</v>
      </c>
      <c r="CC66" s="3">
        <v>41.355736</v>
      </c>
      <c r="CD66" s="3">
        <v>39.445456999999998</v>
      </c>
      <c r="CE66" s="3">
        <v>42.648631999999999</v>
      </c>
      <c r="CF66" s="3">
        <v>41.848391999999997</v>
      </c>
      <c r="CG66" s="3">
        <v>39.660693999999999</v>
      </c>
      <c r="CH66" s="3">
        <v>42.721603000000002</v>
      </c>
      <c r="CI66" s="3">
        <v>40.427998000000002</v>
      </c>
      <c r="CJ66" s="3">
        <v>39.951355</v>
      </c>
      <c r="CK66" s="3">
        <v>39.796374999999998</v>
      </c>
      <c r="CL66" s="3">
        <v>40.415694999999999</v>
      </c>
      <c r="CM66" s="3">
        <v>41.481929999999998</v>
      </c>
      <c r="CN66" s="3">
        <v>42.448444000000002</v>
      </c>
      <c r="CO66" s="3">
        <v>39.654736</v>
      </c>
      <c r="CP66" s="3">
        <v>40.639614000000002</v>
      </c>
      <c r="CQ66" s="3">
        <v>41.011536</v>
      </c>
      <c r="CR66" s="3">
        <v>41.206814000000001</v>
      </c>
      <c r="CS66" s="3">
        <v>40.876742999999998</v>
      </c>
      <c r="CT66" s="3">
        <v>41.477260999999999</v>
      </c>
      <c r="CU66" s="3">
        <v>38.425269999999998</v>
      </c>
      <c r="CV66" s="3">
        <v>41.257427</v>
      </c>
      <c r="CW66" s="3">
        <v>36.965274999999998</v>
      </c>
      <c r="CX66" s="3">
        <v>41.303528</v>
      </c>
      <c r="CY66" s="3">
        <v>42.325459000000002</v>
      </c>
      <c r="CZ66" s="3">
        <v>41.602179999999997</v>
      </c>
      <c r="DA66" s="3">
        <v>41.271351000000003</v>
      </c>
      <c r="DB66" s="3">
        <v>43.163696000000002</v>
      </c>
      <c r="DC66" s="3">
        <v>41.732899000000003</v>
      </c>
      <c r="DD66" s="3">
        <v>40.418064000000001</v>
      </c>
      <c r="DE66" s="3">
        <v>39.882041999999998</v>
      </c>
      <c r="DF66" s="3">
        <v>40.929119</v>
      </c>
      <c r="DG66" s="3">
        <v>40.455829999999999</v>
      </c>
      <c r="DH66" s="3">
        <v>38.99192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33.866367159999996</v>
      </c>
      <c r="H68" s="3">
        <f>MAX(M68:GJ68)</f>
        <v>37.656593000000001</v>
      </c>
      <c r="I68" s="3">
        <f>MIN(M68:GJ68)</f>
        <v>27.781078000000001</v>
      </c>
      <c r="J68" s="3">
        <f>_xlfn.STDEV.P(M68:GJ68)</f>
        <v>2.1881440583211957</v>
      </c>
      <c r="K68" s="3">
        <f>_xlfn.VAR.S(M68:GJ68)</f>
        <v>4.836337797945812</v>
      </c>
      <c r="M68" s="3">
        <v>36.084339</v>
      </c>
      <c r="N68" s="3">
        <v>36.373137999999997</v>
      </c>
      <c r="O68" s="3">
        <v>32.534241000000002</v>
      </c>
      <c r="P68" s="3">
        <v>32.265929999999997</v>
      </c>
      <c r="Q68" s="3">
        <v>28.563198</v>
      </c>
      <c r="R68" s="3">
        <v>35.864243000000002</v>
      </c>
      <c r="S68" s="3">
        <v>32.078086999999996</v>
      </c>
      <c r="T68" s="3">
        <v>37.163466999999997</v>
      </c>
      <c r="U68" s="3">
        <v>32.215549000000003</v>
      </c>
      <c r="V68" s="3">
        <v>34.499640999999997</v>
      </c>
      <c r="W68" s="3">
        <v>33.937973</v>
      </c>
      <c r="X68" s="3">
        <v>30.514313000000001</v>
      </c>
      <c r="Y68" s="3">
        <v>34.529755000000002</v>
      </c>
      <c r="Z68" s="3">
        <v>33.675288999999999</v>
      </c>
      <c r="AA68" s="3">
        <v>33.643127</v>
      </c>
      <c r="AB68" s="3">
        <v>36.667912000000001</v>
      </c>
      <c r="AC68" s="3">
        <v>34.257412000000002</v>
      </c>
      <c r="AD68" s="3">
        <v>33.636253000000004</v>
      </c>
      <c r="AE68" s="3">
        <v>27.781078000000001</v>
      </c>
      <c r="AF68" s="3">
        <v>35.434173999999999</v>
      </c>
      <c r="AG68" s="3">
        <v>32.847518999999998</v>
      </c>
      <c r="AH68" s="3">
        <v>34.963676</v>
      </c>
      <c r="AI68" s="3">
        <v>35.556412000000002</v>
      </c>
      <c r="AJ68" s="3">
        <v>29.271813999999999</v>
      </c>
      <c r="AK68" s="3">
        <v>33.494953000000002</v>
      </c>
      <c r="AL68" s="3">
        <v>34.049236000000001</v>
      </c>
      <c r="AM68" s="3">
        <v>34.912700999999998</v>
      </c>
      <c r="AN68" s="3">
        <v>32.046570000000003</v>
      </c>
      <c r="AO68" s="3">
        <v>33.198605000000001</v>
      </c>
      <c r="AP68" s="3">
        <v>30.912561</v>
      </c>
      <c r="AQ68" s="3">
        <v>34.842899000000003</v>
      </c>
      <c r="AR68" s="3">
        <v>32.384453000000001</v>
      </c>
      <c r="AS68" s="3">
        <v>35.783855000000003</v>
      </c>
      <c r="AT68" s="3">
        <v>36.998238000000001</v>
      </c>
      <c r="AU68" s="3">
        <v>33.256512000000001</v>
      </c>
      <c r="AV68" s="3">
        <v>36.938538000000001</v>
      </c>
      <c r="AW68" s="3">
        <v>36.376961000000001</v>
      </c>
      <c r="AX68" s="3">
        <v>32.091952999999997</v>
      </c>
      <c r="AY68" s="3">
        <v>35.156750000000002</v>
      </c>
      <c r="AZ68" s="3">
        <v>34.701405000000001</v>
      </c>
      <c r="BA68" s="3">
        <v>37.656593000000001</v>
      </c>
      <c r="BB68" s="3">
        <v>35.813640999999997</v>
      </c>
      <c r="BC68" s="3">
        <v>35.980922999999997</v>
      </c>
      <c r="BD68" s="3">
        <v>37.392467000000003</v>
      </c>
      <c r="BE68" s="3">
        <v>34.942551000000002</v>
      </c>
      <c r="BF68" s="3">
        <v>30.651543</v>
      </c>
      <c r="BG68" s="3">
        <v>35.164504999999998</v>
      </c>
      <c r="BH68" s="3">
        <v>29.757747999999999</v>
      </c>
      <c r="BI68" s="3">
        <v>32.149448</v>
      </c>
      <c r="BJ68" s="3">
        <v>33.812725</v>
      </c>
      <c r="BK68" s="3">
        <v>37.023150999999999</v>
      </c>
      <c r="BL68" s="3">
        <v>36.657879000000001</v>
      </c>
      <c r="BM68" s="3">
        <v>32.700958</v>
      </c>
      <c r="BN68" s="3">
        <v>33.211590000000001</v>
      </c>
      <c r="BO68" s="3">
        <v>29.853697</v>
      </c>
      <c r="BP68" s="3">
        <v>33.4557</v>
      </c>
      <c r="BQ68" s="3">
        <v>33.974735000000003</v>
      </c>
      <c r="BR68" s="3">
        <v>36.297145999999998</v>
      </c>
      <c r="BS68" s="3">
        <v>33.341819999999998</v>
      </c>
      <c r="BT68" s="3">
        <v>31.663784</v>
      </c>
      <c r="BU68" s="3">
        <v>36.049205999999998</v>
      </c>
      <c r="BV68" s="3">
        <v>33.425446000000001</v>
      </c>
      <c r="BW68" s="3">
        <v>34.134495000000001</v>
      </c>
      <c r="BX68" s="3">
        <v>33.415149999999997</v>
      </c>
      <c r="BY68" s="3">
        <v>33.459927</v>
      </c>
      <c r="BZ68" s="3">
        <v>34.348843000000002</v>
      </c>
      <c r="CA68" s="3">
        <v>28.802327999999999</v>
      </c>
      <c r="CB68" s="3">
        <v>30.384041</v>
      </c>
      <c r="CC68" s="3">
        <v>31.511897999999999</v>
      </c>
      <c r="CD68" s="3">
        <v>34.660224999999997</v>
      </c>
      <c r="CE68" s="3">
        <v>35.324837000000002</v>
      </c>
      <c r="CF68" s="3">
        <v>35.745728</v>
      </c>
      <c r="CG68" s="3">
        <v>33.083632999999999</v>
      </c>
      <c r="CH68" s="3">
        <v>29.342127000000001</v>
      </c>
      <c r="CI68" s="3">
        <v>33.993015</v>
      </c>
      <c r="CJ68" s="3">
        <v>33.654781</v>
      </c>
      <c r="CK68" s="3">
        <v>36.201507999999997</v>
      </c>
      <c r="CL68" s="3">
        <v>34.958548999999998</v>
      </c>
      <c r="CM68" s="3">
        <v>33.848700999999998</v>
      </c>
      <c r="CN68" s="3">
        <v>30.952465</v>
      </c>
      <c r="CO68" s="3">
        <v>35.277794</v>
      </c>
      <c r="CP68" s="3">
        <v>32.985095999999999</v>
      </c>
      <c r="CQ68" s="3">
        <v>31.952641</v>
      </c>
      <c r="CR68" s="3">
        <v>36.041820999999999</v>
      </c>
      <c r="CS68" s="3">
        <v>34.083751999999997</v>
      </c>
      <c r="CT68" s="3">
        <v>35.725127999999998</v>
      </c>
      <c r="CU68" s="3">
        <v>35.209629</v>
      </c>
      <c r="CV68" s="3">
        <v>34.883240000000001</v>
      </c>
      <c r="CW68" s="3">
        <v>34.562106999999997</v>
      </c>
      <c r="CX68" s="3">
        <v>35.623142000000001</v>
      </c>
      <c r="CY68" s="3">
        <v>35.658352000000001</v>
      </c>
      <c r="CZ68" s="3">
        <v>35.956989</v>
      </c>
      <c r="DA68" s="3">
        <v>36.195236000000001</v>
      </c>
      <c r="DB68" s="3">
        <v>34.815063000000002</v>
      </c>
      <c r="DC68" s="3">
        <v>34.702705000000002</v>
      </c>
      <c r="DD68" s="3">
        <v>28.161413</v>
      </c>
      <c r="DE68" s="3">
        <v>32.763503999999998</v>
      </c>
      <c r="DF68" s="3">
        <v>34.488121</v>
      </c>
      <c r="DG68" s="3">
        <v>33.732044000000002</v>
      </c>
      <c r="DH68" s="3">
        <v>33.514702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32.340525930000005</v>
      </c>
      <c r="H70" s="3">
        <f>MAX(M70:GJ70)</f>
        <v>36.754463000000001</v>
      </c>
      <c r="I70" s="3">
        <f>MIN(M70:GJ70)</f>
        <v>26.433340000000001</v>
      </c>
      <c r="J70" s="3">
        <f>_xlfn.STDEV.P(M70:GJ70)</f>
        <v>2.2329102087401194</v>
      </c>
      <c r="K70" s="3">
        <f>_xlfn.VAR.S(M70:GJ70)</f>
        <v>5.0362505053493374</v>
      </c>
      <c r="M70" s="3">
        <v>31.503674</v>
      </c>
      <c r="N70" s="3">
        <v>32.374415999999997</v>
      </c>
      <c r="O70" s="3">
        <v>31.769856999999998</v>
      </c>
      <c r="P70" s="3">
        <v>34.598681999999997</v>
      </c>
      <c r="Q70" s="3">
        <v>33.544941000000001</v>
      </c>
      <c r="R70" s="3">
        <v>33.332889999999999</v>
      </c>
      <c r="S70" s="3">
        <v>31.476783999999999</v>
      </c>
      <c r="T70" s="3">
        <v>33.439090999999998</v>
      </c>
      <c r="U70" s="3">
        <v>35.434441</v>
      </c>
      <c r="V70" s="3">
        <v>34.392204</v>
      </c>
      <c r="W70" s="3">
        <v>34.444687000000002</v>
      </c>
      <c r="X70" s="3">
        <v>32.292090999999999</v>
      </c>
      <c r="Y70" s="3">
        <v>33.753227000000003</v>
      </c>
      <c r="Z70" s="3">
        <v>30.825016000000002</v>
      </c>
      <c r="AA70" s="3">
        <v>27.020412</v>
      </c>
      <c r="AB70" s="3">
        <v>27.537886</v>
      </c>
      <c r="AC70" s="3">
        <v>31.810257</v>
      </c>
      <c r="AD70" s="3">
        <v>34.954411</v>
      </c>
      <c r="AE70" s="3">
        <v>34.133766000000001</v>
      </c>
      <c r="AF70" s="3">
        <v>34.184787999999998</v>
      </c>
      <c r="AG70" s="3">
        <v>32.823048</v>
      </c>
      <c r="AH70" s="3">
        <v>29.09956</v>
      </c>
      <c r="AI70" s="3">
        <v>33.002398999999997</v>
      </c>
      <c r="AJ70" s="3">
        <v>32.456757000000003</v>
      </c>
      <c r="AK70" s="3">
        <v>31.716946</v>
      </c>
      <c r="AL70" s="3">
        <v>30.321386</v>
      </c>
      <c r="AM70" s="3">
        <v>34.456932000000002</v>
      </c>
      <c r="AN70" s="3">
        <v>32.837051000000002</v>
      </c>
      <c r="AO70" s="3">
        <v>30.320719</v>
      </c>
      <c r="AP70" s="3">
        <v>33.616309999999999</v>
      </c>
      <c r="AQ70" s="3">
        <v>32.596015999999999</v>
      </c>
      <c r="AR70" s="3">
        <v>29.982106999999999</v>
      </c>
      <c r="AS70" s="3">
        <v>30.280739000000001</v>
      </c>
      <c r="AT70" s="3">
        <v>34.632877000000001</v>
      </c>
      <c r="AU70" s="3">
        <v>31.303497</v>
      </c>
      <c r="AV70" s="3">
        <v>34.127003000000002</v>
      </c>
      <c r="AW70" s="3">
        <v>29.924896</v>
      </c>
      <c r="AX70" s="3">
        <v>33.371098000000003</v>
      </c>
      <c r="AY70" s="3">
        <v>33.763663999999999</v>
      </c>
      <c r="AZ70" s="3">
        <v>31.949589</v>
      </c>
      <c r="BA70" s="3">
        <v>27.711008</v>
      </c>
      <c r="BB70" s="3">
        <v>30.791573</v>
      </c>
      <c r="BC70" s="3">
        <v>34.499972999999997</v>
      </c>
      <c r="BD70" s="3">
        <v>28.841138999999998</v>
      </c>
      <c r="BE70" s="3">
        <v>33.555850999999997</v>
      </c>
      <c r="BF70" s="3">
        <v>31.947749999999999</v>
      </c>
      <c r="BG70" s="3">
        <v>30.348492</v>
      </c>
      <c r="BH70" s="3">
        <v>34.003467999999998</v>
      </c>
      <c r="BI70" s="3">
        <v>32.602325</v>
      </c>
      <c r="BJ70" s="3">
        <v>31.589136</v>
      </c>
      <c r="BK70" s="3">
        <v>29.894874999999999</v>
      </c>
      <c r="BL70" s="3">
        <v>32.134608999999998</v>
      </c>
      <c r="BM70" s="3">
        <v>31.394852</v>
      </c>
      <c r="BN70" s="3">
        <v>32.629939999999998</v>
      </c>
      <c r="BO70" s="3">
        <v>34.677132</v>
      </c>
      <c r="BP70" s="3">
        <v>35.359130999999998</v>
      </c>
      <c r="BQ70" s="3">
        <v>29.938261000000001</v>
      </c>
      <c r="BR70" s="3">
        <v>32.537101999999997</v>
      </c>
      <c r="BS70" s="3">
        <v>36.234901000000001</v>
      </c>
      <c r="BT70" s="3">
        <v>34.802235000000003</v>
      </c>
      <c r="BU70" s="3">
        <v>36.754463000000001</v>
      </c>
      <c r="BV70" s="3">
        <v>32.891055999999999</v>
      </c>
      <c r="BW70" s="3">
        <v>34.943699000000002</v>
      </c>
      <c r="BX70" s="3">
        <v>33.037300000000002</v>
      </c>
      <c r="BY70" s="3">
        <v>30.063825999999999</v>
      </c>
      <c r="BZ70" s="3">
        <v>26.433340000000001</v>
      </c>
      <c r="CA70" s="3">
        <v>31.077487999999999</v>
      </c>
      <c r="CB70" s="3">
        <v>33.339485000000003</v>
      </c>
      <c r="CC70" s="3">
        <v>29.319590000000002</v>
      </c>
      <c r="CD70" s="3">
        <v>30.927778</v>
      </c>
      <c r="CE70" s="3">
        <v>34.758732000000002</v>
      </c>
      <c r="CF70" s="3">
        <v>27.878692999999998</v>
      </c>
      <c r="CG70" s="3">
        <v>33.923381999999997</v>
      </c>
      <c r="CH70" s="3">
        <v>32.525620000000004</v>
      </c>
      <c r="CI70" s="3">
        <v>31.219618000000001</v>
      </c>
      <c r="CJ70" s="3">
        <v>29.062864000000001</v>
      </c>
      <c r="CK70" s="3">
        <v>33.257705999999999</v>
      </c>
      <c r="CL70" s="3">
        <v>31.169222000000001</v>
      </c>
      <c r="CM70" s="3">
        <v>33.294181999999999</v>
      </c>
      <c r="CN70" s="3">
        <v>36.631546</v>
      </c>
      <c r="CO70" s="3">
        <v>35.211483000000001</v>
      </c>
      <c r="CP70" s="3">
        <v>30.241254999999999</v>
      </c>
      <c r="CQ70" s="3">
        <v>28.742439000000001</v>
      </c>
      <c r="CR70" s="3">
        <v>35.653472999999998</v>
      </c>
      <c r="CS70" s="3">
        <v>34.322265999999999</v>
      </c>
      <c r="CT70" s="3">
        <v>33.215640999999998</v>
      </c>
      <c r="CU70" s="3">
        <v>32.458710000000004</v>
      </c>
      <c r="CV70" s="3">
        <v>34.378864</v>
      </c>
      <c r="CW70" s="3">
        <v>30.4907</v>
      </c>
      <c r="CX70" s="3">
        <v>31.026764</v>
      </c>
      <c r="CY70" s="3">
        <v>34.234881999999999</v>
      </c>
      <c r="CZ70" s="3">
        <v>28.397476000000001</v>
      </c>
      <c r="DA70" s="3">
        <v>33.972659999999998</v>
      </c>
      <c r="DB70" s="3">
        <v>33.930022999999998</v>
      </c>
      <c r="DC70" s="3">
        <v>32.286625000000001</v>
      </c>
      <c r="DD70" s="3">
        <v>34.446407000000001</v>
      </c>
      <c r="DE70" s="3">
        <v>27.77965</v>
      </c>
      <c r="DF70" s="3">
        <v>34.056792999999999</v>
      </c>
      <c r="DG70" s="3">
        <v>32.129807</v>
      </c>
      <c r="DH70" s="3">
        <v>33.667217000000001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</row>
    <row r="72" spans="2:207" x14ac:dyDescent="0.2"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</row>
    <row r="73" spans="2:207" x14ac:dyDescent="0.2">
      <c r="B73" t="s">
        <v>60</v>
      </c>
      <c r="D73" s="1" t="s">
        <v>41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35.465848999999999</v>
      </c>
      <c r="H74" s="3">
        <f>MAX(M74:GJ74)</f>
        <v>44.345981999999999</v>
      </c>
      <c r="I74" s="3">
        <f>MIN(M74:GJ74)</f>
        <v>32.431263000000001</v>
      </c>
      <c r="J74" s="3">
        <f>_xlfn.STDEV.P(M74:GJ74)</f>
        <v>1.7626156660726751</v>
      </c>
      <c r="K74" s="3">
        <f>_xlfn.VAR.S(M74:GJ74)</f>
        <v>3.1381959457422428</v>
      </c>
      <c r="M74" s="3">
        <v>34.109569999999998</v>
      </c>
      <c r="N74" s="3">
        <v>36.778202</v>
      </c>
      <c r="O74" s="3">
        <v>38.929203000000001</v>
      </c>
      <c r="P74" s="3">
        <v>34.016392000000003</v>
      </c>
      <c r="Q74" s="3">
        <v>38.543415000000003</v>
      </c>
      <c r="R74" s="3">
        <v>33.463341</v>
      </c>
      <c r="S74" s="3">
        <v>35.392574000000003</v>
      </c>
      <c r="T74" s="3">
        <v>33.041877999999997</v>
      </c>
      <c r="U74" s="3">
        <v>34.520144999999999</v>
      </c>
      <c r="V74" s="3">
        <v>33.783596000000003</v>
      </c>
      <c r="W74" s="3">
        <v>35.094237999999997</v>
      </c>
      <c r="X74" s="3">
        <v>34.680537999999999</v>
      </c>
      <c r="Y74" s="3">
        <v>34.479934999999998</v>
      </c>
      <c r="Z74" s="3">
        <v>36.059967</v>
      </c>
      <c r="AA74" s="3">
        <v>35.953197000000003</v>
      </c>
      <c r="AB74" s="3">
        <v>35.222099</v>
      </c>
      <c r="AC74" s="3">
        <v>33.881481000000001</v>
      </c>
      <c r="AD74" s="3">
        <v>34.028748</v>
      </c>
      <c r="AE74" s="3">
        <v>34.811110999999997</v>
      </c>
      <c r="AF74" s="3">
        <v>34.955517</v>
      </c>
      <c r="AG74" s="3">
        <v>37.173015999999997</v>
      </c>
      <c r="AH74" s="3">
        <v>36.516292999999997</v>
      </c>
      <c r="AI74" s="3">
        <v>33.858668999999999</v>
      </c>
      <c r="AJ74" s="3">
        <v>34.175350000000002</v>
      </c>
      <c r="AK74" s="3">
        <v>37.505713999999998</v>
      </c>
      <c r="AL74" s="3">
        <v>37.793937999999997</v>
      </c>
      <c r="AM74" s="3">
        <v>33.956425000000003</v>
      </c>
      <c r="AN74" s="3">
        <v>36.598263000000003</v>
      </c>
      <c r="AO74" s="3">
        <v>34.553108000000002</v>
      </c>
      <c r="AP74" s="3">
        <v>35.221187999999998</v>
      </c>
      <c r="AQ74" s="3">
        <v>33.157406000000002</v>
      </c>
      <c r="AR74" s="3">
        <v>34.869812000000003</v>
      </c>
      <c r="AS74" s="3">
        <v>34.455379000000001</v>
      </c>
      <c r="AT74" s="3">
        <v>34.530186</v>
      </c>
      <c r="AU74" s="3">
        <v>37.223587000000002</v>
      </c>
      <c r="AV74" s="3">
        <v>39.088881999999998</v>
      </c>
      <c r="AW74" s="3">
        <v>34.752758</v>
      </c>
      <c r="AX74" s="3">
        <v>35.801814999999998</v>
      </c>
      <c r="AY74" s="3">
        <v>36.082873999999997</v>
      </c>
      <c r="AZ74" s="3">
        <v>34.660820000000001</v>
      </c>
      <c r="BA74" s="3">
        <v>35.013168</v>
      </c>
      <c r="BB74" s="3">
        <v>32.431263000000001</v>
      </c>
      <c r="BC74" s="3">
        <v>35.229720999999998</v>
      </c>
      <c r="BD74" s="3">
        <v>35.159388999999997</v>
      </c>
      <c r="BE74" s="3">
        <v>44.345981999999999</v>
      </c>
      <c r="BF74" s="3">
        <v>34.140326999999999</v>
      </c>
      <c r="BG74" s="3">
        <v>36.323977999999997</v>
      </c>
      <c r="BH74" s="3">
        <v>34.694659999999999</v>
      </c>
      <c r="BI74" s="3">
        <v>38.172103999999997</v>
      </c>
      <c r="BJ74" s="3">
        <v>38.327202</v>
      </c>
      <c r="BK74" s="3">
        <v>35.562389000000003</v>
      </c>
      <c r="BL74" s="3">
        <v>36.242835999999997</v>
      </c>
      <c r="BM74" s="3">
        <v>33.145865999999998</v>
      </c>
      <c r="BN74" s="3">
        <v>35.735325000000003</v>
      </c>
      <c r="BO74" s="3">
        <v>33.540332999999997</v>
      </c>
      <c r="BP74" s="3">
        <v>34.330756999999998</v>
      </c>
      <c r="BQ74" s="3">
        <v>33.448315000000001</v>
      </c>
      <c r="BR74" s="3">
        <v>36.026814000000002</v>
      </c>
      <c r="BS74" s="3">
        <v>36.624980999999998</v>
      </c>
      <c r="BT74" s="3">
        <v>36.930115000000001</v>
      </c>
      <c r="BU74" s="3">
        <v>35.812328000000001</v>
      </c>
      <c r="BV74" s="3">
        <v>34.525257000000003</v>
      </c>
      <c r="BW74" s="3">
        <v>34.355609999999999</v>
      </c>
      <c r="BX74" s="3">
        <v>35.575428000000002</v>
      </c>
      <c r="BY74" s="3">
        <v>33.370776999999997</v>
      </c>
      <c r="BZ74" s="3">
        <v>34.164650000000002</v>
      </c>
      <c r="CA74" s="3">
        <v>33.990189000000001</v>
      </c>
      <c r="CB74" s="3">
        <v>36.554375</v>
      </c>
      <c r="CC74" s="3">
        <v>34.444721000000001</v>
      </c>
      <c r="CD74" s="3">
        <v>37.377913999999997</v>
      </c>
      <c r="CE74" s="3">
        <v>36.845886</v>
      </c>
      <c r="CF74" s="3">
        <v>37.536324</v>
      </c>
      <c r="CG74" s="3">
        <v>36.686962000000001</v>
      </c>
      <c r="CH74" s="3">
        <v>36.531509</v>
      </c>
      <c r="CI74" s="3">
        <v>34.923954000000002</v>
      </c>
      <c r="CJ74" s="3">
        <v>34.315170000000002</v>
      </c>
      <c r="CK74" s="3">
        <v>33.417427000000004</v>
      </c>
      <c r="CL74" s="3">
        <v>37.744923</v>
      </c>
      <c r="CM74" s="3">
        <v>33.953651000000001</v>
      </c>
      <c r="CN74" s="3">
        <v>36.263969000000003</v>
      </c>
      <c r="CO74" s="3">
        <v>33.475631999999997</v>
      </c>
      <c r="CP74" s="3">
        <v>34.990729999999999</v>
      </c>
      <c r="CQ74" s="3">
        <v>35.787857000000002</v>
      </c>
      <c r="CR74" s="3">
        <v>35.077385</v>
      </c>
      <c r="CS74" s="3">
        <v>34.489432999999998</v>
      </c>
      <c r="CT74" s="3">
        <v>37.665286999999999</v>
      </c>
      <c r="CU74" s="3">
        <v>33.719948000000002</v>
      </c>
      <c r="CV74" s="3">
        <v>39.049469000000002</v>
      </c>
      <c r="CW74" s="3">
        <v>36.168888000000003</v>
      </c>
      <c r="CX74" s="3">
        <v>35.607787999999999</v>
      </c>
      <c r="CY74" s="3">
        <v>34.191513</v>
      </c>
      <c r="CZ74" s="3">
        <v>33.88702</v>
      </c>
      <c r="DA74" s="3">
        <v>34.361851000000001</v>
      </c>
      <c r="DB74" s="3">
        <v>36.333584000000002</v>
      </c>
      <c r="DC74" s="3">
        <v>35.737502999999997</v>
      </c>
      <c r="DD74" s="3">
        <v>34.725082</v>
      </c>
      <c r="DE74" s="3">
        <v>34.371493999999998</v>
      </c>
      <c r="DF74" s="3">
        <v>33.980381000000001</v>
      </c>
      <c r="DG74" s="3">
        <v>38.852161000000002</v>
      </c>
      <c r="DH74" s="3">
        <v>36.574714999999998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32.549486139999992</v>
      </c>
      <c r="H76" s="3">
        <f>MAX(M76:GJ76)</f>
        <v>41.594653999999998</v>
      </c>
      <c r="I76" s="3">
        <f>MIN(M76:GJ76)</f>
        <v>27.789289</v>
      </c>
      <c r="J76" s="3">
        <f>_xlfn.STDEV.P(M76:GJ76)</f>
        <v>2.7667789720858109</v>
      </c>
      <c r="K76" s="3">
        <f>_xlfn.VAR.S(M76:GJ76)</f>
        <v>7.7323897781577937</v>
      </c>
      <c r="M76" s="3">
        <v>37.238917999999998</v>
      </c>
      <c r="N76" s="3">
        <v>33.892513000000001</v>
      </c>
      <c r="O76" s="3">
        <v>34.736545999999997</v>
      </c>
      <c r="P76" s="3">
        <v>33.050716000000001</v>
      </c>
      <c r="Q76" s="3">
        <v>36.565002</v>
      </c>
      <c r="R76" s="3">
        <v>31.357721000000002</v>
      </c>
      <c r="S76" s="3">
        <v>41.594653999999998</v>
      </c>
      <c r="T76" s="3">
        <v>35.621395</v>
      </c>
      <c r="U76" s="3">
        <v>37.010151</v>
      </c>
      <c r="V76" s="3">
        <v>40.825099999999999</v>
      </c>
      <c r="W76" s="3">
        <v>34.656692999999997</v>
      </c>
      <c r="X76" s="3">
        <v>37.592776999999998</v>
      </c>
      <c r="Y76" s="3">
        <v>36.633667000000003</v>
      </c>
      <c r="Z76" s="3">
        <v>32.852676000000002</v>
      </c>
      <c r="AA76" s="3">
        <v>36.599007</v>
      </c>
      <c r="AB76" s="3">
        <v>37.281154999999998</v>
      </c>
      <c r="AC76" s="3">
        <v>34.340125999999998</v>
      </c>
      <c r="AD76" s="3">
        <v>33.188164</v>
      </c>
      <c r="AE76" s="3">
        <v>30.735123000000002</v>
      </c>
      <c r="AF76" s="3">
        <v>37.249175999999999</v>
      </c>
      <c r="AG76" s="3">
        <v>36.845413000000001</v>
      </c>
      <c r="AH76" s="3">
        <v>33.532344999999999</v>
      </c>
      <c r="AI76" s="3">
        <v>31.955210000000001</v>
      </c>
      <c r="AJ76" s="3">
        <v>36.626049000000002</v>
      </c>
      <c r="AK76" s="3">
        <v>33.05254</v>
      </c>
      <c r="AL76" s="3">
        <v>30.859162999999999</v>
      </c>
      <c r="AM76" s="3">
        <v>30.498809999999999</v>
      </c>
      <c r="AN76" s="3">
        <v>34.879589000000003</v>
      </c>
      <c r="AO76" s="3">
        <v>30.674264999999998</v>
      </c>
      <c r="AP76" s="3">
        <v>30.322737</v>
      </c>
      <c r="AQ76" s="3">
        <v>32.161095000000003</v>
      </c>
      <c r="AR76" s="3">
        <v>31.06889</v>
      </c>
      <c r="AS76" s="3">
        <v>34.145836000000003</v>
      </c>
      <c r="AT76" s="3">
        <v>34.855739999999997</v>
      </c>
      <c r="AU76" s="3">
        <v>35.317722000000003</v>
      </c>
      <c r="AV76" s="3">
        <v>35.533985000000001</v>
      </c>
      <c r="AW76" s="3">
        <v>33.764729000000003</v>
      </c>
      <c r="AX76" s="3">
        <v>34.237957000000002</v>
      </c>
      <c r="AY76" s="3">
        <v>31.027975000000001</v>
      </c>
      <c r="AZ76" s="3">
        <v>30.572044000000002</v>
      </c>
      <c r="BA76" s="3">
        <v>28.943117000000001</v>
      </c>
      <c r="BB76" s="3">
        <v>32.325564999999997</v>
      </c>
      <c r="BC76" s="3">
        <v>33.656478999999997</v>
      </c>
      <c r="BD76" s="3">
        <v>30.120819000000001</v>
      </c>
      <c r="BE76" s="3">
        <v>30.915016000000001</v>
      </c>
      <c r="BF76" s="3">
        <v>33.369441999999999</v>
      </c>
      <c r="BG76" s="3">
        <v>34.312533999999999</v>
      </c>
      <c r="BH76" s="3">
        <v>35.006908000000003</v>
      </c>
      <c r="BI76" s="3">
        <v>32.602974000000003</v>
      </c>
      <c r="BJ76" s="3">
        <v>35.956496999999999</v>
      </c>
      <c r="BK76" s="3">
        <v>32.618290000000002</v>
      </c>
      <c r="BL76" s="3">
        <v>29.347235000000001</v>
      </c>
      <c r="BM76" s="3">
        <v>30.015408999999998</v>
      </c>
      <c r="BN76" s="3">
        <v>30.991734000000001</v>
      </c>
      <c r="BO76" s="3">
        <v>28.947365000000001</v>
      </c>
      <c r="BP76" s="3">
        <v>27.789289</v>
      </c>
      <c r="BQ76" s="3">
        <v>32.298237</v>
      </c>
      <c r="BR76" s="3">
        <v>30.951712000000001</v>
      </c>
      <c r="BS76" s="3">
        <v>32.542946000000001</v>
      </c>
      <c r="BT76" s="3">
        <v>30.192561999999999</v>
      </c>
      <c r="BU76" s="3">
        <v>31.731636000000002</v>
      </c>
      <c r="BV76" s="3">
        <v>33.947929000000002</v>
      </c>
      <c r="BW76" s="3">
        <v>31.407433999999999</v>
      </c>
      <c r="BX76" s="3">
        <v>31.815436999999999</v>
      </c>
      <c r="BY76" s="3">
        <v>29.458390999999999</v>
      </c>
      <c r="BZ76" s="3">
        <v>28.517071000000001</v>
      </c>
      <c r="CA76" s="3">
        <v>29.501619000000002</v>
      </c>
      <c r="CB76" s="3">
        <v>31.101965</v>
      </c>
      <c r="CC76" s="3">
        <v>30.005758</v>
      </c>
      <c r="CD76" s="3">
        <v>31.727481999999998</v>
      </c>
      <c r="CE76" s="3">
        <v>28.625145</v>
      </c>
      <c r="CF76" s="3">
        <v>35.552588999999998</v>
      </c>
      <c r="CG76" s="3">
        <v>36.229464999999998</v>
      </c>
      <c r="CH76" s="3">
        <v>31.600224999999998</v>
      </c>
      <c r="CI76" s="3">
        <v>31.381589999999999</v>
      </c>
      <c r="CJ76" s="3">
        <v>29.583611999999999</v>
      </c>
      <c r="CK76" s="3">
        <v>31.912683000000001</v>
      </c>
      <c r="CL76" s="3">
        <v>31.967768</v>
      </c>
      <c r="CM76" s="3">
        <v>30.536331000000001</v>
      </c>
      <c r="CN76" s="3">
        <v>29.237494999999999</v>
      </c>
      <c r="CO76" s="3">
        <v>29.104979</v>
      </c>
      <c r="CP76" s="3">
        <v>34.984988999999999</v>
      </c>
      <c r="CQ76" s="3">
        <v>31.387834999999999</v>
      </c>
      <c r="CR76" s="3">
        <v>29.119410999999999</v>
      </c>
      <c r="CS76" s="3">
        <v>34.214176000000002</v>
      </c>
      <c r="CT76" s="3">
        <v>31.621314999999999</v>
      </c>
      <c r="CU76" s="3">
        <v>31.210318000000001</v>
      </c>
      <c r="CV76" s="3">
        <v>31.895826</v>
      </c>
      <c r="CW76" s="3">
        <v>31.502251000000001</v>
      </c>
      <c r="CX76" s="3">
        <v>31.615881000000002</v>
      </c>
      <c r="CY76" s="3">
        <v>28.581002999999999</v>
      </c>
      <c r="CZ76" s="3">
        <v>30.377545999999999</v>
      </c>
      <c r="DA76" s="3">
        <v>31.885237</v>
      </c>
      <c r="DB76" s="3">
        <v>28.518654000000002</v>
      </c>
      <c r="DC76" s="3">
        <v>30.752357</v>
      </c>
      <c r="DD76" s="3">
        <v>29.867509999999999</v>
      </c>
      <c r="DE76" s="3">
        <v>33.898983000000001</v>
      </c>
      <c r="DF76" s="3">
        <v>32.072372000000001</v>
      </c>
      <c r="DG76" s="3">
        <v>29.543652000000002</v>
      </c>
      <c r="DH76" s="3">
        <v>29.095189999999999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37.653540339999985</v>
      </c>
      <c r="H78" s="3">
        <f>MAX(M78:GJ78)</f>
        <v>45.911270000000002</v>
      </c>
      <c r="I78" s="3">
        <f>MIN(M78:GJ78)</f>
        <v>32.950481000000003</v>
      </c>
      <c r="J78" s="3">
        <f>_xlfn.STDEV.P(M78:GJ78)</f>
        <v>2.2253241150375116</v>
      </c>
      <c r="K78" s="3">
        <f>_xlfn.VAR.S(M78:GJ78)</f>
        <v>5.0020882999671556</v>
      </c>
      <c r="M78" s="3">
        <v>40.084335000000003</v>
      </c>
      <c r="N78" s="3">
        <v>40.805584000000003</v>
      </c>
      <c r="O78" s="3">
        <v>42.628342000000004</v>
      </c>
      <c r="P78" s="3">
        <v>39.091797</v>
      </c>
      <c r="Q78" s="3">
        <v>37.194450000000003</v>
      </c>
      <c r="R78" s="3">
        <v>40.416840000000001</v>
      </c>
      <c r="S78" s="3">
        <v>38.481949</v>
      </c>
      <c r="T78" s="3">
        <v>39.230395999999999</v>
      </c>
      <c r="U78" s="3">
        <v>40.194336</v>
      </c>
      <c r="V78" s="3">
        <v>42.066367999999997</v>
      </c>
      <c r="W78" s="3">
        <v>40.119391999999998</v>
      </c>
      <c r="X78" s="3">
        <v>41.706302999999998</v>
      </c>
      <c r="Y78" s="3">
        <v>37.792865999999997</v>
      </c>
      <c r="Z78" s="3">
        <v>39.994148000000003</v>
      </c>
      <c r="AA78" s="3">
        <v>38.074016999999998</v>
      </c>
      <c r="AB78" s="3">
        <v>38.909354999999998</v>
      </c>
      <c r="AC78" s="3">
        <v>37.021725000000004</v>
      </c>
      <c r="AD78" s="3">
        <v>39.762810000000002</v>
      </c>
      <c r="AE78" s="3">
        <v>39.474724000000002</v>
      </c>
      <c r="AF78" s="3">
        <v>40.018836999999998</v>
      </c>
      <c r="AG78" s="3">
        <v>40.663048000000003</v>
      </c>
      <c r="AH78" s="3">
        <v>37.924503000000001</v>
      </c>
      <c r="AI78" s="3">
        <v>39.126914999999997</v>
      </c>
      <c r="AJ78" s="3">
        <v>45.911270000000002</v>
      </c>
      <c r="AK78" s="3">
        <v>40.939048999999997</v>
      </c>
      <c r="AL78" s="3">
        <v>39.277622000000001</v>
      </c>
      <c r="AM78" s="3">
        <v>35.700848000000001</v>
      </c>
      <c r="AN78" s="3">
        <v>38.080589000000003</v>
      </c>
      <c r="AO78" s="3">
        <v>37.953372999999999</v>
      </c>
      <c r="AP78" s="3">
        <v>35.835360999999999</v>
      </c>
      <c r="AQ78" s="3">
        <v>38.463141999999998</v>
      </c>
      <c r="AR78" s="3">
        <v>37.496777000000002</v>
      </c>
      <c r="AS78" s="3">
        <v>36.061047000000002</v>
      </c>
      <c r="AT78" s="3">
        <v>37.019843999999999</v>
      </c>
      <c r="AU78" s="3">
        <v>41.214905000000002</v>
      </c>
      <c r="AV78" s="3">
        <v>35.998215000000002</v>
      </c>
      <c r="AW78" s="3">
        <v>37.954163000000001</v>
      </c>
      <c r="AX78" s="3">
        <v>38.650677000000002</v>
      </c>
      <c r="AY78" s="3">
        <v>37.255127000000002</v>
      </c>
      <c r="AZ78" s="3">
        <v>41.223343</v>
      </c>
      <c r="BA78" s="3">
        <v>39.785915000000003</v>
      </c>
      <c r="BB78" s="3">
        <v>39.261111999999997</v>
      </c>
      <c r="BC78" s="3">
        <v>38.770901000000002</v>
      </c>
      <c r="BD78" s="3">
        <v>35.425235999999998</v>
      </c>
      <c r="BE78" s="3">
        <v>35.598843000000002</v>
      </c>
      <c r="BF78" s="3">
        <v>38.783996999999999</v>
      </c>
      <c r="BG78" s="3">
        <v>36.237144000000001</v>
      </c>
      <c r="BH78" s="3">
        <v>35.527118999999999</v>
      </c>
      <c r="BI78" s="3">
        <v>39.143096999999997</v>
      </c>
      <c r="BJ78" s="3">
        <v>39.108364000000002</v>
      </c>
      <c r="BK78" s="3">
        <v>35.550342999999998</v>
      </c>
      <c r="BL78" s="3">
        <v>36.842010000000002</v>
      </c>
      <c r="BM78" s="3">
        <v>35.896388999999999</v>
      </c>
      <c r="BN78" s="3">
        <v>36.118507000000001</v>
      </c>
      <c r="BO78" s="3">
        <v>36.893909000000001</v>
      </c>
      <c r="BP78" s="3">
        <v>35.733891</v>
      </c>
      <c r="BQ78" s="3">
        <v>32.950481000000003</v>
      </c>
      <c r="BR78" s="3">
        <v>35.614345999999998</v>
      </c>
      <c r="BS78" s="3">
        <v>38.601500999999999</v>
      </c>
      <c r="BT78" s="3">
        <v>38.583412000000003</v>
      </c>
      <c r="BU78" s="3">
        <v>36.294521000000003</v>
      </c>
      <c r="BV78" s="3">
        <v>38.234371000000003</v>
      </c>
      <c r="BW78" s="3">
        <v>38.982384000000003</v>
      </c>
      <c r="BX78" s="3">
        <v>36.779228000000003</v>
      </c>
      <c r="BY78" s="3">
        <v>39.898345999999997</v>
      </c>
      <c r="BZ78" s="3">
        <v>35.383876999999998</v>
      </c>
      <c r="CA78" s="3">
        <v>35.298949999999998</v>
      </c>
      <c r="CB78" s="3">
        <v>35.372245999999997</v>
      </c>
      <c r="CC78" s="3">
        <v>36.806046000000002</v>
      </c>
      <c r="CD78" s="3">
        <v>34.710835000000003</v>
      </c>
      <c r="CE78" s="3">
        <v>36.980269999999997</v>
      </c>
      <c r="CF78" s="3">
        <v>37.046795000000003</v>
      </c>
      <c r="CG78" s="3">
        <v>37.072158999999999</v>
      </c>
      <c r="CH78" s="3">
        <v>38.624946999999999</v>
      </c>
      <c r="CI78" s="3">
        <v>36.642764999999997</v>
      </c>
      <c r="CJ78" s="3">
        <v>35.391323</v>
      </c>
      <c r="CK78" s="3">
        <v>36.072208000000003</v>
      </c>
      <c r="CL78" s="3">
        <v>36.907134999999997</v>
      </c>
      <c r="CM78" s="3">
        <v>37.415633999999997</v>
      </c>
      <c r="CN78" s="3">
        <v>36.424793000000001</v>
      </c>
      <c r="CO78" s="3">
        <v>34.515320000000003</v>
      </c>
      <c r="CP78" s="3">
        <v>35.360954</v>
      </c>
      <c r="CQ78" s="3">
        <v>35.667793000000003</v>
      </c>
      <c r="CR78" s="3">
        <v>37.759869000000002</v>
      </c>
      <c r="CS78" s="3">
        <v>41.073563</v>
      </c>
      <c r="CT78" s="3">
        <v>36.060595999999997</v>
      </c>
      <c r="CU78" s="3">
        <v>36.381610999999999</v>
      </c>
      <c r="CV78" s="3">
        <v>34.771309000000002</v>
      </c>
      <c r="CW78" s="3">
        <v>34.300060000000002</v>
      </c>
      <c r="CX78" s="3">
        <v>34.863945000000001</v>
      </c>
      <c r="CY78" s="3">
        <v>35.337497999999997</v>
      </c>
      <c r="CZ78" s="3">
        <v>40.730891999999997</v>
      </c>
      <c r="DA78" s="3">
        <v>35.787486999999999</v>
      </c>
      <c r="DB78" s="3">
        <v>36.516663000000001</v>
      </c>
      <c r="DC78" s="3">
        <v>37.349719999999998</v>
      </c>
      <c r="DD78" s="3">
        <v>34.618209999999998</v>
      </c>
      <c r="DE78" s="3">
        <v>36.396458000000003</v>
      </c>
      <c r="DF78" s="3">
        <v>35.342540999999997</v>
      </c>
      <c r="DG78" s="3">
        <v>36.670501999999999</v>
      </c>
      <c r="DH78" s="3">
        <v>33.265301000000001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31.064352830000008</v>
      </c>
      <c r="H80" s="3">
        <f>MAX(M80:GJ80)</f>
        <v>34.412083000000003</v>
      </c>
      <c r="I80" s="3">
        <f>MIN(M80:GJ80)</f>
        <v>28.667299</v>
      </c>
      <c r="J80" s="3">
        <f>_xlfn.STDEV.P(M80:GJ80)</f>
        <v>1.2654742093994016</v>
      </c>
      <c r="K80" s="3">
        <f>_xlfn.VAR.S(M80:GJ80)</f>
        <v>1.617600984500041</v>
      </c>
      <c r="M80" s="3">
        <v>32.824191999999996</v>
      </c>
      <c r="N80" s="3">
        <v>29.539959</v>
      </c>
      <c r="O80" s="3">
        <v>30.888897</v>
      </c>
      <c r="P80" s="3">
        <v>28.838200000000001</v>
      </c>
      <c r="Q80" s="3">
        <v>34.412083000000003</v>
      </c>
      <c r="R80" s="3">
        <v>31.975773</v>
      </c>
      <c r="S80" s="3">
        <v>30.955624</v>
      </c>
      <c r="T80" s="3">
        <v>30.704388000000002</v>
      </c>
      <c r="U80" s="3">
        <v>32.191817999999998</v>
      </c>
      <c r="V80" s="3">
        <v>31.575163</v>
      </c>
      <c r="W80" s="3">
        <v>30.599972000000001</v>
      </c>
      <c r="X80" s="3">
        <v>30.875955999999999</v>
      </c>
      <c r="Y80" s="3">
        <v>30.502486999999999</v>
      </c>
      <c r="Z80" s="3">
        <v>30.019690000000001</v>
      </c>
      <c r="AA80" s="3">
        <v>29.555399000000001</v>
      </c>
      <c r="AB80" s="3">
        <v>31.257231000000001</v>
      </c>
      <c r="AC80" s="3">
        <v>31.255692</v>
      </c>
      <c r="AD80" s="3">
        <v>32.014332000000003</v>
      </c>
      <c r="AE80" s="3">
        <v>33.432395999999997</v>
      </c>
      <c r="AF80" s="3">
        <v>29.33765</v>
      </c>
      <c r="AG80" s="3">
        <v>30.843512</v>
      </c>
      <c r="AH80" s="3">
        <v>29.456233999999998</v>
      </c>
      <c r="AI80" s="3">
        <v>30.664055000000001</v>
      </c>
      <c r="AJ80" s="3">
        <v>30.038639</v>
      </c>
      <c r="AK80" s="3">
        <v>30.240175000000001</v>
      </c>
      <c r="AL80" s="3">
        <v>30.544777</v>
      </c>
      <c r="AM80" s="3">
        <v>30.186427999999999</v>
      </c>
      <c r="AN80" s="3">
        <v>32.423774999999999</v>
      </c>
      <c r="AO80" s="3">
        <v>29.431221000000001</v>
      </c>
      <c r="AP80" s="3">
        <v>29.039916999999999</v>
      </c>
      <c r="AQ80" s="3">
        <v>33.279040999999999</v>
      </c>
      <c r="AR80" s="3">
        <v>30.892502</v>
      </c>
      <c r="AS80" s="3">
        <v>32.969451999999997</v>
      </c>
      <c r="AT80" s="3">
        <v>34.134335</v>
      </c>
      <c r="AU80" s="3">
        <v>31.516452999999998</v>
      </c>
      <c r="AV80" s="3">
        <v>32.332591999999998</v>
      </c>
      <c r="AW80" s="3">
        <v>31.438852000000001</v>
      </c>
      <c r="AX80" s="3">
        <v>29.926113000000001</v>
      </c>
      <c r="AY80" s="3">
        <v>29.805465999999999</v>
      </c>
      <c r="AZ80" s="3">
        <v>30.404147999999999</v>
      </c>
      <c r="BA80" s="3">
        <v>31.980076</v>
      </c>
      <c r="BB80" s="3">
        <v>30.502689</v>
      </c>
      <c r="BC80" s="3">
        <v>33.498058</v>
      </c>
      <c r="BD80" s="3">
        <v>30.851247999999998</v>
      </c>
      <c r="BE80" s="3">
        <v>32.273330999999999</v>
      </c>
      <c r="BF80" s="3">
        <v>29.947050000000001</v>
      </c>
      <c r="BG80" s="3">
        <v>30.762411</v>
      </c>
      <c r="BH80" s="3">
        <v>33.713912999999998</v>
      </c>
      <c r="BI80" s="3">
        <v>30.684227</v>
      </c>
      <c r="BJ80" s="3">
        <v>31.946327</v>
      </c>
      <c r="BK80" s="3">
        <v>33.667445999999998</v>
      </c>
      <c r="BL80" s="3">
        <v>31.178681999999998</v>
      </c>
      <c r="BM80" s="3">
        <v>31.894397999999999</v>
      </c>
      <c r="BN80" s="3">
        <v>29.274061</v>
      </c>
      <c r="BO80" s="3">
        <v>31.223215</v>
      </c>
      <c r="BP80" s="3">
        <v>29.955829999999999</v>
      </c>
      <c r="BQ80" s="3">
        <v>32.335521999999997</v>
      </c>
      <c r="BR80" s="3">
        <v>30.569396999999999</v>
      </c>
      <c r="BS80" s="3">
        <v>32.457047000000003</v>
      </c>
      <c r="BT80" s="3">
        <v>31.593032999999998</v>
      </c>
      <c r="BU80" s="3">
        <v>30.261108</v>
      </c>
      <c r="BV80" s="3">
        <v>32.415385999999998</v>
      </c>
      <c r="BW80" s="3">
        <v>34.345962999999998</v>
      </c>
      <c r="BX80" s="3">
        <v>29.549343</v>
      </c>
      <c r="BY80" s="3">
        <v>30.182403999999998</v>
      </c>
      <c r="BZ80" s="3">
        <v>31.361948000000002</v>
      </c>
      <c r="CA80" s="3">
        <v>32.453968000000003</v>
      </c>
      <c r="CB80" s="3">
        <v>31.109850000000002</v>
      </c>
      <c r="CC80" s="3">
        <v>31.842827</v>
      </c>
      <c r="CD80" s="3">
        <v>29.707867</v>
      </c>
      <c r="CE80" s="3">
        <v>30.055641000000001</v>
      </c>
      <c r="CF80" s="3">
        <v>30.112197999999999</v>
      </c>
      <c r="CG80" s="3">
        <v>30.263604999999998</v>
      </c>
      <c r="CH80" s="3">
        <v>31.459575999999998</v>
      </c>
      <c r="CI80" s="3">
        <v>30.495977</v>
      </c>
      <c r="CJ80" s="3">
        <v>30.068489</v>
      </c>
      <c r="CK80" s="3">
        <v>29.599525</v>
      </c>
      <c r="CL80" s="3">
        <v>30.701975000000001</v>
      </c>
      <c r="CM80" s="3">
        <v>30.288703999999999</v>
      </c>
      <c r="CN80" s="3">
        <v>30.326809000000001</v>
      </c>
      <c r="CO80" s="3">
        <v>31.430745999999999</v>
      </c>
      <c r="CP80" s="3">
        <v>31.013089999999998</v>
      </c>
      <c r="CQ80" s="3">
        <v>29.511137000000002</v>
      </c>
      <c r="CR80" s="3">
        <v>31.055069</v>
      </c>
      <c r="CS80" s="3">
        <v>31.558471999999998</v>
      </c>
      <c r="CT80" s="3">
        <v>31.282983999999999</v>
      </c>
      <c r="CU80" s="3">
        <v>31.734152000000002</v>
      </c>
      <c r="CV80" s="3">
        <v>30.657360000000001</v>
      </c>
      <c r="CW80" s="3">
        <v>28.667299</v>
      </c>
      <c r="CX80" s="3">
        <v>32.815913999999999</v>
      </c>
      <c r="CY80" s="3">
        <v>29.151819</v>
      </c>
      <c r="CZ80" s="3">
        <v>30.455127999999998</v>
      </c>
      <c r="DA80" s="3">
        <v>31.229724999999998</v>
      </c>
      <c r="DB80" s="3">
        <v>29.547011999999999</v>
      </c>
      <c r="DC80" s="3">
        <v>32.160259000000003</v>
      </c>
      <c r="DD80" s="3">
        <v>30.210132999999999</v>
      </c>
      <c r="DE80" s="3">
        <v>30.422594</v>
      </c>
      <c r="DF80" s="3">
        <v>30.544105999999999</v>
      </c>
      <c r="DG80" s="3">
        <v>32.324772000000003</v>
      </c>
      <c r="DH80" s="3">
        <v>31.427799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35.009037750000005</v>
      </c>
      <c r="H82" s="3">
        <f>MAX(M82:GJ82)</f>
        <v>43.328884000000002</v>
      </c>
      <c r="I82" s="3">
        <f>MIN(M82:GJ82)</f>
        <v>29.321836000000001</v>
      </c>
      <c r="J82" s="3">
        <f>_xlfn.STDEV.P(M82:GJ82)</f>
        <v>2.7654760819212285</v>
      </c>
      <c r="K82" s="3">
        <f>_xlfn.VAR.S(M82:GJ82)</f>
        <v>7.7251090501801922</v>
      </c>
      <c r="M82" s="3">
        <v>36.556728</v>
      </c>
      <c r="N82" s="3">
        <v>31.021753</v>
      </c>
      <c r="O82" s="3">
        <v>33.664616000000002</v>
      </c>
      <c r="P82" s="3">
        <v>38.675654999999999</v>
      </c>
      <c r="Q82" s="3">
        <v>34.646571999999999</v>
      </c>
      <c r="R82" s="3">
        <v>34.269897</v>
      </c>
      <c r="S82" s="3">
        <v>32.432789</v>
      </c>
      <c r="T82" s="3">
        <v>34.622768000000001</v>
      </c>
      <c r="U82" s="3">
        <v>31.724330999999999</v>
      </c>
      <c r="V82" s="3">
        <v>39.719101000000002</v>
      </c>
      <c r="W82" s="3">
        <v>35.138584000000002</v>
      </c>
      <c r="X82" s="3">
        <v>40.022789000000003</v>
      </c>
      <c r="Y82" s="3">
        <v>39.370041000000001</v>
      </c>
      <c r="Z82" s="3">
        <v>35.458134000000001</v>
      </c>
      <c r="AA82" s="3">
        <v>32.787163</v>
      </c>
      <c r="AB82" s="3">
        <v>39.53886</v>
      </c>
      <c r="AC82" s="3">
        <v>36.052135</v>
      </c>
      <c r="AD82" s="3">
        <v>33.506504</v>
      </c>
      <c r="AE82" s="3">
        <v>38.685371000000004</v>
      </c>
      <c r="AF82" s="3">
        <v>30.727827000000001</v>
      </c>
      <c r="AG82" s="3">
        <v>37.766517999999998</v>
      </c>
      <c r="AH82" s="3">
        <v>33.105358000000003</v>
      </c>
      <c r="AI82" s="3">
        <v>36.287112999999998</v>
      </c>
      <c r="AJ82" s="3">
        <v>30.276596000000001</v>
      </c>
      <c r="AK82" s="3">
        <v>35.745148</v>
      </c>
      <c r="AL82" s="3">
        <v>34.279594000000003</v>
      </c>
      <c r="AM82" s="3">
        <v>32.611423000000002</v>
      </c>
      <c r="AN82" s="3">
        <v>35.490310999999998</v>
      </c>
      <c r="AO82" s="3">
        <v>38.327686</v>
      </c>
      <c r="AP82" s="3">
        <v>34.788116000000002</v>
      </c>
      <c r="AQ82" s="3">
        <v>36.398716</v>
      </c>
      <c r="AR82" s="3">
        <v>34.793281999999998</v>
      </c>
      <c r="AS82" s="3">
        <v>32.406170000000003</v>
      </c>
      <c r="AT82" s="3">
        <v>31.231907</v>
      </c>
      <c r="AU82" s="3">
        <v>40.317917000000001</v>
      </c>
      <c r="AV82" s="3">
        <v>35.066291999999997</v>
      </c>
      <c r="AW82" s="3">
        <v>37.885249999999999</v>
      </c>
      <c r="AX82" s="3">
        <v>37.104835999999999</v>
      </c>
      <c r="AY82" s="3">
        <v>33.676318999999999</v>
      </c>
      <c r="AZ82" s="3">
        <v>31.324636000000002</v>
      </c>
      <c r="BA82" s="3">
        <v>40.996547999999997</v>
      </c>
      <c r="BB82" s="3">
        <v>32.616962000000001</v>
      </c>
      <c r="BC82" s="3">
        <v>38.618160000000003</v>
      </c>
      <c r="BD82" s="3">
        <v>36.263888999999999</v>
      </c>
      <c r="BE82" s="3">
        <v>29.321836000000001</v>
      </c>
      <c r="BF82" s="3">
        <v>39.183010000000003</v>
      </c>
      <c r="BG82" s="3">
        <v>31.490458</v>
      </c>
      <c r="BH82" s="3">
        <v>33.658245000000001</v>
      </c>
      <c r="BI82" s="3">
        <v>30.120550000000001</v>
      </c>
      <c r="BJ82" s="3">
        <v>33.537956000000001</v>
      </c>
      <c r="BK82" s="3">
        <v>36.31176</v>
      </c>
      <c r="BL82" s="3">
        <v>34.525162000000002</v>
      </c>
      <c r="BM82" s="3">
        <v>34.713920999999999</v>
      </c>
      <c r="BN82" s="3">
        <v>35.114445000000003</v>
      </c>
      <c r="BO82" s="3">
        <v>34.162731000000001</v>
      </c>
      <c r="BP82" s="3">
        <v>35.113337999999999</v>
      </c>
      <c r="BQ82" s="3">
        <v>34.500824000000001</v>
      </c>
      <c r="BR82" s="3">
        <v>33.225380000000001</v>
      </c>
      <c r="BS82" s="3">
        <v>31.346796000000001</v>
      </c>
      <c r="BT82" s="3">
        <v>34.277996000000002</v>
      </c>
      <c r="BU82" s="3">
        <v>33.191096999999999</v>
      </c>
      <c r="BV82" s="3">
        <v>36.839545999999999</v>
      </c>
      <c r="BW82" s="3">
        <v>38.576500000000003</v>
      </c>
      <c r="BX82" s="3">
        <v>32.992733000000001</v>
      </c>
      <c r="BY82" s="3">
        <v>32.070328000000003</v>
      </c>
      <c r="BZ82" s="3">
        <v>40.992255999999998</v>
      </c>
      <c r="CA82" s="3">
        <v>35.508693999999998</v>
      </c>
      <c r="CB82" s="3">
        <v>34.935676999999998</v>
      </c>
      <c r="CC82" s="3">
        <v>37.358376</v>
      </c>
      <c r="CD82" s="3">
        <v>32.159720999999998</v>
      </c>
      <c r="CE82" s="3">
        <v>36.035572000000002</v>
      </c>
      <c r="CF82" s="3">
        <v>34.190444999999997</v>
      </c>
      <c r="CG82" s="3">
        <v>35.683163</v>
      </c>
      <c r="CH82" s="3">
        <v>30.603287000000002</v>
      </c>
      <c r="CI82" s="3">
        <v>35.516193000000001</v>
      </c>
      <c r="CJ82" s="3">
        <v>35.809719000000001</v>
      </c>
      <c r="CK82" s="3">
        <v>32.837325999999997</v>
      </c>
      <c r="CL82" s="3">
        <v>34.646068999999997</v>
      </c>
      <c r="CM82" s="3">
        <v>35.088486000000003</v>
      </c>
      <c r="CN82" s="3">
        <v>35.556652</v>
      </c>
      <c r="CO82" s="3">
        <v>33.036968000000002</v>
      </c>
      <c r="CP82" s="3">
        <v>36.791065000000003</v>
      </c>
      <c r="CQ82" s="3">
        <v>33.353447000000003</v>
      </c>
      <c r="CR82" s="3">
        <v>31.898657</v>
      </c>
      <c r="CS82" s="3">
        <v>39.268734000000002</v>
      </c>
      <c r="CT82" s="3">
        <v>34.866596000000001</v>
      </c>
      <c r="CU82" s="3">
        <v>39.580272999999998</v>
      </c>
      <c r="CV82" s="3">
        <v>35.564514000000003</v>
      </c>
      <c r="CW82" s="3">
        <v>32.589843999999999</v>
      </c>
      <c r="CX82" s="3">
        <v>32.014896</v>
      </c>
      <c r="CY82" s="3">
        <v>43.328884000000002</v>
      </c>
      <c r="CZ82" s="3">
        <v>33.401572999999999</v>
      </c>
      <c r="DA82" s="3">
        <v>36.052230999999999</v>
      </c>
      <c r="DB82" s="3">
        <v>37.846924000000001</v>
      </c>
      <c r="DC82" s="3">
        <v>31.398800000000001</v>
      </c>
      <c r="DD82" s="3">
        <v>34.798850999999999</v>
      </c>
      <c r="DE82" s="3">
        <v>35.239376</v>
      </c>
      <c r="DF82" s="3">
        <v>35.643977999999997</v>
      </c>
      <c r="DG82" s="3">
        <v>31.964462000000001</v>
      </c>
      <c r="DH82" s="3">
        <v>35.067089000000003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</row>
    <row r="84" spans="2:207" x14ac:dyDescent="0.2"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</row>
    <row r="85" spans="2:207" x14ac:dyDescent="0.2">
      <c r="B85" t="s">
        <v>60</v>
      </c>
      <c r="D85" s="1" t="s">
        <v>40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15.129776129999998</v>
      </c>
      <c r="H86" s="3">
        <f>MAX(M86:GJ86)</f>
        <v>24.100398999999999</v>
      </c>
      <c r="I86" s="3">
        <f>MIN(M86:GJ86)</f>
        <v>13.488768</v>
      </c>
      <c r="J86" s="3">
        <f>_xlfn.STDEV.P(M86:GJ86)</f>
        <v>1.4856468580300544</v>
      </c>
      <c r="K86" s="3">
        <f>_xlfn.VAR.S(M86:GJ86)</f>
        <v>2.2294409967419928</v>
      </c>
      <c r="M86" s="3">
        <v>14.110245000000001</v>
      </c>
      <c r="N86" s="3">
        <v>16.681576</v>
      </c>
      <c r="O86" s="3">
        <v>15.869719999999999</v>
      </c>
      <c r="P86" s="3">
        <v>15.326209</v>
      </c>
      <c r="Q86" s="3">
        <v>18.940844999999999</v>
      </c>
      <c r="R86" s="3">
        <v>14.241979000000001</v>
      </c>
      <c r="S86" s="3">
        <v>14.400323</v>
      </c>
      <c r="T86" s="3">
        <v>14.294138</v>
      </c>
      <c r="U86" s="3">
        <v>14.726850000000001</v>
      </c>
      <c r="V86" s="3">
        <v>14.172090000000001</v>
      </c>
      <c r="W86" s="3">
        <v>14.712035</v>
      </c>
      <c r="X86" s="3">
        <v>14.489399000000001</v>
      </c>
      <c r="Y86" s="3">
        <v>14.613946</v>
      </c>
      <c r="Z86" s="3">
        <v>16.132923000000002</v>
      </c>
      <c r="AA86" s="3">
        <v>14.598796</v>
      </c>
      <c r="AB86" s="3">
        <v>14.232937</v>
      </c>
      <c r="AC86" s="3">
        <v>13.964041</v>
      </c>
      <c r="AD86" s="3">
        <v>14.243503</v>
      </c>
      <c r="AE86" s="3">
        <v>14.029059</v>
      </c>
      <c r="AF86" s="3">
        <v>13.488768</v>
      </c>
      <c r="AG86" s="3">
        <v>17.208288</v>
      </c>
      <c r="AH86" s="3">
        <v>14.224874</v>
      </c>
      <c r="AI86" s="3">
        <v>14.198796</v>
      </c>
      <c r="AJ86" s="3">
        <v>14.695052</v>
      </c>
      <c r="AK86" s="3">
        <v>15.512219999999999</v>
      </c>
      <c r="AL86" s="3">
        <v>13.861022999999999</v>
      </c>
      <c r="AM86" s="3">
        <v>14.743435</v>
      </c>
      <c r="AN86" s="3">
        <v>14.255967</v>
      </c>
      <c r="AO86" s="3">
        <v>16.006079</v>
      </c>
      <c r="AP86" s="3">
        <v>14.285209999999999</v>
      </c>
      <c r="AQ86" s="3">
        <v>14.301669</v>
      </c>
      <c r="AR86" s="3">
        <v>14.320433</v>
      </c>
      <c r="AS86" s="3">
        <v>14.122259</v>
      </c>
      <c r="AT86" s="3">
        <v>14.545373</v>
      </c>
      <c r="AU86" s="3">
        <v>19.854792</v>
      </c>
      <c r="AV86" s="3">
        <v>18.190619000000002</v>
      </c>
      <c r="AW86" s="3">
        <v>14.275277000000001</v>
      </c>
      <c r="AX86" s="3">
        <v>14.227010999999999</v>
      </c>
      <c r="AY86" s="3">
        <v>13.962707999999999</v>
      </c>
      <c r="AZ86" s="3">
        <v>14.421405999999999</v>
      </c>
      <c r="BA86" s="3">
        <v>15.220075</v>
      </c>
      <c r="BB86" s="3">
        <v>14.394411</v>
      </c>
      <c r="BC86" s="3">
        <v>14.338514</v>
      </c>
      <c r="BD86" s="3">
        <v>14.232576999999999</v>
      </c>
      <c r="BE86" s="3">
        <v>24.100398999999999</v>
      </c>
      <c r="BF86" s="3">
        <v>14.548887000000001</v>
      </c>
      <c r="BG86" s="3">
        <v>15.203739000000001</v>
      </c>
      <c r="BH86" s="3">
        <v>15.154197999999999</v>
      </c>
      <c r="BI86" s="3">
        <v>17.796015000000001</v>
      </c>
      <c r="BJ86" s="3">
        <v>16.487708999999999</v>
      </c>
      <c r="BK86" s="3">
        <v>14.488459000000001</v>
      </c>
      <c r="BL86" s="3">
        <v>14.721679</v>
      </c>
      <c r="BM86" s="3">
        <v>14.337641</v>
      </c>
      <c r="BN86" s="3">
        <v>14.045639</v>
      </c>
      <c r="BO86" s="3">
        <v>14.357981000000001</v>
      </c>
      <c r="BP86" s="3">
        <v>15.856085999999999</v>
      </c>
      <c r="BQ86" s="3">
        <v>14.546843000000001</v>
      </c>
      <c r="BR86" s="3">
        <v>16.739439000000001</v>
      </c>
      <c r="BS86" s="3">
        <v>15.503223999999999</v>
      </c>
      <c r="BT86" s="3">
        <v>16.345120999999999</v>
      </c>
      <c r="BU86" s="3">
        <v>14.173197999999999</v>
      </c>
      <c r="BV86" s="3">
        <v>15.024478</v>
      </c>
      <c r="BW86" s="3">
        <v>14.372242999999999</v>
      </c>
      <c r="BX86" s="3">
        <v>14.340372</v>
      </c>
      <c r="BY86" s="3">
        <v>16.12604</v>
      </c>
      <c r="BZ86" s="3">
        <v>14.325452</v>
      </c>
      <c r="CA86" s="3">
        <v>14.763780000000001</v>
      </c>
      <c r="CB86" s="3">
        <v>14.537013</v>
      </c>
      <c r="CC86" s="3">
        <v>14.200562</v>
      </c>
      <c r="CD86" s="3">
        <v>15.975224000000001</v>
      </c>
      <c r="CE86" s="3">
        <v>15.671989999999999</v>
      </c>
      <c r="CF86" s="3">
        <v>15.949306</v>
      </c>
      <c r="CG86" s="3">
        <v>18.472875999999999</v>
      </c>
      <c r="CH86" s="3">
        <v>16.784949999999998</v>
      </c>
      <c r="CI86" s="3">
        <v>14.233613</v>
      </c>
      <c r="CJ86" s="3">
        <v>14.904603</v>
      </c>
      <c r="CK86" s="3">
        <v>14.258512</v>
      </c>
      <c r="CL86" s="3">
        <v>15.351951</v>
      </c>
      <c r="CM86" s="3">
        <v>14.206390000000001</v>
      </c>
      <c r="CN86" s="3">
        <v>15.683752999999999</v>
      </c>
      <c r="CO86" s="3">
        <v>15.001925</v>
      </c>
      <c r="CP86" s="3">
        <v>14.088955</v>
      </c>
      <c r="CQ86" s="3">
        <v>14.218389</v>
      </c>
      <c r="CR86" s="3">
        <v>15.190118</v>
      </c>
      <c r="CS86" s="3">
        <v>14.117428</v>
      </c>
      <c r="CT86" s="3">
        <v>14.38602</v>
      </c>
      <c r="CU86" s="3">
        <v>14.347227</v>
      </c>
      <c r="CV86" s="3">
        <v>18.038274999999999</v>
      </c>
      <c r="CW86" s="3">
        <v>16.038392999999999</v>
      </c>
      <c r="CX86" s="3">
        <v>14.717594</v>
      </c>
      <c r="CY86" s="3">
        <v>14.504545999999999</v>
      </c>
      <c r="CZ86" s="3">
        <v>14.303812000000001</v>
      </c>
      <c r="DA86" s="3">
        <v>14.247095</v>
      </c>
      <c r="DB86" s="3">
        <v>14.421289</v>
      </c>
      <c r="DC86" s="3">
        <v>14.313231</v>
      </c>
      <c r="DD86" s="3">
        <v>15.859228</v>
      </c>
      <c r="DE86" s="3">
        <v>15.603427999999999</v>
      </c>
      <c r="DF86" s="3">
        <v>15.758822</v>
      </c>
      <c r="DG86" s="3">
        <v>15.329459999999999</v>
      </c>
      <c r="DH86" s="3">
        <v>14.235563000000001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14.829479290000004</v>
      </c>
      <c r="H88" s="3">
        <f>MAX(M88:GJ88)</f>
        <v>19.787098</v>
      </c>
      <c r="I88" s="3">
        <f>MIN(M88:GJ88)</f>
        <v>10.127226</v>
      </c>
      <c r="J88" s="3">
        <f>_xlfn.STDEV.P(M88:GJ88)</f>
        <v>1.9661651718477</v>
      </c>
      <c r="K88" s="3">
        <f>_xlfn.VAR.S(M88:GJ88)</f>
        <v>3.904854023219098</v>
      </c>
      <c r="M88" s="3">
        <v>18.315186000000001</v>
      </c>
      <c r="N88" s="3">
        <v>13.07325</v>
      </c>
      <c r="O88" s="3">
        <v>13.556808</v>
      </c>
      <c r="P88" s="3">
        <v>12.792994</v>
      </c>
      <c r="Q88" s="3">
        <v>17.061588</v>
      </c>
      <c r="R88" s="3">
        <v>15.209286000000001</v>
      </c>
      <c r="S88" s="3">
        <v>13.394209</v>
      </c>
      <c r="T88" s="3">
        <v>16.619534000000002</v>
      </c>
      <c r="U88" s="3">
        <v>16.541654999999999</v>
      </c>
      <c r="V88" s="3">
        <v>18.287524999999999</v>
      </c>
      <c r="W88" s="3">
        <v>15.350477</v>
      </c>
      <c r="X88" s="3">
        <v>11.927318</v>
      </c>
      <c r="Y88" s="3">
        <v>18.260238999999999</v>
      </c>
      <c r="Z88" s="3">
        <v>11.798436000000001</v>
      </c>
      <c r="AA88" s="3">
        <v>17.978549999999998</v>
      </c>
      <c r="AB88" s="3">
        <v>15.464354999999999</v>
      </c>
      <c r="AC88" s="3">
        <v>17.631036999999999</v>
      </c>
      <c r="AD88" s="3">
        <v>15.710898</v>
      </c>
      <c r="AE88" s="3">
        <v>13.967226999999999</v>
      </c>
      <c r="AF88" s="3">
        <v>13.617717000000001</v>
      </c>
      <c r="AG88" s="3">
        <v>14.39194</v>
      </c>
      <c r="AH88" s="3">
        <v>17.267900000000001</v>
      </c>
      <c r="AI88" s="3">
        <v>15.365398000000001</v>
      </c>
      <c r="AJ88" s="3">
        <v>10.310072</v>
      </c>
      <c r="AK88" s="3">
        <v>15.186722</v>
      </c>
      <c r="AL88" s="3">
        <v>17.181061</v>
      </c>
      <c r="AM88" s="3">
        <v>11.846919</v>
      </c>
      <c r="AN88" s="3">
        <v>12.843342</v>
      </c>
      <c r="AO88" s="3">
        <v>15.704713999999999</v>
      </c>
      <c r="AP88" s="3">
        <v>15.96204</v>
      </c>
      <c r="AQ88" s="3">
        <v>15.160297999999999</v>
      </c>
      <c r="AR88" s="3">
        <v>14.246992000000001</v>
      </c>
      <c r="AS88" s="3">
        <v>16.410522</v>
      </c>
      <c r="AT88" s="3">
        <v>13.769401</v>
      </c>
      <c r="AU88" s="3">
        <v>14.125185</v>
      </c>
      <c r="AV88" s="3">
        <v>12.973568</v>
      </c>
      <c r="AW88" s="3">
        <v>12.381879</v>
      </c>
      <c r="AX88" s="3">
        <v>15.461117</v>
      </c>
      <c r="AY88" s="3">
        <v>13.395642</v>
      </c>
      <c r="AZ88" s="3">
        <v>13.815023</v>
      </c>
      <c r="BA88" s="3">
        <v>14.594924000000001</v>
      </c>
      <c r="BB88" s="3">
        <v>13.210576</v>
      </c>
      <c r="BC88" s="3">
        <v>15.283291999999999</v>
      </c>
      <c r="BD88" s="3">
        <v>14.842893999999999</v>
      </c>
      <c r="BE88" s="3">
        <v>13.048750999999999</v>
      </c>
      <c r="BF88" s="3">
        <v>14.762309999999999</v>
      </c>
      <c r="BG88" s="3">
        <v>16.535881</v>
      </c>
      <c r="BH88" s="3">
        <v>16.315602999999999</v>
      </c>
      <c r="BI88" s="3">
        <v>15.929990999999999</v>
      </c>
      <c r="BJ88" s="3">
        <v>19.787098</v>
      </c>
      <c r="BK88" s="3">
        <v>16.735303999999999</v>
      </c>
      <c r="BL88" s="3">
        <v>13.503428</v>
      </c>
      <c r="BM88" s="3">
        <v>13.220542</v>
      </c>
      <c r="BN88" s="3">
        <v>16.089328999999999</v>
      </c>
      <c r="BO88" s="3">
        <v>16.568232999999999</v>
      </c>
      <c r="BP88" s="3">
        <v>12.211309</v>
      </c>
      <c r="BQ88" s="3">
        <v>16.198831999999999</v>
      </c>
      <c r="BR88" s="3">
        <v>17.980436000000001</v>
      </c>
      <c r="BS88" s="3">
        <v>12.620528</v>
      </c>
      <c r="BT88" s="3">
        <v>13.358563</v>
      </c>
      <c r="BU88" s="3">
        <v>10.799009</v>
      </c>
      <c r="BV88" s="3">
        <v>15.256263000000001</v>
      </c>
      <c r="BW88" s="3">
        <v>17.071556000000001</v>
      </c>
      <c r="BX88" s="3">
        <v>13.617925</v>
      </c>
      <c r="BY88" s="3">
        <v>12.042021</v>
      </c>
      <c r="BZ88" s="3">
        <v>15.650173000000001</v>
      </c>
      <c r="CA88" s="3">
        <v>13.955107</v>
      </c>
      <c r="CB88" s="3">
        <v>16.140108000000001</v>
      </c>
      <c r="CC88" s="3">
        <v>15.47265</v>
      </c>
      <c r="CD88" s="3">
        <v>13.32868</v>
      </c>
      <c r="CE88" s="3">
        <v>13.495858</v>
      </c>
      <c r="CF88" s="3">
        <v>17.155650999999999</v>
      </c>
      <c r="CG88" s="3">
        <v>15.303091999999999</v>
      </c>
      <c r="CH88" s="3">
        <v>11.983644</v>
      </c>
      <c r="CI88" s="3">
        <v>10.945926999999999</v>
      </c>
      <c r="CJ88" s="3">
        <v>14.498970999999999</v>
      </c>
      <c r="CK88" s="3">
        <v>17.111198000000002</v>
      </c>
      <c r="CL88" s="3">
        <v>15.868505000000001</v>
      </c>
      <c r="CM88" s="3">
        <v>15.082226</v>
      </c>
      <c r="CN88" s="3">
        <v>17.418213000000002</v>
      </c>
      <c r="CO88" s="3">
        <v>14.140656</v>
      </c>
      <c r="CP88" s="3">
        <v>18.061121</v>
      </c>
      <c r="CQ88" s="3">
        <v>16.949131000000001</v>
      </c>
      <c r="CR88" s="3">
        <v>12.445448000000001</v>
      </c>
      <c r="CS88" s="3">
        <v>14.564589</v>
      </c>
      <c r="CT88" s="3">
        <v>13.554650000000001</v>
      </c>
      <c r="CU88" s="3">
        <v>14.708173</v>
      </c>
      <c r="CV88" s="3">
        <v>15.367349000000001</v>
      </c>
      <c r="CW88" s="3">
        <v>12.610305</v>
      </c>
      <c r="CX88" s="3">
        <v>14.530578999999999</v>
      </c>
      <c r="CY88" s="3">
        <v>16.147217000000001</v>
      </c>
      <c r="CZ88" s="3">
        <v>15.194291</v>
      </c>
      <c r="DA88" s="3">
        <v>14.228915000000001</v>
      </c>
      <c r="DB88" s="3">
        <v>13.334571</v>
      </c>
      <c r="DC88" s="3">
        <v>14.846902999999999</v>
      </c>
      <c r="DD88" s="3">
        <v>15.076661</v>
      </c>
      <c r="DE88" s="3">
        <v>17.975933000000001</v>
      </c>
      <c r="DF88" s="3">
        <v>16.354305</v>
      </c>
      <c r="DG88" s="3">
        <v>13.377281</v>
      </c>
      <c r="DH88" s="3">
        <v>10.127226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16.130552730000005</v>
      </c>
      <c r="H90" s="3">
        <f>MAX(M90:GJ90)</f>
        <v>19.196629000000001</v>
      </c>
      <c r="I90" s="3">
        <f>MIN(M90:GJ90)</f>
        <v>13.801989000000001</v>
      </c>
      <c r="J90" s="3">
        <f>_xlfn.STDEV.P(M90:GJ90)</f>
        <v>1.1587868135250492</v>
      </c>
      <c r="K90" s="3">
        <f>_xlfn.VAR.S(M90:GJ90)</f>
        <v>1.3563503830298356</v>
      </c>
      <c r="M90" s="3">
        <v>15.285161</v>
      </c>
      <c r="N90" s="3">
        <v>14.034124</v>
      </c>
      <c r="O90" s="3">
        <v>16.109137</v>
      </c>
      <c r="P90" s="3">
        <v>15.662203</v>
      </c>
      <c r="Q90" s="3">
        <v>14.064137000000001</v>
      </c>
      <c r="R90" s="3">
        <v>17.415279000000002</v>
      </c>
      <c r="S90" s="3">
        <v>15.668816</v>
      </c>
      <c r="T90" s="3">
        <v>15.681013</v>
      </c>
      <c r="U90" s="3">
        <v>14.711703999999999</v>
      </c>
      <c r="V90" s="3">
        <v>16.237090999999999</v>
      </c>
      <c r="W90" s="3">
        <v>14.659136999999999</v>
      </c>
      <c r="X90" s="3">
        <v>15.694592</v>
      </c>
      <c r="Y90" s="3">
        <v>15.207044</v>
      </c>
      <c r="Z90" s="3">
        <v>16.560901999999999</v>
      </c>
      <c r="AA90" s="3">
        <v>18.027384000000001</v>
      </c>
      <c r="AB90" s="3">
        <v>15.466241999999999</v>
      </c>
      <c r="AC90" s="3">
        <v>15.154234000000001</v>
      </c>
      <c r="AD90" s="3">
        <v>15.017333000000001</v>
      </c>
      <c r="AE90" s="3">
        <v>15.328825</v>
      </c>
      <c r="AF90" s="3">
        <v>14.137574000000001</v>
      </c>
      <c r="AG90" s="3">
        <v>14.617330000000001</v>
      </c>
      <c r="AH90" s="3">
        <v>15.498212000000001</v>
      </c>
      <c r="AI90" s="3">
        <v>16.222795000000001</v>
      </c>
      <c r="AJ90" s="3">
        <v>16.926428000000001</v>
      </c>
      <c r="AK90" s="3">
        <v>15.905670000000001</v>
      </c>
      <c r="AL90" s="3">
        <v>16.205445999999998</v>
      </c>
      <c r="AM90" s="3">
        <v>16.087378000000001</v>
      </c>
      <c r="AN90" s="3">
        <v>16.073160000000001</v>
      </c>
      <c r="AO90" s="3">
        <v>15.925552</v>
      </c>
      <c r="AP90" s="3">
        <v>14.832072</v>
      </c>
      <c r="AQ90" s="3">
        <v>15.604834</v>
      </c>
      <c r="AR90" s="3">
        <v>17.132636999999999</v>
      </c>
      <c r="AS90" s="3">
        <v>16.607443</v>
      </c>
      <c r="AT90" s="3">
        <v>14.645531</v>
      </c>
      <c r="AU90" s="3">
        <v>16.750874</v>
      </c>
      <c r="AV90" s="3">
        <v>15.292085</v>
      </c>
      <c r="AW90" s="3">
        <v>15.27993</v>
      </c>
      <c r="AX90" s="3">
        <v>13.801989000000001</v>
      </c>
      <c r="AY90" s="3">
        <v>13.965821</v>
      </c>
      <c r="AZ90" s="3">
        <v>16.124320999999998</v>
      </c>
      <c r="BA90" s="3">
        <v>15.672903</v>
      </c>
      <c r="BB90" s="3">
        <v>19.196629000000001</v>
      </c>
      <c r="BC90" s="3">
        <v>18.757666</v>
      </c>
      <c r="BD90" s="3">
        <v>14.807672999999999</v>
      </c>
      <c r="BE90" s="3">
        <v>14.756696</v>
      </c>
      <c r="BF90" s="3">
        <v>16.377323000000001</v>
      </c>
      <c r="BG90" s="3">
        <v>15.444711</v>
      </c>
      <c r="BH90" s="3">
        <v>16.251588999999999</v>
      </c>
      <c r="BI90" s="3">
        <v>18.953952000000001</v>
      </c>
      <c r="BJ90" s="3">
        <v>14.863837</v>
      </c>
      <c r="BK90" s="3">
        <v>15.902167</v>
      </c>
      <c r="BL90" s="3">
        <v>16.485672000000001</v>
      </c>
      <c r="BM90" s="3">
        <v>15.816793000000001</v>
      </c>
      <c r="BN90" s="3">
        <v>16.339694999999999</v>
      </c>
      <c r="BO90" s="3">
        <v>16.288618</v>
      </c>
      <c r="BP90" s="3">
        <v>16.842934</v>
      </c>
      <c r="BQ90" s="3">
        <v>15.921821</v>
      </c>
      <c r="BR90" s="3">
        <v>16.808996</v>
      </c>
      <c r="BS90" s="3">
        <v>16.753447999999999</v>
      </c>
      <c r="BT90" s="3">
        <v>16.334309000000001</v>
      </c>
      <c r="BU90" s="3">
        <v>15.329762000000001</v>
      </c>
      <c r="BV90" s="3">
        <v>18.918316000000001</v>
      </c>
      <c r="BW90" s="3">
        <v>17.252037000000001</v>
      </c>
      <c r="BX90" s="3">
        <v>14.661477</v>
      </c>
      <c r="BY90" s="3">
        <v>17.450607000000002</v>
      </c>
      <c r="BZ90" s="3">
        <v>16.713953</v>
      </c>
      <c r="CA90" s="3">
        <v>15.946498999999999</v>
      </c>
      <c r="CB90" s="3">
        <v>15.621797000000001</v>
      </c>
      <c r="CC90" s="3">
        <v>16.11993</v>
      </c>
      <c r="CD90" s="3">
        <v>15.488021</v>
      </c>
      <c r="CE90" s="3">
        <v>16.782444000000002</v>
      </c>
      <c r="CF90" s="3">
        <v>16.648741000000001</v>
      </c>
      <c r="CG90" s="3">
        <v>16.195008999999999</v>
      </c>
      <c r="CH90" s="3">
        <v>18.468416000000001</v>
      </c>
      <c r="CI90" s="3">
        <v>15.136459</v>
      </c>
      <c r="CJ90" s="3">
        <v>16.514015000000001</v>
      </c>
      <c r="CK90" s="3">
        <v>17.035800999999999</v>
      </c>
      <c r="CL90" s="3">
        <v>16.057289000000001</v>
      </c>
      <c r="CM90" s="3">
        <v>17.381008000000001</v>
      </c>
      <c r="CN90" s="3">
        <v>17.451505999999998</v>
      </c>
      <c r="CO90" s="3">
        <v>15.976470000000001</v>
      </c>
      <c r="CP90" s="3">
        <v>15.514222999999999</v>
      </c>
      <c r="CQ90" s="3">
        <v>17.483421</v>
      </c>
      <c r="CR90" s="3">
        <v>16.606396</v>
      </c>
      <c r="CS90" s="3">
        <v>19.124417999999999</v>
      </c>
      <c r="CT90" s="3">
        <v>16.894485</v>
      </c>
      <c r="CU90" s="3">
        <v>15.418443</v>
      </c>
      <c r="CV90" s="3">
        <v>16.099024</v>
      </c>
      <c r="CW90" s="3">
        <v>14.386203</v>
      </c>
      <c r="CX90" s="3">
        <v>16.649401000000001</v>
      </c>
      <c r="CY90" s="3">
        <v>16.796970000000002</v>
      </c>
      <c r="CZ90" s="3">
        <v>18.828866000000001</v>
      </c>
      <c r="DA90" s="3">
        <v>17.256177999999998</v>
      </c>
      <c r="DB90" s="3">
        <v>16.668762000000001</v>
      </c>
      <c r="DC90" s="3">
        <v>15.943757</v>
      </c>
      <c r="DD90" s="3">
        <v>16.089224000000002</v>
      </c>
      <c r="DE90" s="3">
        <v>16.175260999999999</v>
      </c>
      <c r="DF90" s="3">
        <v>17.039729999999999</v>
      </c>
      <c r="DG90" s="3">
        <v>14.950714</v>
      </c>
      <c r="DH90" s="3">
        <v>15.781368000000001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16.333219509999999</v>
      </c>
      <c r="H92" s="3">
        <f>MAX(M92:GJ92)</f>
        <v>19.000806999999998</v>
      </c>
      <c r="I92" s="3">
        <f>MIN(M92:GJ92)</f>
        <v>14.051325</v>
      </c>
      <c r="J92" s="3">
        <f>_xlfn.STDEV.P(M92:GJ92)</f>
        <v>0.92238337729451181</v>
      </c>
      <c r="K92" s="3">
        <f>_xlfn.VAR.S(M92:GJ92)</f>
        <v>0.85938494415073707</v>
      </c>
      <c r="M92" s="3">
        <v>17.767901999999999</v>
      </c>
      <c r="N92" s="3">
        <v>16.367483</v>
      </c>
      <c r="O92" s="3">
        <v>15.6648</v>
      </c>
      <c r="P92" s="3">
        <v>14.608689999999999</v>
      </c>
      <c r="Q92" s="3">
        <v>16.016511999999999</v>
      </c>
      <c r="R92" s="3">
        <v>16.494278000000001</v>
      </c>
      <c r="S92" s="3">
        <v>17.187828</v>
      </c>
      <c r="T92" s="3">
        <v>17.194088000000001</v>
      </c>
      <c r="U92" s="3">
        <v>16.149059000000001</v>
      </c>
      <c r="V92" s="3">
        <v>15.243921</v>
      </c>
      <c r="W92" s="3">
        <v>16.258721999999999</v>
      </c>
      <c r="X92" s="3">
        <v>16.245246999999999</v>
      </c>
      <c r="Y92" s="3">
        <v>15.769926999999999</v>
      </c>
      <c r="Z92" s="3">
        <v>16.768715</v>
      </c>
      <c r="AA92" s="3">
        <v>14.051325</v>
      </c>
      <c r="AB92" s="3">
        <v>15.29177</v>
      </c>
      <c r="AC92" s="3">
        <v>15.417251</v>
      </c>
      <c r="AD92" s="3">
        <v>17.061136000000001</v>
      </c>
      <c r="AE92" s="3">
        <v>16.463028000000001</v>
      </c>
      <c r="AF92" s="3">
        <v>16.139631000000001</v>
      </c>
      <c r="AG92" s="3">
        <v>16.693611000000001</v>
      </c>
      <c r="AH92" s="3">
        <v>15.270149999999999</v>
      </c>
      <c r="AI92" s="3">
        <v>17.782471000000001</v>
      </c>
      <c r="AJ92" s="3">
        <v>16.508756999999999</v>
      </c>
      <c r="AK92" s="3">
        <v>16.837662000000002</v>
      </c>
      <c r="AL92" s="3">
        <v>17.013010000000001</v>
      </c>
      <c r="AM92" s="3">
        <v>16.394337</v>
      </c>
      <c r="AN92" s="3">
        <v>15.061893</v>
      </c>
      <c r="AO92" s="3">
        <v>14.400434000000001</v>
      </c>
      <c r="AP92" s="3">
        <v>16.197668</v>
      </c>
      <c r="AQ92" s="3">
        <v>17.685393999999999</v>
      </c>
      <c r="AR92" s="3">
        <v>17.744109999999999</v>
      </c>
      <c r="AS92" s="3">
        <v>18.701563</v>
      </c>
      <c r="AT92" s="3">
        <v>19.000806999999998</v>
      </c>
      <c r="AU92" s="3">
        <v>15.907956</v>
      </c>
      <c r="AV92" s="3">
        <v>17.521654000000002</v>
      </c>
      <c r="AW92" s="3">
        <v>16.406216000000001</v>
      </c>
      <c r="AX92" s="3">
        <v>15.840659</v>
      </c>
      <c r="AY92" s="3">
        <v>15.462631</v>
      </c>
      <c r="AZ92" s="3">
        <v>15.754372999999999</v>
      </c>
      <c r="BA92" s="3">
        <v>17.528534000000001</v>
      </c>
      <c r="BB92" s="3">
        <v>15.652808</v>
      </c>
      <c r="BC92" s="3">
        <v>16.686827000000001</v>
      </c>
      <c r="BD92" s="3">
        <v>17.436819</v>
      </c>
      <c r="BE92" s="3">
        <v>16.248175</v>
      </c>
      <c r="BF92" s="3">
        <v>16.790924</v>
      </c>
      <c r="BG92" s="3">
        <v>16.844282</v>
      </c>
      <c r="BH92" s="3">
        <v>15.720815</v>
      </c>
      <c r="BI92" s="3">
        <v>17.252298</v>
      </c>
      <c r="BJ92" s="3">
        <v>17.612082999999998</v>
      </c>
      <c r="BK92" s="3">
        <v>17.763480999999999</v>
      </c>
      <c r="BL92" s="3">
        <v>17.887402000000002</v>
      </c>
      <c r="BM92" s="3">
        <v>16.063120000000001</v>
      </c>
      <c r="BN92" s="3">
        <v>15.422808</v>
      </c>
      <c r="BO92" s="3">
        <v>16.190024999999999</v>
      </c>
      <c r="BP92" s="3">
        <v>15.686752</v>
      </c>
      <c r="BQ92" s="3">
        <v>17.027512000000002</v>
      </c>
      <c r="BR92" s="3">
        <v>16.152393</v>
      </c>
      <c r="BS92" s="3">
        <v>15.262867</v>
      </c>
      <c r="BT92" s="3">
        <v>15.898006000000001</v>
      </c>
      <c r="BU92" s="3">
        <v>17.731821</v>
      </c>
      <c r="BV92" s="3">
        <v>17.276855000000001</v>
      </c>
      <c r="BW92" s="3">
        <v>16.844414</v>
      </c>
      <c r="BX92" s="3">
        <v>15.786999</v>
      </c>
      <c r="BY92" s="3">
        <v>15.522962</v>
      </c>
      <c r="BZ92" s="3">
        <v>15.679838999999999</v>
      </c>
      <c r="CA92" s="3">
        <v>15.195014</v>
      </c>
      <c r="CB92" s="3">
        <v>15.343534</v>
      </c>
      <c r="CC92" s="3">
        <v>15.950048000000001</v>
      </c>
      <c r="CD92" s="3">
        <v>15.879863</v>
      </c>
      <c r="CE92" s="3">
        <v>16.377465999999998</v>
      </c>
      <c r="CF92" s="3">
        <v>15.991982</v>
      </c>
      <c r="CG92" s="3">
        <v>15.870863</v>
      </c>
      <c r="CH92" s="3">
        <v>17.889688</v>
      </c>
      <c r="CI92" s="3">
        <v>16.044395000000002</v>
      </c>
      <c r="CJ92" s="3">
        <v>15.718026</v>
      </c>
      <c r="CK92" s="3">
        <v>16.851692</v>
      </c>
      <c r="CL92" s="3">
        <v>15.746808</v>
      </c>
      <c r="CM92" s="3">
        <v>15.817728000000001</v>
      </c>
      <c r="CN92" s="3">
        <v>14.810347</v>
      </c>
      <c r="CO92" s="3">
        <v>16.380032</v>
      </c>
      <c r="CP92" s="3">
        <v>15.604464999999999</v>
      </c>
      <c r="CQ92" s="3">
        <v>14.994509000000001</v>
      </c>
      <c r="CR92" s="3">
        <v>16.146318000000001</v>
      </c>
      <c r="CS92" s="3">
        <v>15.605905999999999</v>
      </c>
      <c r="CT92" s="3">
        <v>16.284932999999999</v>
      </c>
      <c r="CU92" s="3">
        <v>16.584764</v>
      </c>
      <c r="CV92" s="3">
        <v>16.907616000000001</v>
      </c>
      <c r="CW92" s="3">
        <v>15.184723</v>
      </c>
      <c r="CX92" s="3">
        <v>16.691020999999999</v>
      </c>
      <c r="CY92" s="3">
        <v>15.787089999999999</v>
      </c>
      <c r="CZ92" s="3">
        <v>16.198767</v>
      </c>
      <c r="DA92" s="3">
        <v>16.413630999999999</v>
      </c>
      <c r="DB92" s="3">
        <v>15.618237000000001</v>
      </c>
      <c r="DC92" s="3">
        <v>18.235226000000001</v>
      </c>
      <c r="DD92" s="3">
        <v>16.147247</v>
      </c>
      <c r="DE92" s="3">
        <v>15.776546</v>
      </c>
      <c r="DF92" s="3">
        <v>16.876712999999999</v>
      </c>
      <c r="DG92" s="3">
        <v>17.751639999999998</v>
      </c>
      <c r="DH92" s="3">
        <v>16.327622999999999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15.687894790000005</v>
      </c>
      <c r="H94" s="3">
        <f>MAX(M94:GJ94)</f>
        <v>17.245262</v>
      </c>
      <c r="I94" s="3">
        <f>MIN(M94:GJ94)</f>
        <v>13.407432</v>
      </c>
      <c r="J94" s="3">
        <f>_xlfn.STDEV.P(M94:GJ94)</f>
        <v>0.75814839279836621</v>
      </c>
      <c r="K94" s="3">
        <f>_xlfn.VAR.S(M94:GJ94)</f>
        <v>0.58059493485125846</v>
      </c>
      <c r="M94" s="3">
        <v>13.407432</v>
      </c>
      <c r="N94" s="3">
        <v>15.343458</v>
      </c>
      <c r="O94" s="3">
        <v>16.105319999999999</v>
      </c>
      <c r="P94" s="3">
        <v>17.245262</v>
      </c>
      <c r="Q94" s="3">
        <v>14.422197000000001</v>
      </c>
      <c r="R94" s="3">
        <v>15.717554</v>
      </c>
      <c r="S94" s="3">
        <v>16.151304</v>
      </c>
      <c r="T94" s="3">
        <v>15.870088000000001</v>
      </c>
      <c r="U94" s="3">
        <v>16.128941999999999</v>
      </c>
      <c r="V94" s="3">
        <v>16.450303999999999</v>
      </c>
      <c r="W94" s="3">
        <v>16.460526999999999</v>
      </c>
      <c r="X94" s="3">
        <v>14.871687</v>
      </c>
      <c r="Y94" s="3">
        <v>15.957756</v>
      </c>
      <c r="Z94" s="3">
        <v>15.170679</v>
      </c>
      <c r="AA94" s="3">
        <v>15.953923</v>
      </c>
      <c r="AB94" s="3">
        <v>15.251442000000001</v>
      </c>
      <c r="AC94" s="3">
        <v>15.652796</v>
      </c>
      <c r="AD94" s="3">
        <v>15.818505</v>
      </c>
      <c r="AE94" s="3">
        <v>16.633717000000001</v>
      </c>
      <c r="AF94" s="3">
        <v>15.459937</v>
      </c>
      <c r="AG94" s="3">
        <v>15.861053</v>
      </c>
      <c r="AH94" s="3">
        <v>16.334454999999998</v>
      </c>
      <c r="AI94" s="3">
        <v>16.106573000000001</v>
      </c>
      <c r="AJ94" s="3">
        <v>16.304939000000001</v>
      </c>
      <c r="AK94" s="3">
        <v>16.885597000000001</v>
      </c>
      <c r="AL94" s="3">
        <v>15.157436000000001</v>
      </c>
      <c r="AM94" s="3">
        <v>15.987882000000001</v>
      </c>
      <c r="AN94" s="3">
        <v>14.480930000000001</v>
      </c>
      <c r="AO94" s="3">
        <v>16.133371</v>
      </c>
      <c r="AP94" s="3">
        <v>16.355207</v>
      </c>
      <c r="AQ94" s="3">
        <v>16.600736999999999</v>
      </c>
      <c r="AR94" s="3">
        <v>15.602067</v>
      </c>
      <c r="AS94" s="3">
        <v>15.595584000000001</v>
      </c>
      <c r="AT94" s="3">
        <v>16.076450000000001</v>
      </c>
      <c r="AU94" s="3">
        <v>16.105246000000001</v>
      </c>
      <c r="AV94" s="3">
        <v>14.726381</v>
      </c>
      <c r="AW94" s="3">
        <v>14.375128</v>
      </c>
      <c r="AX94" s="3">
        <v>14.413496</v>
      </c>
      <c r="AY94" s="3">
        <v>16.181567999999999</v>
      </c>
      <c r="AZ94" s="3">
        <v>15.821403999999999</v>
      </c>
      <c r="BA94" s="3">
        <v>14.675208</v>
      </c>
      <c r="BB94" s="3">
        <v>16.426283000000002</v>
      </c>
      <c r="BC94" s="3">
        <v>16.600534</v>
      </c>
      <c r="BD94" s="3">
        <v>16.313127999999999</v>
      </c>
      <c r="BE94" s="3">
        <v>14.632752999999999</v>
      </c>
      <c r="BF94" s="3">
        <v>16.435326</v>
      </c>
      <c r="BG94" s="3">
        <v>16.013304000000002</v>
      </c>
      <c r="BH94" s="3">
        <v>15.002703</v>
      </c>
      <c r="BI94" s="3">
        <v>15.449603</v>
      </c>
      <c r="BJ94" s="3">
        <v>14.779444</v>
      </c>
      <c r="BK94" s="3">
        <v>15.054416</v>
      </c>
      <c r="BL94" s="3">
        <v>16.62454</v>
      </c>
      <c r="BM94" s="3">
        <v>14.870282</v>
      </c>
      <c r="BN94" s="3">
        <v>15.610079000000001</v>
      </c>
      <c r="BO94" s="3">
        <v>15.962842</v>
      </c>
      <c r="BP94" s="3">
        <v>16.803303</v>
      </c>
      <c r="BQ94" s="3">
        <v>14.698713</v>
      </c>
      <c r="BR94" s="3">
        <v>15.415585999999999</v>
      </c>
      <c r="BS94" s="3">
        <v>16.653165999999999</v>
      </c>
      <c r="BT94" s="3">
        <v>15.984584</v>
      </c>
      <c r="BU94" s="3">
        <v>16.877893</v>
      </c>
      <c r="BV94" s="3">
        <v>14.397902</v>
      </c>
      <c r="BW94" s="3">
        <v>15.581661</v>
      </c>
      <c r="BX94" s="3">
        <v>15.328908999999999</v>
      </c>
      <c r="BY94" s="3">
        <v>15.694207</v>
      </c>
      <c r="BZ94" s="3">
        <v>15.003940999999999</v>
      </c>
      <c r="CA94" s="3">
        <v>16.602667</v>
      </c>
      <c r="CB94" s="3">
        <v>15.680315999999999</v>
      </c>
      <c r="CC94" s="3">
        <v>16.498851999999999</v>
      </c>
      <c r="CD94" s="3">
        <v>14.896228000000001</v>
      </c>
      <c r="CE94" s="3">
        <v>16.079402999999999</v>
      </c>
      <c r="CF94" s="3">
        <v>15.632667</v>
      </c>
      <c r="CG94" s="3">
        <v>14.782857</v>
      </c>
      <c r="CH94" s="3">
        <v>15.852038</v>
      </c>
      <c r="CI94" s="3">
        <v>15.272619000000001</v>
      </c>
      <c r="CJ94" s="3">
        <v>14.46186</v>
      </c>
      <c r="CK94" s="3">
        <v>16.060331000000001</v>
      </c>
      <c r="CL94" s="3">
        <v>14.555294</v>
      </c>
      <c r="CM94" s="3">
        <v>16.69434</v>
      </c>
      <c r="CN94" s="3">
        <v>16.983536000000001</v>
      </c>
      <c r="CO94" s="3">
        <v>16.268818</v>
      </c>
      <c r="CP94" s="3">
        <v>16.496092000000001</v>
      </c>
      <c r="CQ94" s="3">
        <v>13.680387</v>
      </c>
      <c r="CR94" s="3">
        <v>15.828749999999999</v>
      </c>
      <c r="CS94" s="3">
        <v>15.523605999999999</v>
      </c>
      <c r="CT94" s="3">
        <v>16.207173999999998</v>
      </c>
      <c r="CU94" s="3">
        <v>15.575663</v>
      </c>
      <c r="CV94" s="3">
        <v>15.421652999999999</v>
      </c>
      <c r="CW94" s="3">
        <v>15.185504</v>
      </c>
      <c r="CX94" s="3">
        <v>15.033303</v>
      </c>
      <c r="CY94" s="3">
        <v>16.115234000000001</v>
      </c>
      <c r="CZ94" s="3">
        <v>16.378133999999999</v>
      </c>
      <c r="DA94" s="3">
        <v>15.684925</v>
      </c>
      <c r="DB94" s="3">
        <v>15.903751</v>
      </c>
      <c r="DC94" s="3">
        <v>15.166389000000001</v>
      </c>
      <c r="DD94" s="3">
        <v>16.555164000000001</v>
      </c>
      <c r="DE94" s="3">
        <v>15.349985999999999</v>
      </c>
      <c r="DF94" s="3">
        <v>14.845675</v>
      </c>
      <c r="DG94" s="3">
        <v>15.031568999999999</v>
      </c>
      <c r="DH94" s="3">
        <v>16.416049999999998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 spans="2:207" x14ac:dyDescent="0.2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</row>
    <row r="96" spans="2:207" x14ac:dyDescent="0.2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</row>
    <row r="97" spans="13:193" x14ac:dyDescent="0.2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</row>
    <row r="98" spans="13:193" x14ac:dyDescent="0.2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</row>
    <row r="99" spans="13:193" x14ac:dyDescent="0.2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</row>
    <row r="100" spans="13:193" x14ac:dyDescent="0.2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</row>
    <row r="101" spans="13:193" x14ac:dyDescent="0.2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</row>
    <row r="102" spans="13:193" x14ac:dyDescent="0.2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</row>
    <row r="103" spans="13:193" x14ac:dyDescent="0.2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</row>
    <row r="104" spans="13:193" x14ac:dyDescent="0.2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2026-03-05T19:09:16Z</dcterms:modified>
</cp:coreProperties>
</file>