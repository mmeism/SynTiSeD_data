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rUPC/"/>
    </mc:Choice>
  </mc:AlternateContent>
  <xr:revisionPtr revIDLastSave="0" documentId="13_ncr:1_{97166170-DF52-8340-9E36-3542C7C66627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7" i="1" l="1"/>
  <c r="J47" i="1"/>
  <c r="I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F23" i="1"/>
  <c r="K21" i="1"/>
  <c r="J21" i="1"/>
  <c r="I21" i="1"/>
  <c r="H21" i="1"/>
  <c r="G21" i="1"/>
  <c r="F21" i="1"/>
  <c r="K19" i="1"/>
  <c r="J19" i="1"/>
  <c r="I19" i="1"/>
  <c r="H19" i="1"/>
  <c r="G19" i="1"/>
  <c r="F19" i="1"/>
  <c r="K17" i="1"/>
  <c r="J17" i="1"/>
  <c r="I17" i="1"/>
  <c r="H17" i="1"/>
  <c r="G17" i="1"/>
  <c r="F17" i="1"/>
  <c r="K15" i="1"/>
  <c r="J15" i="1"/>
  <c r="I15" i="1"/>
  <c r="H15" i="1"/>
  <c r="G15" i="1"/>
  <c r="F15" i="1"/>
  <c r="G11" i="1" l="1"/>
  <c r="G7" i="1"/>
  <c r="G9" i="1"/>
  <c r="G10" i="1"/>
  <c r="G8" i="1"/>
</calcChain>
</file>

<file path=xl/sharedStrings.xml><?xml version="1.0" encoding="utf-8"?>
<sst xmlns="http://schemas.openxmlformats.org/spreadsheetml/2006/main" count="78" uniqueCount="46">
  <si>
    <t>Konfig:</t>
  </si>
  <si>
    <t>device: kettle</t>
  </si>
  <si>
    <t>NILM Algorithms:</t>
  </si>
  <si>
    <t>Metric</t>
  </si>
  <si>
    <t>Mean</t>
  </si>
  <si>
    <t>Experiments</t>
  </si>
  <si>
    <t>MAE</t>
  </si>
  <si>
    <t>DAE</t>
  </si>
  <si>
    <t>RNN</t>
  </si>
  <si>
    <t>WindowGRU</t>
  </si>
  <si>
    <t>Seq2Seq</t>
  </si>
  <si>
    <t>Seq2Point</t>
  </si>
  <si>
    <t>Max</t>
  </si>
  <si>
    <t>Min</t>
  </si>
  <si>
    <t>Variance</t>
  </si>
  <si>
    <t>Standart deviation</t>
  </si>
  <si>
    <t>für alle Algorithmen stardart NILM settings</t>
  </si>
  <si>
    <t>Number of exp</t>
  </si>
  <si>
    <t>buildings': 8</t>
  </si>
  <si>
    <t>buildings': 11</t>
  </si>
  <si>
    <t>buildings': 17</t>
  </si>
  <si>
    <t>reale Testdaten(hh_08):</t>
  </si>
  <si>
    <t>reale Testdaten(hh_11):</t>
  </si>
  <si>
    <t>reale Testdaten(hh_17):</t>
  </si>
  <si>
    <t>start_time': '2020-01-03'</t>
  </si>
  <si>
    <t>end_time': '2020-01-31'</t>
  </si>
  <si>
    <t>start_time': '2019-12-12'</t>
  </si>
  <si>
    <t>end_time': '2019-12-29'</t>
  </si>
  <si>
    <t>start_time': '2020-01-07'</t>
  </si>
  <si>
    <t>start_time': '2020-01-31'</t>
  </si>
  <si>
    <t>validierung: Validation from training data (15%)</t>
  </si>
  <si>
    <t>train_synth (hh_01):</t>
  </si>
  <si>
    <t>train_synth (hh_04):</t>
  </si>
  <si>
    <t>train_synth (hh_07):</t>
  </si>
  <si>
    <t>train_synth (hh_14):</t>
  </si>
  <si>
    <t>start_time': '2021-01-01'</t>
  </si>
  <si>
    <t>end_time': '2021-01-14'</t>
  </si>
  <si>
    <t>WindowGRU_total</t>
  </si>
  <si>
    <t>Seq2Point_total</t>
  </si>
  <si>
    <t>RNN_total</t>
  </si>
  <si>
    <t>DAE_total</t>
  </si>
  <si>
    <t>Seq2Seq_total</t>
  </si>
  <si>
    <t>train: rUPC_dataset.h5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</si>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</sst>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63"/>
  <sheetViews>
    <sheetView tabSelected="1" workbookViewId="0">
      <selection activeCell="B18" sqref="B18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</v>
      </c>
    </row>
    <row r="3" spans="1:207" x14ac:dyDescent="0.2">
      <c r="A3" t="s">
        <v>42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31</v>
      </c>
      <c r="B4" s="2" t="s">
        <v>35</v>
      </c>
      <c r="C4" s="2" t="s">
        <v>36</v>
      </c>
      <c r="E4" s="2"/>
      <c r="F4" s="2"/>
      <c r="G4" s="2"/>
      <c r="H4" s="2"/>
      <c r="I4" s="2"/>
      <c r="J4" s="2"/>
      <c r="K4" s="2"/>
      <c r="L4" s="2"/>
    </row>
    <row r="5" spans="1:207" x14ac:dyDescent="0.2">
      <c r="A5" t="s">
        <v>32</v>
      </c>
      <c r="B5" s="2" t="s">
        <v>35</v>
      </c>
      <c r="C5" s="2" t="s">
        <v>36</v>
      </c>
      <c r="E5" s="2"/>
      <c r="F5" s="2"/>
      <c r="G5" s="2"/>
      <c r="H5" s="2"/>
      <c r="I5" s="2"/>
      <c r="J5" s="2"/>
      <c r="K5" s="2"/>
      <c r="L5" s="2"/>
    </row>
    <row r="6" spans="1:207" x14ac:dyDescent="0.2">
      <c r="A6" t="s">
        <v>33</v>
      </c>
      <c r="B6" s="2" t="s">
        <v>35</v>
      </c>
      <c r="C6" s="2" t="s">
        <v>36</v>
      </c>
      <c r="E6" s="2"/>
      <c r="F6" s="2"/>
      <c r="G6" s="4" t="s">
        <v>45</v>
      </c>
      <c r="H6" s="2"/>
      <c r="I6" s="2"/>
      <c r="J6" s="2"/>
      <c r="K6" s="2"/>
      <c r="L6" s="2"/>
    </row>
    <row r="7" spans="1:207" x14ac:dyDescent="0.2">
      <c r="A7" t="s">
        <v>34</v>
      </c>
      <c r="B7" s="2" t="s">
        <v>35</v>
      </c>
      <c r="C7" s="2" t="s">
        <v>36</v>
      </c>
      <c r="E7" s="2"/>
      <c r="F7" t="s">
        <v>39</v>
      </c>
      <c r="G7" s="3">
        <f>SUM(G15,G27,G39)/3</f>
        <v>20.787966063333325</v>
      </c>
    </row>
    <row r="8" spans="1:207" x14ac:dyDescent="0.2">
      <c r="A8" t="s">
        <v>43</v>
      </c>
      <c r="E8" s="2"/>
      <c r="F8" t="s">
        <v>37</v>
      </c>
      <c r="G8" s="3">
        <f>SUM(G17,G29,G41)/3</f>
        <v>14.617626829999999</v>
      </c>
    </row>
    <row r="9" spans="1:207" x14ac:dyDescent="0.2">
      <c r="A9" t="s">
        <v>30</v>
      </c>
      <c r="B9" s="2"/>
      <c r="C9" s="2"/>
      <c r="F9" t="s">
        <v>40</v>
      </c>
      <c r="G9" s="3">
        <f>SUM(G19,G31,G43)/3</f>
        <v>19.313800243333333</v>
      </c>
    </row>
    <row r="10" spans="1:207" x14ac:dyDescent="0.2">
      <c r="A10" t="s">
        <v>16</v>
      </c>
      <c r="F10" t="s">
        <v>41</v>
      </c>
      <c r="G10" s="3">
        <f>SUM(G21,G33,G45)/3</f>
        <v>15.958178813333335</v>
      </c>
    </row>
    <row r="11" spans="1:207" x14ac:dyDescent="0.2">
      <c r="F11" t="s">
        <v>38</v>
      </c>
      <c r="G11" s="3">
        <f>SUM(G23,G35,G47)/3</f>
        <v>16.361570560000001</v>
      </c>
    </row>
    <row r="13" spans="1:207" x14ac:dyDescent="0.2">
      <c r="B13" t="s">
        <v>44</v>
      </c>
      <c r="D13" s="1" t="s">
        <v>21</v>
      </c>
    </row>
    <row r="14" spans="1:207" x14ac:dyDescent="0.2">
      <c r="B14" s="2" t="s">
        <v>18</v>
      </c>
      <c r="D14" s="1" t="s">
        <v>2</v>
      </c>
      <c r="E14" s="1" t="s">
        <v>3</v>
      </c>
      <c r="F14" s="1" t="s">
        <v>17</v>
      </c>
      <c r="G14" s="1" t="s">
        <v>4</v>
      </c>
      <c r="H14" s="1" t="s">
        <v>12</v>
      </c>
      <c r="I14" s="1" t="s">
        <v>13</v>
      </c>
      <c r="J14" s="1" t="s">
        <v>15</v>
      </c>
      <c r="K14" s="1" t="s">
        <v>14</v>
      </c>
      <c r="L14" s="1"/>
      <c r="M14" s="1" t="s">
        <v>5</v>
      </c>
    </row>
    <row r="15" spans="1:207" x14ac:dyDescent="0.2">
      <c r="B15" s="2" t="s">
        <v>24</v>
      </c>
      <c r="D15" t="s">
        <v>8</v>
      </c>
      <c r="E15" t="s">
        <v>6</v>
      </c>
      <c r="F15">
        <f>COUNT(M15:GJ15)</f>
        <v>100</v>
      </c>
      <c r="G15" s="3">
        <f>AVERAGE(M15:GJ15)</f>
        <v>37.691602059999987</v>
      </c>
      <c r="H15" s="3">
        <f>MAX(M15:GJ15)</f>
        <v>59.706035999999997</v>
      </c>
      <c r="I15" s="3">
        <f>MIN(M15:GJ15)</f>
        <v>27.083637</v>
      </c>
      <c r="J15" s="3">
        <f>_xlfn.STDEV.P(M15:GJ15)</f>
        <v>8.4999169562560439</v>
      </c>
      <c r="K15" s="3">
        <f>_xlfn.VAR.S(M15:GJ15)</f>
        <v>72.978371983079768</v>
      </c>
      <c r="M15" s="3">
        <v>39.938377000000003</v>
      </c>
      <c r="N15" s="3">
        <v>52.534385999999998</v>
      </c>
      <c r="O15" s="3">
        <v>46.662261999999998</v>
      </c>
      <c r="P15" s="3">
        <v>47.528091000000003</v>
      </c>
      <c r="Q15" s="3">
        <v>50.402408999999999</v>
      </c>
      <c r="R15" s="3">
        <v>45.289603999999997</v>
      </c>
      <c r="S15" s="3">
        <v>40.402794</v>
      </c>
      <c r="T15" s="3">
        <v>53.309092999999997</v>
      </c>
      <c r="U15" s="3">
        <v>41.857052000000003</v>
      </c>
      <c r="V15" s="3">
        <v>49.141216</v>
      </c>
      <c r="W15" s="3">
        <v>48.011291999999997</v>
      </c>
      <c r="X15" s="3">
        <v>48.312874000000001</v>
      </c>
      <c r="Y15" s="3">
        <v>45.849091000000001</v>
      </c>
      <c r="Z15" s="3">
        <v>46.201079999999997</v>
      </c>
      <c r="AA15" s="3">
        <v>42.761260999999998</v>
      </c>
      <c r="AB15" s="3">
        <v>49.058318999999997</v>
      </c>
      <c r="AC15" s="3">
        <v>45.517226999999998</v>
      </c>
      <c r="AD15" s="3">
        <v>59.056519000000002</v>
      </c>
      <c r="AE15" s="3">
        <v>52.020035</v>
      </c>
      <c r="AF15" s="3">
        <v>46.993256000000002</v>
      </c>
      <c r="AG15" s="3">
        <v>56.444144999999999</v>
      </c>
      <c r="AH15" s="3">
        <v>50.469085999999997</v>
      </c>
      <c r="AI15" s="3">
        <v>39.271416000000002</v>
      </c>
      <c r="AJ15" s="3">
        <v>58.973354</v>
      </c>
      <c r="AK15" s="3">
        <v>59.706035999999997</v>
      </c>
      <c r="AL15" s="3">
        <v>31.408854999999999</v>
      </c>
      <c r="AM15" s="3">
        <v>35.563927</v>
      </c>
      <c r="AN15" s="3">
        <v>33.748939999999997</v>
      </c>
      <c r="AO15" s="3">
        <v>29.669498000000001</v>
      </c>
      <c r="AP15" s="3">
        <v>39.105843</v>
      </c>
      <c r="AQ15" s="3">
        <v>36.317309999999999</v>
      </c>
      <c r="AR15" s="3">
        <v>34.248942999999997</v>
      </c>
      <c r="AS15" s="3">
        <v>40.972042000000002</v>
      </c>
      <c r="AT15" s="3">
        <v>37.097427000000003</v>
      </c>
      <c r="AU15" s="3">
        <v>41.209342999999997</v>
      </c>
      <c r="AV15" s="3">
        <v>48.233745999999996</v>
      </c>
      <c r="AW15" s="3">
        <v>35.433036999999999</v>
      </c>
      <c r="AX15" s="3">
        <v>30.205507000000001</v>
      </c>
      <c r="AY15" s="3">
        <v>37.887638000000003</v>
      </c>
      <c r="AZ15" s="3">
        <v>56.200637999999998</v>
      </c>
      <c r="BA15" s="3">
        <v>34.555351000000002</v>
      </c>
      <c r="BB15" s="3">
        <v>28.580576000000001</v>
      </c>
      <c r="BC15" s="3">
        <v>43.408070000000002</v>
      </c>
      <c r="BD15" s="3">
        <v>39.115822000000001</v>
      </c>
      <c r="BE15" s="3">
        <v>34.343421999999997</v>
      </c>
      <c r="BF15" s="3">
        <v>35.102984999999997</v>
      </c>
      <c r="BG15" s="3">
        <v>37.466800999999997</v>
      </c>
      <c r="BH15" s="3">
        <v>29.894293000000001</v>
      </c>
      <c r="BI15" s="3">
        <v>40.257815999999998</v>
      </c>
      <c r="BJ15" s="3">
        <v>33.467556000000002</v>
      </c>
      <c r="BK15" s="3">
        <v>32.303443999999999</v>
      </c>
      <c r="BL15" s="3">
        <v>31.89884</v>
      </c>
      <c r="BM15" s="3">
        <v>33.833556999999999</v>
      </c>
      <c r="BN15" s="3">
        <v>39.554771000000002</v>
      </c>
      <c r="BO15" s="3">
        <v>29.775151999999999</v>
      </c>
      <c r="BP15" s="3">
        <v>34.981709000000002</v>
      </c>
      <c r="BQ15" s="3">
        <v>34.291705999999998</v>
      </c>
      <c r="BR15" s="3">
        <v>30.271298999999999</v>
      </c>
      <c r="BS15" s="3">
        <v>33.795456000000001</v>
      </c>
      <c r="BT15" s="3">
        <v>34.842162999999999</v>
      </c>
      <c r="BU15" s="3">
        <v>37.883305</v>
      </c>
      <c r="BV15" s="3">
        <v>30.137920000000001</v>
      </c>
      <c r="BW15" s="3">
        <v>34.170279999999998</v>
      </c>
      <c r="BX15" s="3">
        <v>32.367167999999999</v>
      </c>
      <c r="BY15" s="3">
        <v>51.252316999999998</v>
      </c>
      <c r="BZ15" s="3">
        <v>31.645468000000001</v>
      </c>
      <c r="CA15" s="3">
        <v>28.797901</v>
      </c>
      <c r="CB15" s="3">
        <v>36.911087000000002</v>
      </c>
      <c r="CC15" s="3">
        <v>34.688426999999997</v>
      </c>
      <c r="CD15" s="3">
        <v>27.083637</v>
      </c>
      <c r="CE15" s="3">
        <v>32.901603999999999</v>
      </c>
      <c r="CF15" s="3">
        <v>28.863194</v>
      </c>
      <c r="CG15" s="3">
        <v>31.660813999999998</v>
      </c>
      <c r="CH15" s="3">
        <v>31.774598999999998</v>
      </c>
      <c r="CI15" s="3">
        <v>31.675863</v>
      </c>
      <c r="CJ15" s="3">
        <v>31.26371</v>
      </c>
      <c r="CK15" s="3">
        <v>32.60548</v>
      </c>
      <c r="CL15" s="3">
        <v>32.200535000000002</v>
      </c>
      <c r="CM15" s="3">
        <v>29.191559000000002</v>
      </c>
      <c r="CN15" s="3">
        <v>31.013157</v>
      </c>
      <c r="CO15" s="3">
        <v>31.810001</v>
      </c>
      <c r="CP15" s="3">
        <v>54.684744000000002</v>
      </c>
      <c r="CQ15" s="3">
        <v>28.057949000000001</v>
      </c>
      <c r="CR15" s="3">
        <v>30.566084</v>
      </c>
      <c r="CS15" s="3">
        <v>29.430294</v>
      </c>
      <c r="CT15" s="3">
        <v>30.573789999999999</v>
      </c>
      <c r="CU15" s="3">
        <v>31.994081000000001</v>
      </c>
      <c r="CV15" s="3">
        <v>28.160890999999999</v>
      </c>
      <c r="CW15" s="3">
        <v>29.041746</v>
      </c>
      <c r="CX15" s="3">
        <v>32.631450999999998</v>
      </c>
      <c r="CY15" s="3">
        <v>29.627949000000001</v>
      </c>
      <c r="CZ15" s="3">
        <v>30.975840000000002</v>
      </c>
      <c r="DA15" s="3">
        <v>36.85022</v>
      </c>
      <c r="DB15" s="3">
        <v>34.356174000000003</v>
      </c>
      <c r="DC15" s="3">
        <v>28.020959999999999</v>
      </c>
      <c r="DD15" s="3">
        <v>30.440821</v>
      </c>
      <c r="DE15" s="3">
        <v>29.518913000000001</v>
      </c>
      <c r="DF15" s="3">
        <v>30.894753999999999</v>
      </c>
      <c r="DG15" s="3">
        <v>27.982258000000002</v>
      </c>
      <c r="DH15" s="3">
        <v>30.699503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29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9</v>
      </c>
      <c r="E17" t="s">
        <v>6</v>
      </c>
      <c r="F17">
        <f>COUNT(M17:GJ17)</f>
        <v>100</v>
      </c>
      <c r="G17" s="3">
        <f>AVERAGE(M17:GJ17)</f>
        <v>23.7189908</v>
      </c>
      <c r="H17" s="3">
        <f>MAX(M17:GJ17)</f>
        <v>29.459593000000002</v>
      </c>
      <c r="I17" s="3">
        <f>MIN(M17:GJ17)</f>
        <v>19.894908999999998</v>
      </c>
      <c r="J17" s="3">
        <f>_xlfn.STDEV.P(M17:GJ17)</f>
        <v>1.8315599653236911</v>
      </c>
      <c r="K17" s="3">
        <f>_xlfn.VAR.S(M17:GJ17)</f>
        <v>3.3884968753298184</v>
      </c>
      <c r="M17" s="3">
        <v>21.662103999999999</v>
      </c>
      <c r="N17" s="3">
        <v>25.880984999999999</v>
      </c>
      <c r="O17" s="3">
        <v>25.235291</v>
      </c>
      <c r="P17" s="3">
        <v>21.565836000000001</v>
      </c>
      <c r="Q17" s="3">
        <v>21.018108000000002</v>
      </c>
      <c r="R17" s="3">
        <v>21.691399000000001</v>
      </c>
      <c r="S17" s="3">
        <v>24.556984</v>
      </c>
      <c r="T17" s="3">
        <v>23.120069999999998</v>
      </c>
      <c r="U17" s="3">
        <v>24.071021999999999</v>
      </c>
      <c r="V17" s="3">
        <v>21.894997</v>
      </c>
      <c r="W17" s="3">
        <v>24.095708999999999</v>
      </c>
      <c r="X17" s="3">
        <v>20.962868</v>
      </c>
      <c r="Y17" s="3">
        <v>23.156058999999999</v>
      </c>
      <c r="Z17" s="3">
        <v>27.223879</v>
      </c>
      <c r="AA17" s="3">
        <v>22.669134</v>
      </c>
      <c r="AB17" s="3">
        <v>23.879843000000001</v>
      </c>
      <c r="AC17" s="3">
        <v>24.969673</v>
      </c>
      <c r="AD17" s="3">
        <v>22.627527000000001</v>
      </c>
      <c r="AE17" s="3">
        <v>24.524529000000001</v>
      </c>
      <c r="AF17" s="3">
        <v>23.809397000000001</v>
      </c>
      <c r="AG17" s="3">
        <v>23.222245999999998</v>
      </c>
      <c r="AH17" s="3">
        <v>26.327981999999999</v>
      </c>
      <c r="AI17" s="3">
        <v>26.527280999999999</v>
      </c>
      <c r="AJ17" s="3">
        <v>21.355494</v>
      </c>
      <c r="AK17" s="3">
        <v>21.679279000000001</v>
      </c>
      <c r="AL17" s="3">
        <v>28.087001999999998</v>
      </c>
      <c r="AM17" s="3">
        <v>22.895485000000001</v>
      </c>
      <c r="AN17" s="3">
        <v>21.714677999999999</v>
      </c>
      <c r="AO17" s="3">
        <v>23.876833000000001</v>
      </c>
      <c r="AP17" s="3">
        <v>22.190294000000002</v>
      </c>
      <c r="AQ17" s="3">
        <v>24.373455</v>
      </c>
      <c r="AR17" s="3">
        <v>24.034880000000001</v>
      </c>
      <c r="AS17" s="3">
        <v>22.135287999999999</v>
      </c>
      <c r="AT17" s="3">
        <v>23.231157</v>
      </c>
      <c r="AU17" s="3">
        <v>23.641794000000001</v>
      </c>
      <c r="AV17" s="3">
        <v>26.750671000000001</v>
      </c>
      <c r="AW17" s="3">
        <v>23.234735000000001</v>
      </c>
      <c r="AX17" s="3">
        <v>22.074027999999998</v>
      </c>
      <c r="AY17" s="3">
        <v>21.560182999999999</v>
      </c>
      <c r="AZ17" s="3">
        <v>23.970579000000001</v>
      </c>
      <c r="BA17" s="3">
        <v>23.910257000000001</v>
      </c>
      <c r="BB17" s="3">
        <v>28.213449000000001</v>
      </c>
      <c r="BC17" s="3">
        <v>23.132398999999999</v>
      </c>
      <c r="BD17" s="3">
        <v>23.439806000000001</v>
      </c>
      <c r="BE17" s="3">
        <v>29.459593000000002</v>
      </c>
      <c r="BF17" s="3">
        <v>27.883420999999998</v>
      </c>
      <c r="BG17" s="3">
        <v>25.200319</v>
      </c>
      <c r="BH17" s="3">
        <v>22.660456</v>
      </c>
      <c r="BI17" s="3">
        <v>22.197966000000001</v>
      </c>
      <c r="BJ17" s="3">
        <v>23.640636000000001</v>
      </c>
      <c r="BK17" s="3">
        <v>20.166933</v>
      </c>
      <c r="BL17" s="3">
        <v>26.008068000000002</v>
      </c>
      <c r="BM17" s="3">
        <v>22.878428</v>
      </c>
      <c r="BN17" s="3">
        <v>23.746458000000001</v>
      </c>
      <c r="BO17" s="3">
        <v>22.364836</v>
      </c>
      <c r="BP17" s="3">
        <v>24.5928</v>
      </c>
      <c r="BQ17" s="3">
        <v>22.265322000000001</v>
      </c>
      <c r="BR17" s="3">
        <v>21.231801999999998</v>
      </c>
      <c r="BS17" s="3">
        <v>23.886154000000001</v>
      </c>
      <c r="BT17" s="3">
        <v>25.818928</v>
      </c>
      <c r="BU17" s="3">
        <v>24.017277</v>
      </c>
      <c r="BV17" s="3">
        <v>22.720852000000001</v>
      </c>
      <c r="BW17" s="3">
        <v>19.894908999999998</v>
      </c>
      <c r="BX17" s="3">
        <v>23.969839</v>
      </c>
      <c r="BY17" s="3">
        <v>22.746088</v>
      </c>
      <c r="BZ17" s="3">
        <v>22.151686000000002</v>
      </c>
      <c r="CA17" s="3">
        <v>22.689198999999999</v>
      </c>
      <c r="CB17" s="3">
        <v>23.973400000000002</v>
      </c>
      <c r="CC17" s="3">
        <v>23.040108</v>
      </c>
      <c r="CD17" s="3">
        <v>24.083424000000001</v>
      </c>
      <c r="CE17" s="3">
        <v>24.447572999999998</v>
      </c>
      <c r="CF17" s="3">
        <v>26.028594999999999</v>
      </c>
      <c r="CG17" s="3">
        <v>22.906742000000001</v>
      </c>
      <c r="CH17" s="3">
        <v>24.774366000000001</v>
      </c>
      <c r="CI17" s="3">
        <v>23.986097000000001</v>
      </c>
      <c r="CJ17" s="3">
        <v>24.334391</v>
      </c>
      <c r="CK17" s="3">
        <v>24.140636000000001</v>
      </c>
      <c r="CL17" s="3">
        <v>23.747910000000001</v>
      </c>
      <c r="CM17" s="3">
        <v>23.245211000000001</v>
      </c>
      <c r="CN17" s="3">
        <v>21.024124</v>
      </c>
      <c r="CO17" s="3">
        <v>25.460968000000001</v>
      </c>
      <c r="CP17" s="3">
        <v>25.649346999999999</v>
      </c>
      <c r="CQ17" s="3">
        <v>23.087669000000002</v>
      </c>
      <c r="CR17" s="3">
        <v>24.253837999999998</v>
      </c>
      <c r="CS17" s="3">
        <v>24.347994</v>
      </c>
      <c r="CT17" s="3">
        <v>24.202621000000001</v>
      </c>
      <c r="CU17" s="3">
        <v>23.046627000000001</v>
      </c>
      <c r="CV17" s="3">
        <v>26.142754</v>
      </c>
      <c r="CW17" s="3">
        <v>25.706074000000001</v>
      </c>
      <c r="CX17" s="3">
        <v>20.604803</v>
      </c>
      <c r="CY17" s="3">
        <v>20.758977999999999</v>
      </c>
      <c r="CZ17" s="3">
        <v>24.460842</v>
      </c>
      <c r="DA17" s="3">
        <v>24.584887999999999</v>
      </c>
      <c r="DB17" s="3">
        <v>26.469232999999999</v>
      </c>
      <c r="DC17" s="3">
        <v>22.012696999999999</v>
      </c>
      <c r="DD17" s="3">
        <v>24.219764999999999</v>
      </c>
      <c r="DE17" s="3">
        <v>26.118345000000001</v>
      </c>
      <c r="DF17" s="3">
        <v>21.343986999999998</v>
      </c>
      <c r="DG17" s="3">
        <v>24.147120000000001</v>
      </c>
      <c r="DH17" s="3">
        <v>23.161314000000001</v>
      </c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7</v>
      </c>
      <c r="E19" t="s">
        <v>6</v>
      </c>
      <c r="F19">
        <f>COUNT(M19:GJ19)</f>
        <v>100</v>
      </c>
      <c r="G19" s="3">
        <f>AVERAGE(M19:GJ19)</f>
        <v>32.449107570000002</v>
      </c>
      <c r="H19" s="3">
        <f>MAX(M19:GJ19)</f>
        <v>39.774648999999997</v>
      </c>
      <c r="I19" s="3">
        <f>MIN(M19:GJ19)</f>
        <v>25.342404999999999</v>
      </c>
      <c r="J19" s="3">
        <f>_xlfn.STDEV.P(M19:GJ19)</f>
        <v>4.0046452066375053</v>
      </c>
      <c r="K19" s="3">
        <f>_xlfn.VAR.S(M19:GJ19)</f>
        <v>16.199174980853297</v>
      </c>
      <c r="M19" s="3">
        <v>35.623480000000001</v>
      </c>
      <c r="N19" s="3">
        <v>31.686184000000001</v>
      </c>
      <c r="O19" s="3">
        <v>34.103774999999999</v>
      </c>
      <c r="P19" s="3">
        <v>31.653599</v>
      </c>
      <c r="Q19" s="3">
        <v>31.798901000000001</v>
      </c>
      <c r="R19" s="3">
        <v>35.887756000000003</v>
      </c>
      <c r="S19" s="3">
        <v>28.886395</v>
      </c>
      <c r="T19" s="3">
        <v>27.802485999999998</v>
      </c>
      <c r="U19" s="3">
        <v>29.66873</v>
      </c>
      <c r="V19" s="3">
        <v>28.227620999999999</v>
      </c>
      <c r="W19" s="3">
        <v>34.110045999999997</v>
      </c>
      <c r="X19" s="3">
        <v>38.476097000000003</v>
      </c>
      <c r="Y19" s="3">
        <v>35.590099000000002</v>
      </c>
      <c r="Z19" s="3">
        <v>29.575002999999999</v>
      </c>
      <c r="AA19" s="3">
        <v>28.965623999999998</v>
      </c>
      <c r="AB19" s="3">
        <v>30.253893000000001</v>
      </c>
      <c r="AC19" s="3">
        <v>35.231312000000003</v>
      </c>
      <c r="AD19" s="3">
        <v>29.899121999999998</v>
      </c>
      <c r="AE19" s="3">
        <v>27.274097000000001</v>
      </c>
      <c r="AF19" s="3">
        <v>38.356484999999999</v>
      </c>
      <c r="AG19" s="3">
        <v>34.470965999999997</v>
      </c>
      <c r="AH19" s="3">
        <v>28.660800999999999</v>
      </c>
      <c r="AI19" s="3">
        <v>27.862124999999999</v>
      </c>
      <c r="AJ19" s="3">
        <v>27.133172999999999</v>
      </c>
      <c r="AK19" s="3">
        <v>27.850273000000001</v>
      </c>
      <c r="AL19" s="3">
        <v>37.126102000000003</v>
      </c>
      <c r="AM19" s="3">
        <v>28.029323999999999</v>
      </c>
      <c r="AN19" s="3">
        <v>26.471665999999999</v>
      </c>
      <c r="AO19" s="3">
        <v>29.823678999999998</v>
      </c>
      <c r="AP19" s="3">
        <v>27.975114999999999</v>
      </c>
      <c r="AQ19" s="3">
        <v>36.012880000000003</v>
      </c>
      <c r="AR19" s="3">
        <v>34.318151</v>
      </c>
      <c r="AS19" s="3">
        <v>32.246451999999998</v>
      </c>
      <c r="AT19" s="3">
        <v>33.752994999999999</v>
      </c>
      <c r="AU19" s="3">
        <v>32.854121999999997</v>
      </c>
      <c r="AV19" s="3">
        <v>32.707721999999997</v>
      </c>
      <c r="AW19" s="3">
        <v>34.000388999999998</v>
      </c>
      <c r="AX19" s="3">
        <v>33.976171000000001</v>
      </c>
      <c r="AY19" s="3">
        <v>39.666322999999998</v>
      </c>
      <c r="AZ19" s="3">
        <v>37.980507000000003</v>
      </c>
      <c r="BA19" s="3">
        <v>30.530871999999999</v>
      </c>
      <c r="BB19" s="3">
        <v>30.214051999999999</v>
      </c>
      <c r="BC19" s="3">
        <v>34.052222999999998</v>
      </c>
      <c r="BD19" s="3">
        <v>32.110348000000002</v>
      </c>
      <c r="BE19" s="3">
        <v>37.018031999999998</v>
      </c>
      <c r="BF19" s="3">
        <v>34.00853</v>
      </c>
      <c r="BG19" s="3">
        <v>35.619194</v>
      </c>
      <c r="BH19" s="3">
        <v>26.859587000000001</v>
      </c>
      <c r="BI19" s="3">
        <v>28.972041999999998</v>
      </c>
      <c r="BJ19" s="3">
        <v>31.404582999999999</v>
      </c>
      <c r="BK19" s="3">
        <v>36.801884000000001</v>
      </c>
      <c r="BL19" s="3">
        <v>28.306732</v>
      </c>
      <c r="BM19" s="3">
        <v>27.600539999999999</v>
      </c>
      <c r="BN19" s="3">
        <v>26.559479</v>
      </c>
      <c r="BO19" s="3">
        <v>29.951965000000001</v>
      </c>
      <c r="BP19" s="3">
        <v>27.742079</v>
      </c>
      <c r="BQ19" s="3">
        <v>29.772822999999999</v>
      </c>
      <c r="BR19" s="3">
        <v>35.991889999999998</v>
      </c>
      <c r="BS19" s="3">
        <v>34.898297999999997</v>
      </c>
      <c r="BT19" s="3">
        <v>34.428401999999998</v>
      </c>
      <c r="BU19" s="3">
        <v>28.028381</v>
      </c>
      <c r="BV19" s="3">
        <v>30.078735000000002</v>
      </c>
      <c r="BW19" s="3">
        <v>31.414486</v>
      </c>
      <c r="BX19" s="3">
        <v>38.656131999999999</v>
      </c>
      <c r="BY19" s="3">
        <v>26.782948999999999</v>
      </c>
      <c r="BZ19" s="3">
        <v>36.284143</v>
      </c>
      <c r="CA19" s="3">
        <v>39.454151000000003</v>
      </c>
      <c r="CB19" s="3">
        <v>31.043801999999999</v>
      </c>
      <c r="CC19" s="3">
        <v>28.217813</v>
      </c>
      <c r="CD19" s="3">
        <v>25.933230999999999</v>
      </c>
      <c r="CE19" s="3">
        <v>33.750033999999999</v>
      </c>
      <c r="CF19" s="3">
        <v>34.889875000000004</v>
      </c>
      <c r="CG19" s="3">
        <v>39.059952000000003</v>
      </c>
      <c r="CH19" s="3">
        <v>35.996588000000003</v>
      </c>
      <c r="CI19" s="3">
        <v>25.342404999999999</v>
      </c>
      <c r="CJ19" s="3">
        <v>38.660916999999998</v>
      </c>
      <c r="CK19" s="3">
        <v>30.376562</v>
      </c>
      <c r="CL19" s="3">
        <v>26.341294999999999</v>
      </c>
      <c r="CM19" s="3">
        <v>29.205696</v>
      </c>
      <c r="CN19" s="3">
        <v>35.215797000000002</v>
      </c>
      <c r="CO19" s="3">
        <v>28.177306999999999</v>
      </c>
      <c r="CP19" s="3">
        <v>35.503422</v>
      </c>
      <c r="CQ19" s="3">
        <v>37.287827</v>
      </c>
      <c r="CR19" s="3">
        <v>33.080502000000003</v>
      </c>
      <c r="CS19" s="3">
        <v>39.528300999999999</v>
      </c>
      <c r="CT19" s="3">
        <v>34.386687999999999</v>
      </c>
      <c r="CU19" s="3">
        <v>31.302557</v>
      </c>
      <c r="CV19" s="3">
        <v>32.105297</v>
      </c>
      <c r="CW19" s="3">
        <v>38.625050000000002</v>
      </c>
      <c r="CX19" s="3">
        <v>39.774648999999997</v>
      </c>
      <c r="CY19" s="3">
        <v>35.187928999999997</v>
      </c>
      <c r="CZ19" s="3">
        <v>36.795293999999998</v>
      </c>
      <c r="DA19" s="3">
        <v>27.249918000000001</v>
      </c>
      <c r="DB19" s="3">
        <v>35.699013000000001</v>
      </c>
      <c r="DC19" s="3">
        <v>26.334496999999999</v>
      </c>
      <c r="DD19" s="3">
        <v>39.122242</v>
      </c>
      <c r="DE19" s="3">
        <v>36.009650999999998</v>
      </c>
      <c r="DF19" s="3">
        <v>27.29278</v>
      </c>
      <c r="DG19" s="3">
        <v>32.592686</v>
      </c>
      <c r="DH19" s="3">
        <v>35.289006999999998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10</v>
      </c>
      <c r="E21" t="s">
        <v>6</v>
      </c>
      <c r="F21">
        <f>COUNT(M21:GJ21)</f>
        <v>100</v>
      </c>
      <c r="G21" s="3">
        <f>AVERAGE(M21:GJ21)</f>
        <v>27.120667859999998</v>
      </c>
      <c r="H21" s="3">
        <f>MAX(M21:GJ21)</f>
        <v>33.519733000000002</v>
      </c>
      <c r="I21" s="3">
        <f>MIN(M21:GJ21)</f>
        <v>22.869394</v>
      </c>
      <c r="J21" s="3">
        <f>_xlfn.STDEV.P(M21:GJ21)</f>
        <v>2.0493427004607354</v>
      </c>
      <c r="K21" s="3">
        <f>_xlfn.VAR.S(M21:GJ21)</f>
        <v>4.2422277817491914</v>
      </c>
      <c r="M21" s="3">
        <v>29.412558000000001</v>
      </c>
      <c r="N21" s="3">
        <v>26.359936000000001</v>
      </c>
      <c r="O21" s="3">
        <v>30.788699999999999</v>
      </c>
      <c r="P21" s="3">
        <v>27.025803</v>
      </c>
      <c r="Q21" s="3">
        <v>27.894701000000001</v>
      </c>
      <c r="R21" s="3">
        <v>25.552855000000001</v>
      </c>
      <c r="S21" s="3">
        <v>29.666526999999999</v>
      </c>
      <c r="T21" s="3">
        <v>33.519733000000002</v>
      </c>
      <c r="U21" s="3">
        <v>31.382521000000001</v>
      </c>
      <c r="V21" s="3">
        <v>28.280923999999999</v>
      </c>
      <c r="W21" s="3">
        <v>26.934891</v>
      </c>
      <c r="X21" s="3">
        <v>28.746130000000001</v>
      </c>
      <c r="Y21" s="3">
        <v>25.495436000000002</v>
      </c>
      <c r="Z21" s="3">
        <v>29.882211999999999</v>
      </c>
      <c r="AA21" s="3">
        <v>28.855930000000001</v>
      </c>
      <c r="AB21" s="3">
        <v>24.970873000000001</v>
      </c>
      <c r="AC21" s="3">
        <v>27.419857</v>
      </c>
      <c r="AD21" s="3">
        <v>28.048110999999999</v>
      </c>
      <c r="AE21" s="3">
        <v>26.818224000000001</v>
      </c>
      <c r="AF21" s="3">
        <v>28.051290999999999</v>
      </c>
      <c r="AG21" s="3">
        <v>29.661331000000001</v>
      </c>
      <c r="AH21" s="3">
        <v>31.547070999999999</v>
      </c>
      <c r="AI21" s="3">
        <v>27.286358</v>
      </c>
      <c r="AJ21" s="3">
        <v>27.857953999999999</v>
      </c>
      <c r="AK21" s="3">
        <v>27.816227000000001</v>
      </c>
      <c r="AL21" s="3">
        <v>25.854776000000001</v>
      </c>
      <c r="AM21" s="3">
        <v>27.287469999999999</v>
      </c>
      <c r="AN21" s="3">
        <v>22.869394</v>
      </c>
      <c r="AO21" s="3">
        <v>32.735405</v>
      </c>
      <c r="AP21" s="3">
        <v>27.7563</v>
      </c>
      <c r="AQ21" s="3">
        <v>28.125026999999999</v>
      </c>
      <c r="AR21" s="3">
        <v>26.985959999999999</v>
      </c>
      <c r="AS21" s="3">
        <v>31.179387999999999</v>
      </c>
      <c r="AT21" s="3">
        <v>26.494903999999998</v>
      </c>
      <c r="AU21" s="3">
        <v>25.557580999999999</v>
      </c>
      <c r="AV21" s="3">
        <v>25.526024</v>
      </c>
      <c r="AW21" s="3">
        <v>26.345938</v>
      </c>
      <c r="AX21" s="3">
        <v>24.78265</v>
      </c>
      <c r="AY21" s="3">
        <v>27.914103000000001</v>
      </c>
      <c r="AZ21" s="3">
        <v>24.99155</v>
      </c>
      <c r="BA21" s="3">
        <v>27.975254</v>
      </c>
      <c r="BB21" s="3">
        <v>27.297357999999999</v>
      </c>
      <c r="BC21" s="3">
        <v>28.609511999999999</v>
      </c>
      <c r="BD21" s="3">
        <v>29.687525000000001</v>
      </c>
      <c r="BE21" s="3">
        <v>23.199363999999999</v>
      </c>
      <c r="BF21" s="3">
        <v>27.977723999999998</v>
      </c>
      <c r="BG21" s="3">
        <v>26.373035000000002</v>
      </c>
      <c r="BH21" s="3">
        <v>24.229645000000001</v>
      </c>
      <c r="BI21" s="3">
        <v>29.388570999999999</v>
      </c>
      <c r="BJ21" s="3">
        <v>28.932383000000002</v>
      </c>
      <c r="BK21" s="3">
        <v>27.036802000000002</v>
      </c>
      <c r="BL21" s="3">
        <v>25.426828</v>
      </c>
      <c r="BM21" s="3">
        <v>24.991551999999999</v>
      </c>
      <c r="BN21" s="3">
        <v>24.132981999999998</v>
      </c>
      <c r="BO21" s="3">
        <v>26.510721</v>
      </c>
      <c r="BP21" s="3">
        <v>26.928894</v>
      </c>
      <c r="BQ21" s="3">
        <v>28.416771000000001</v>
      </c>
      <c r="BR21" s="3">
        <v>28.105858000000001</v>
      </c>
      <c r="BS21" s="3">
        <v>26.553944000000001</v>
      </c>
      <c r="BT21" s="3">
        <v>27.978632000000001</v>
      </c>
      <c r="BU21" s="3">
        <v>25.316144999999999</v>
      </c>
      <c r="BV21" s="3">
        <v>24.082972000000002</v>
      </c>
      <c r="BW21" s="3">
        <v>27.706859999999999</v>
      </c>
      <c r="BX21" s="3">
        <v>25.765604</v>
      </c>
      <c r="BY21" s="3">
        <v>24.830120000000001</v>
      </c>
      <c r="BZ21" s="3">
        <v>29.105574000000001</v>
      </c>
      <c r="CA21" s="3">
        <v>24.503233000000002</v>
      </c>
      <c r="CB21" s="3">
        <v>26.962973000000002</v>
      </c>
      <c r="CC21" s="3">
        <v>29.837540000000001</v>
      </c>
      <c r="CD21" s="3">
        <v>23.591145999999998</v>
      </c>
      <c r="CE21" s="3">
        <v>29.059172</v>
      </c>
      <c r="CF21" s="3">
        <v>25.478148000000001</v>
      </c>
      <c r="CG21" s="3">
        <v>27.666954</v>
      </c>
      <c r="CH21" s="3">
        <v>25.452759</v>
      </c>
      <c r="CI21" s="3">
        <v>24.978355000000001</v>
      </c>
      <c r="CJ21" s="3">
        <v>25.265108000000001</v>
      </c>
      <c r="CK21" s="3">
        <v>23.762616999999999</v>
      </c>
      <c r="CL21" s="3">
        <v>25.672578999999999</v>
      </c>
      <c r="CM21" s="3">
        <v>27.295518999999999</v>
      </c>
      <c r="CN21" s="3">
        <v>25.524495999999999</v>
      </c>
      <c r="CO21" s="3">
        <v>26.411390000000001</v>
      </c>
      <c r="CP21" s="3">
        <v>27.864854999999999</v>
      </c>
      <c r="CQ21" s="3">
        <v>25.209403999999999</v>
      </c>
      <c r="CR21" s="3">
        <v>25.159770999999999</v>
      </c>
      <c r="CS21" s="3">
        <v>25.461348000000001</v>
      </c>
      <c r="CT21" s="3">
        <v>27.036190000000001</v>
      </c>
      <c r="CU21" s="3">
        <v>27.131633999999998</v>
      </c>
      <c r="CV21" s="3">
        <v>26.691099000000001</v>
      </c>
      <c r="CW21" s="3">
        <v>27.713581000000001</v>
      </c>
      <c r="CX21" s="3">
        <v>25.312773</v>
      </c>
      <c r="CY21" s="3">
        <v>26.457874</v>
      </c>
      <c r="CZ21" s="3">
        <v>25.742948999999999</v>
      </c>
      <c r="DA21" s="3">
        <v>28.446262000000001</v>
      </c>
      <c r="DB21" s="3">
        <v>27.166197</v>
      </c>
      <c r="DC21" s="3">
        <v>25.815007999999999</v>
      </c>
      <c r="DD21" s="3">
        <v>25.385117000000001</v>
      </c>
      <c r="DE21" s="3">
        <v>31.858675000000002</v>
      </c>
      <c r="DF21" s="3">
        <v>27.697329</v>
      </c>
      <c r="DG21" s="3">
        <v>27.843616000000001</v>
      </c>
      <c r="DH21" s="3">
        <v>26.367861000000001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11</v>
      </c>
      <c r="E23" t="s">
        <v>6</v>
      </c>
      <c r="F23">
        <f>COUNT(M23:GJ23)</f>
        <v>100</v>
      </c>
      <c r="G23" s="3">
        <f>AVERAGE(M23:GJ23)</f>
        <v>27.967393079999997</v>
      </c>
      <c r="H23" s="3">
        <f>MAX(M23:GJ23)</f>
        <v>35.121197000000002</v>
      </c>
      <c r="I23" s="3">
        <f>MIN(M23:GJ23)</f>
        <v>21.385722999999999</v>
      </c>
      <c r="J23" s="3">
        <f>_xlfn.STDEV.P(M23:GJ23)</f>
        <v>2.7736517341945177</v>
      </c>
      <c r="K23" s="3">
        <f>_xlfn.VAR.S(M23:GJ23)</f>
        <v>7.7708524672729844</v>
      </c>
      <c r="M23" s="3">
        <v>32.646687</v>
      </c>
      <c r="N23" s="3">
        <v>26.022656999999999</v>
      </c>
      <c r="O23" s="3">
        <v>24.115856000000001</v>
      </c>
      <c r="P23" s="3">
        <v>27.987223</v>
      </c>
      <c r="Q23" s="3">
        <v>30.741046999999998</v>
      </c>
      <c r="R23" s="3">
        <v>27.999251999999998</v>
      </c>
      <c r="S23" s="3">
        <v>23.840914000000001</v>
      </c>
      <c r="T23" s="3">
        <v>31.100973</v>
      </c>
      <c r="U23" s="3">
        <v>28.967950999999999</v>
      </c>
      <c r="V23" s="3">
        <v>23.906576000000001</v>
      </c>
      <c r="W23" s="3">
        <v>26.702759</v>
      </c>
      <c r="X23" s="3">
        <v>27.796907000000001</v>
      </c>
      <c r="Y23" s="3">
        <v>27.420496</v>
      </c>
      <c r="Z23" s="3">
        <v>31.126450999999999</v>
      </c>
      <c r="AA23" s="3">
        <v>30.037261999999998</v>
      </c>
      <c r="AB23" s="3">
        <v>26.091272</v>
      </c>
      <c r="AC23" s="3">
        <v>28.149809000000001</v>
      </c>
      <c r="AD23" s="3">
        <v>25.875959000000002</v>
      </c>
      <c r="AE23" s="3">
        <v>27.146350999999999</v>
      </c>
      <c r="AF23" s="3">
        <v>24.181746</v>
      </c>
      <c r="AG23" s="3">
        <v>31.678349999999998</v>
      </c>
      <c r="AH23" s="3">
        <v>26.092400000000001</v>
      </c>
      <c r="AI23" s="3">
        <v>30.803488000000002</v>
      </c>
      <c r="AJ23" s="3">
        <v>27.483205999999999</v>
      </c>
      <c r="AK23" s="3">
        <v>32.28434</v>
      </c>
      <c r="AL23" s="3">
        <v>29.739194999999999</v>
      </c>
      <c r="AM23" s="3">
        <v>29.727882000000001</v>
      </c>
      <c r="AN23" s="3">
        <v>26.174085999999999</v>
      </c>
      <c r="AO23" s="3">
        <v>26.540447</v>
      </c>
      <c r="AP23" s="3">
        <v>26.540823</v>
      </c>
      <c r="AQ23" s="3">
        <v>28.99803</v>
      </c>
      <c r="AR23" s="3">
        <v>27.148916</v>
      </c>
      <c r="AS23" s="3">
        <v>34.094486000000003</v>
      </c>
      <c r="AT23" s="3">
        <v>27.382002</v>
      </c>
      <c r="AU23" s="3">
        <v>29.347683</v>
      </c>
      <c r="AV23" s="3">
        <v>25.194286000000002</v>
      </c>
      <c r="AW23" s="3">
        <v>28.735223999999999</v>
      </c>
      <c r="AX23" s="3">
        <v>25.559138999999998</v>
      </c>
      <c r="AY23" s="3">
        <v>28.043351999999999</v>
      </c>
      <c r="AZ23" s="3">
        <v>31.078320999999999</v>
      </c>
      <c r="BA23" s="3">
        <v>27.273304</v>
      </c>
      <c r="BB23" s="3">
        <v>27.527837999999999</v>
      </c>
      <c r="BC23" s="3">
        <v>23.814522</v>
      </c>
      <c r="BD23" s="3">
        <v>35.111145</v>
      </c>
      <c r="BE23" s="3">
        <v>25.047032999999999</v>
      </c>
      <c r="BF23" s="3">
        <v>21.385722999999999</v>
      </c>
      <c r="BG23" s="3">
        <v>26.778458000000001</v>
      </c>
      <c r="BH23" s="3">
        <v>30.763183999999999</v>
      </c>
      <c r="BI23" s="3">
        <v>24.155118999999999</v>
      </c>
      <c r="BJ23" s="3">
        <v>35.121197000000002</v>
      </c>
      <c r="BK23" s="3">
        <v>29.862112</v>
      </c>
      <c r="BL23" s="3">
        <v>32.386612</v>
      </c>
      <c r="BM23" s="3">
        <v>33.645699</v>
      </c>
      <c r="BN23" s="3">
        <v>26.971019999999999</v>
      </c>
      <c r="BO23" s="3">
        <v>29.855598000000001</v>
      </c>
      <c r="BP23" s="3">
        <v>28.110813</v>
      </c>
      <c r="BQ23" s="3">
        <v>25.034846999999999</v>
      </c>
      <c r="BR23" s="3">
        <v>27.116592000000001</v>
      </c>
      <c r="BS23" s="3">
        <v>29.084076</v>
      </c>
      <c r="BT23" s="3">
        <v>27.013746000000001</v>
      </c>
      <c r="BU23" s="3">
        <v>31.028561</v>
      </c>
      <c r="BV23" s="3">
        <v>27.494738000000002</v>
      </c>
      <c r="BW23" s="3">
        <v>28.041332000000001</v>
      </c>
      <c r="BX23" s="3">
        <v>28.536715000000001</v>
      </c>
      <c r="BY23" s="3">
        <v>25.817488000000001</v>
      </c>
      <c r="BZ23" s="3">
        <v>25.490873000000001</v>
      </c>
      <c r="CA23" s="3">
        <v>27.565168</v>
      </c>
      <c r="CB23" s="3">
        <v>25.939955000000001</v>
      </c>
      <c r="CC23" s="3">
        <v>31.660498</v>
      </c>
      <c r="CD23" s="3">
        <v>26.180009999999999</v>
      </c>
      <c r="CE23" s="3">
        <v>25.30969</v>
      </c>
      <c r="CF23" s="3">
        <v>26.863188000000001</v>
      </c>
      <c r="CG23" s="3">
        <v>25.663622</v>
      </c>
      <c r="CH23" s="3">
        <v>28.015592999999999</v>
      </c>
      <c r="CI23" s="3">
        <v>27.767529</v>
      </c>
      <c r="CJ23" s="3">
        <v>26.019651</v>
      </c>
      <c r="CK23" s="3">
        <v>33.310799000000003</v>
      </c>
      <c r="CL23" s="3">
        <v>26.786057</v>
      </c>
      <c r="CM23" s="3">
        <v>25.81212</v>
      </c>
      <c r="CN23" s="3">
        <v>32.804259999999999</v>
      </c>
      <c r="CO23" s="3">
        <v>24.008558000000001</v>
      </c>
      <c r="CP23" s="3">
        <v>27.735025</v>
      </c>
      <c r="CQ23" s="3">
        <v>27.174149</v>
      </c>
      <c r="CR23" s="3">
        <v>30.874300000000002</v>
      </c>
      <c r="CS23" s="3">
        <v>28.26041</v>
      </c>
      <c r="CT23" s="3">
        <v>34.720032000000003</v>
      </c>
      <c r="CU23" s="3">
        <v>29.724207</v>
      </c>
      <c r="CV23" s="3">
        <v>25.119648000000002</v>
      </c>
      <c r="CW23" s="3">
        <v>26.377427999999998</v>
      </c>
      <c r="CX23" s="3">
        <v>27.565035000000002</v>
      </c>
      <c r="CY23" s="3">
        <v>27.379292</v>
      </c>
      <c r="CZ23" s="3">
        <v>27.363091000000001</v>
      </c>
      <c r="DA23" s="3">
        <v>25.842419</v>
      </c>
      <c r="DB23" s="3">
        <v>30.604876000000001</v>
      </c>
      <c r="DC23" s="3">
        <v>25.974685999999998</v>
      </c>
      <c r="DD23" s="3">
        <v>27.122437000000001</v>
      </c>
      <c r="DE23" s="3">
        <v>24.835432000000001</v>
      </c>
      <c r="DF23" s="3">
        <v>24.456099999999999</v>
      </c>
      <c r="DG23" s="3">
        <v>25.678809999999999</v>
      </c>
      <c r="DH23" s="3">
        <v>29.253084000000001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44</v>
      </c>
      <c r="D26" s="1" t="s">
        <v>22</v>
      </c>
    </row>
    <row r="27" spans="2:207" x14ac:dyDescent="0.2">
      <c r="B27" s="2" t="s">
        <v>19</v>
      </c>
      <c r="D27" t="s">
        <v>8</v>
      </c>
      <c r="E27" t="s">
        <v>6</v>
      </c>
      <c r="F27">
        <f>COUNT(M27:GJ27)</f>
        <v>100</v>
      </c>
      <c r="G27" s="3">
        <f>AVERAGE(M27:GJ27)</f>
        <v>13.049605129999998</v>
      </c>
      <c r="H27" s="3">
        <f>MAX(M27:GJ27)</f>
        <v>20.967856999999999</v>
      </c>
      <c r="I27" s="3">
        <f>MIN(M27:GJ27)</f>
        <v>9.264265</v>
      </c>
      <c r="J27" s="3">
        <f>_xlfn.STDEV.P(M27:GJ27)</f>
        <v>2.8902942626531214</v>
      </c>
      <c r="K27" s="3">
        <f>_xlfn.VAR.S(M27:GJ27)</f>
        <v>8.4381827522480268</v>
      </c>
      <c r="M27" s="3">
        <v>12.349916</v>
      </c>
      <c r="N27" s="3">
        <v>19.535233000000002</v>
      </c>
      <c r="O27" s="3">
        <v>16.064959000000002</v>
      </c>
      <c r="P27" s="3">
        <v>15.161474</v>
      </c>
      <c r="Q27" s="3">
        <v>17.426783</v>
      </c>
      <c r="R27" s="3">
        <v>17.138953999999998</v>
      </c>
      <c r="S27" s="3">
        <v>15.558816999999999</v>
      </c>
      <c r="T27" s="3">
        <v>17.759781</v>
      </c>
      <c r="U27" s="3">
        <v>12.028904000000001</v>
      </c>
      <c r="V27" s="3">
        <v>15.749124</v>
      </c>
      <c r="W27" s="3">
        <v>16.998816999999999</v>
      </c>
      <c r="X27" s="3">
        <v>13.991104</v>
      </c>
      <c r="Y27" s="3">
        <v>16.219072000000001</v>
      </c>
      <c r="Z27" s="3">
        <v>18.027118999999999</v>
      </c>
      <c r="AA27" s="3">
        <v>18.80179</v>
      </c>
      <c r="AB27" s="3">
        <v>15.961656</v>
      </c>
      <c r="AC27" s="3">
        <v>18.955611999999999</v>
      </c>
      <c r="AD27" s="3">
        <v>20.967856999999999</v>
      </c>
      <c r="AE27" s="3">
        <v>18.547156999999999</v>
      </c>
      <c r="AF27" s="3">
        <v>16.238126999999999</v>
      </c>
      <c r="AG27" s="3">
        <v>18.078848000000001</v>
      </c>
      <c r="AH27" s="3">
        <v>18.435224999999999</v>
      </c>
      <c r="AI27" s="3">
        <v>9.6172570000000004</v>
      </c>
      <c r="AJ27" s="3">
        <v>12.970872</v>
      </c>
      <c r="AK27" s="3">
        <v>18.978024999999999</v>
      </c>
      <c r="AL27" s="3">
        <v>9.264265</v>
      </c>
      <c r="AM27" s="3">
        <v>12.40278</v>
      </c>
      <c r="AN27" s="3">
        <v>10.755411</v>
      </c>
      <c r="AO27" s="3">
        <v>10.569756999999999</v>
      </c>
      <c r="AP27" s="3">
        <v>11.657489</v>
      </c>
      <c r="AQ27" s="3">
        <v>10.530993</v>
      </c>
      <c r="AR27" s="3">
        <v>12.457553000000001</v>
      </c>
      <c r="AS27" s="3">
        <v>15.633065999999999</v>
      </c>
      <c r="AT27" s="3">
        <v>11.927689000000001</v>
      </c>
      <c r="AU27" s="3">
        <v>12.958819999999999</v>
      </c>
      <c r="AV27" s="3">
        <v>12.831168</v>
      </c>
      <c r="AW27" s="3">
        <v>14.822227</v>
      </c>
      <c r="AX27" s="3">
        <v>11.162922999999999</v>
      </c>
      <c r="AY27" s="3">
        <v>12.621409999999999</v>
      </c>
      <c r="AZ27" s="3">
        <v>19.697953999999999</v>
      </c>
      <c r="BA27" s="3">
        <v>11.629262000000001</v>
      </c>
      <c r="BB27" s="3">
        <v>10.170066</v>
      </c>
      <c r="BC27" s="3">
        <v>11.096125000000001</v>
      </c>
      <c r="BD27" s="3">
        <v>15.486253</v>
      </c>
      <c r="BE27" s="3">
        <v>11.983586000000001</v>
      </c>
      <c r="BF27" s="3">
        <v>12.611065999999999</v>
      </c>
      <c r="BG27" s="3">
        <v>12.306592</v>
      </c>
      <c r="BH27" s="3">
        <v>9.7182890000000004</v>
      </c>
      <c r="BI27" s="3">
        <v>13.295370999999999</v>
      </c>
      <c r="BJ27" s="3">
        <v>10.459799</v>
      </c>
      <c r="BK27" s="3">
        <v>11.157905</v>
      </c>
      <c r="BL27" s="3">
        <v>11.341500999999999</v>
      </c>
      <c r="BM27" s="3">
        <v>13.667538</v>
      </c>
      <c r="BN27" s="3">
        <v>11.466089999999999</v>
      </c>
      <c r="BO27" s="3">
        <v>11.108357</v>
      </c>
      <c r="BP27" s="3">
        <v>11.940359000000001</v>
      </c>
      <c r="BQ27" s="3">
        <v>13.541207999999999</v>
      </c>
      <c r="BR27" s="3">
        <v>10.931846999999999</v>
      </c>
      <c r="BS27" s="3">
        <v>11.978789000000001</v>
      </c>
      <c r="BT27" s="3">
        <v>11.754557999999999</v>
      </c>
      <c r="BU27" s="3">
        <v>12.355014000000001</v>
      </c>
      <c r="BV27" s="3">
        <v>10.026149999999999</v>
      </c>
      <c r="BW27" s="3">
        <v>13.078649</v>
      </c>
      <c r="BX27" s="3">
        <v>12.87846</v>
      </c>
      <c r="BY27" s="3">
        <v>18.068534</v>
      </c>
      <c r="BZ27" s="3">
        <v>12.049258999999999</v>
      </c>
      <c r="CA27" s="3">
        <v>9.3317379999999996</v>
      </c>
      <c r="CB27" s="3">
        <v>14.203699</v>
      </c>
      <c r="CC27" s="3">
        <v>12.395785999999999</v>
      </c>
      <c r="CD27" s="3">
        <v>11.062789</v>
      </c>
      <c r="CE27" s="3">
        <v>13.075112000000001</v>
      </c>
      <c r="CF27" s="3">
        <v>10.281504</v>
      </c>
      <c r="CG27" s="3">
        <v>10.26351</v>
      </c>
      <c r="CH27" s="3">
        <v>11.971558999999999</v>
      </c>
      <c r="CI27" s="3">
        <v>12.873393</v>
      </c>
      <c r="CJ27" s="3">
        <v>10.835531</v>
      </c>
      <c r="CK27" s="3">
        <v>14.155322</v>
      </c>
      <c r="CL27" s="3">
        <v>9.8001380000000005</v>
      </c>
      <c r="CM27" s="3">
        <v>10.275520999999999</v>
      </c>
      <c r="CN27" s="3">
        <v>11.821256</v>
      </c>
      <c r="CO27" s="3">
        <v>11.260068</v>
      </c>
      <c r="CP27" s="3">
        <v>18.001408999999999</v>
      </c>
      <c r="CQ27" s="3">
        <v>11.252829999999999</v>
      </c>
      <c r="CR27" s="3">
        <v>9.9273749999999996</v>
      </c>
      <c r="CS27" s="3">
        <v>10.017638</v>
      </c>
      <c r="CT27" s="3">
        <v>10.335032</v>
      </c>
      <c r="CU27" s="3">
        <v>11.421053000000001</v>
      </c>
      <c r="CV27" s="3">
        <v>11.976741000000001</v>
      </c>
      <c r="CW27" s="3">
        <v>10.546961</v>
      </c>
      <c r="CX27" s="3">
        <v>10.611851</v>
      </c>
      <c r="CY27" s="3">
        <v>10.291378</v>
      </c>
      <c r="CZ27" s="3">
        <v>10.834108000000001</v>
      </c>
      <c r="DA27" s="3">
        <v>12.638938</v>
      </c>
      <c r="DB27" s="3">
        <v>11.589256000000001</v>
      </c>
      <c r="DC27" s="3">
        <v>10.081086000000001</v>
      </c>
      <c r="DD27" s="3">
        <v>10.579020999999999</v>
      </c>
      <c r="DE27" s="3">
        <v>10.672305</v>
      </c>
      <c r="DF27" s="3">
        <v>10.886278000000001</v>
      </c>
      <c r="DG27" s="3">
        <v>10.361865</v>
      </c>
      <c r="DH27" s="3">
        <v>12.371847000000001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26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27</v>
      </c>
      <c r="D29" t="s">
        <v>9</v>
      </c>
      <c r="E29" t="s">
        <v>6</v>
      </c>
      <c r="F29">
        <f>COUNT(M29:GJ29)</f>
        <v>100</v>
      </c>
      <c r="G29" s="3">
        <f>AVERAGE(M29:GJ29)</f>
        <v>10.032522919999996</v>
      </c>
      <c r="H29" s="3">
        <f>MAX(M29:GJ29)</f>
        <v>14.815129000000001</v>
      </c>
      <c r="I29" s="3">
        <f>MIN(M29:GJ29)</f>
        <v>6.2587390000000003</v>
      </c>
      <c r="J29" s="3">
        <f>_xlfn.STDEV.P(M29:GJ29)</f>
        <v>1.694952553567395</v>
      </c>
      <c r="K29" s="3">
        <f>_xlfn.VAR.S(M29:GJ29)</f>
        <v>2.9018829887319604</v>
      </c>
      <c r="M29" s="3">
        <v>8.668628</v>
      </c>
      <c r="N29" s="3">
        <v>12.796555</v>
      </c>
      <c r="O29" s="3">
        <v>11.401026</v>
      </c>
      <c r="P29" s="3">
        <v>7.3012180000000004</v>
      </c>
      <c r="Q29" s="3">
        <v>9.5147449999999996</v>
      </c>
      <c r="R29" s="3">
        <v>7.4385159999999999</v>
      </c>
      <c r="S29" s="3">
        <v>10.209212000000001</v>
      </c>
      <c r="T29" s="3">
        <v>10.096812</v>
      </c>
      <c r="U29" s="3">
        <v>9.6675920000000009</v>
      </c>
      <c r="V29" s="3">
        <v>7.7573340000000002</v>
      </c>
      <c r="W29" s="3">
        <v>12.585553000000001</v>
      </c>
      <c r="X29" s="3">
        <v>9.5357959999999995</v>
      </c>
      <c r="Y29" s="3">
        <v>9.5186919999999997</v>
      </c>
      <c r="Z29" s="3">
        <v>11.655196</v>
      </c>
      <c r="AA29" s="3">
        <v>9.1509199999999993</v>
      </c>
      <c r="AB29" s="3">
        <v>8.7220659999999999</v>
      </c>
      <c r="AC29" s="3">
        <v>9.5285829999999994</v>
      </c>
      <c r="AD29" s="3">
        <v>9.1115429999999993</v>
      </c>
      <c r="AE29" s="3">
        <v>10.884744</v>
      </c>
      <c r="AF29" s="3">
        <v>11.582241</v>
      </c>
      <c r="AG29" s="3">
        <v>11.011255999999999</v>
      </c>
      <c r="AH29" s="3">
        <v>10.746817</v>
      </c>
      <c r="AI29" s="3">
        <v>11.816406000000001</v>
      </c>
      <c r="AJ29" s="3">
        <v>7.4352229999999997</v>
      </c>
      <c r="AK29" s="3">
        <v>9.2366989999999998</v>
      </c>
      <c r="AL29" s="3">
        <v>13.009919</v>
      </c>
      <c r="AM29" s="3">
        <v>9.6830280000000002</v>
      </c>
      <c r="AN29" s="3">
        <v>10.04602</v>
      </c>
      <c r="AO29" s="3">
        <v>10.799187</v>
      </c>
      <c r="AP29" s="3">
        <v>7.787757</v>
      </c>
      <c r="AQ29" s="3">
        <v>9.4581079999999993</v>
      </c>
      <c r="AR29" s="3">
        <v>9.0879580000000004</v>
      </c>
      <c r="AS29" s="3">
        <v>11.074490000000001</v>
      </c>
      <c r="AT29" s="3">
        <v>8.965624</v>
      </c>
      <c r="AU29" s="3">
        <v>11.140537</v>
      </c>
      <c r="AV29" s="3">
        <v>8.3226940000000003</v>
      </c>
      <c r="AW29" s="3">
        <v>9.6525820000000007</v>
      </c>
      <c r="AX29" s="3">
        <v>8.3738030000000006</v>
      </c>
      <c r="AY29" s="3">
        <v>7.7849029999999999</v>
      </c>
      <c r="AZ29" s="3">
        <v>10.339064</v>
      </c>
      <c r="BA29" s="3">
        <v>10.775589999999999</v>
      </c>
      <c r="BB29" s="3">
        <v>12.629013</v>
      </c>
      <c r="BC29" s="3">
        <v>9.6018380000000008</v>
      </c>
      <c r="BD29" s="3">
        <v>10.527221000000001</v>
      </c>
      <c r="BE29" s="3">
        <v>12.387187000000001</v>
      </c>
      <c r="BF29" s="3">
        <v>12.606439999999999</v>
      </c>
      <c r="BG29" s="3">
        <v>8.0680790000000009</v>
      </c>
      <c r="BH29" s="3">
        <v>7.4237520000000004</v>
      </c>
      <c r="BI29" s="3">
        <v>11.435079999999999</v>
      </c>
      <c r="BJ29" s="3">
        <v>8.7980350000000005</v>
      </c>
      <c r="BK29" s="3">
        <v>7.9752450000000001</v>
      </c>
      <c r="BL29" s="3">
        <v>12.085259000000001</v>
      </c>
      <c r="BM29" s="3">
        <v>10.035432999999999</v>
      </c>
      <c r="BN29" s="3">
        <v>10.962764999999999</v>
      </c>
      <c r="BO29" s="3">
        <v>10.019583000000001</v>
      </c>
      <c r="BP29" s="3">
        <v>8.887397</v>
      </c>
      <c r="BQ29" s="3">
        <v>9.8204069999999994</v>
      </c>
      <c r="BR29" s="3">
        <v>8.0331379999999992</v>
      </c>
      <c r="BS29" s="3">
        <v>9.0302330000000008</v>
      </c>
      <c r="BT29" s="3">
        <v>14.815129000000001</v>
      </c>
      <c r="BU29" s="3">
        <v>12.187739000000001</v>
      </c>
      <c r="BV29" s="3">
        <v>10.084365999999999</v>
      </c>
      <c r="BW29" s="3">
        <v>8.4743960000000005</v>
      </c>
      <c r="BX29" s="3">
        <v>11.789835999999999</v>
      </c>
      <c r="BY29" s="3">
        <v>7.6009039999999999</v>
      </c>
      <c r="BZ29" s="3">
        <v>6.2587390000000003</v>
      </c>
      <c r="CA29" s="3">
        <v>7.806101</v>
      </c>
      <c r="CB29" s="3">
        <v>7.3853010000000001</v>
      </c>
      <c r="CC29" s="3">
        <v>8.2986219999999999</v>
      </c>
      <c r="CD29" s="3">
        <v>12.395509000000001</v>
      </c>
      <c r="CE29" s="3">
        <v>10.932353000000001</v>
      </c>
      <c r="CF29" s="3">
        <v>8.7860770000000006</v>
      </c>
      <c r="CG29" s="3">
        <v>10.185638000000001</v>
      </c>
      <c r="CH29" s="3">
        <v>10.862228</v>
      </c>
      <c r="CI29" s="3">
        <v>9.8801550000000002</v>
      </c>
      <c r="CJ29" s="3">
        <v>10.385552000000001</v>
      </c>
      <c r="CK29" s="3">
        <v>10.094614999999999</v>
      </c>
      <c r="CL29" s="3">
        <v>11.149252000000001</v>
      </c>
      <c r="CM29" s="3">
        <v>11.900523</v>
      </c>
      <c r="CN29" s="3">
        <v>10.656603</v>
      </c>
      <c r="CO29" s="3">
        <v>11.247313</v>
      </c>
      <c r="CP29" s="3">
        <v>10.714072</v>
      </c>
      <c r="CQ29" s="3">
        <v>8.9717549999999999</v>
      </c>
      <c r="CR29" s="3">
        <v>10.893741</v>
      </c>
      <c r="CS29" s="3">
        <v>13.960317999999999</v>
      </c>
      <c r="CT29" s="3">
        <v>13.918513000000001</v>
      </c>
      <c r="CU29" s="3">
        <v>11.120246</v>
      </c>
      <c r="CV29" s="3">
        <v>11.773432</v>
      </c>
      <c r="CW29" s="3">
        <v>12.177992</v>
      </c>
      <c r="CX29" s="3">
        <v>8.2062209999999993</v>
      </c>
      <c r="CY29" s="3">
        <v>8.3956669999999995</v>
      </c>
      <c r="CZ29" s="3">
        <v>9.046996</v>
      </c>
      <c r="DA29" s="3">
        <v>10.995884999999999</v>
      </c>
      <c r="DB29" s="3">
        <v>11.336561</v>
      </c>
      <c r="DC29" s="3">
        <v>9.5851659999999992</v>
      </c>
      <c r="DD29" s="3">
        <v>9.6608920000000005</v>
      </c>
      <c r="DE29" s="3">
        <v>10.711601999999999</v>
      </c>
      <c r="DF29" s="3">
        <v>7.8129970000000002</v>
      </c>
      <c r="DG29" s="3">
        <v>9.3388559999999998</v>
      </c>
      <c r="DH29" s="3">
        <v>7.4536870000000004</v>
      </c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7</v>
      </c>
      <c r="E31" t="s">
        <v>6</v>
      </c>
      <c r="F31">
        <f>COUNT(M31:GJ31)</f>
        <v>100</v>
      </c>
      <c r="G31" s="3">
        <f>AVERAGE(M31:GJ31)</f>
        <v>12.047634279999997</v>
      </c>
      <c r="H31" s="3">
        <f>MAX(M31:GJ31)</f>
        <v>15.914622</v>
      </c>
      <c r="I31" s="3">
        <f>MIN(M31:GJ31)</f>
        <v>8.0644980000000004</v>
      </c>
      <c r="J31" s="3">
        <f>_xlfn.STDEV.P(M31:GJ31)</f>
        <v>2.1905097287837294</v>
      </c>
      <c r="K31" s="3">
        <f>_xlfn.VAR.S(M31:GJ31)</f>
        <v>4.8468008807031957</v>
      </c>
      <c r="M31" s="3">
        <v>12.140969999999999</v>
      </c>
      <c r="N31" s="3">
        <v>14.394515</v>
      </c>
      <c r="O31" s="3">
        <v>14.637708999999999</v>
      </c>
      <c r="P31" s="3">
        <v>11.848509999999999</v>
      </c>
      <c r="Q31" s="3">
        <v>11.491866999999999</v>
      </c>
      <c r="R31" s="3">
        <v>11.731182</v>
      </c>
      <c r="S31" s="3">
        <v>8.9051650000000002</v>
      </c>
      <c r="T31" s="3">
        <v>10.104979</v>
      </c>
      <c r="U31" s="3">
        <v>10.306196</v>
      </c>
      <c r="V31" s="3">
        <v>11.078765000000001</v>
      </c>
      <c r="W31" s="3">
        <v>12.461453000000001</v>
      </c>
      <c r="X31" s="3">
        <v>10.867915999999999</v>
      </c>
      <c r="Y31" s="3">
        <v>12.588003</v>
      </c>
      <c r="Z31" s="3">
        <v>11.697876000000001</v>
      </c>
      <c r="AA31" s="3">
        <v>9.562341</v>
      </c>
      <c r="AB31" s="3">
        <v>9.5653050000000004</v>
      </c>
      <c r="AC31" s="3">
        <v>10.009199000000001</v>
      </c>
      <c r="AD31" s="3">
        <v>9.4530220000000007</v>
      </c>
      <c r="AE31" s="3">
        <v>10.36834</v>
      </c>
      <c r="AF31" s="3">
        <v>15.346479</v>
      </c>
      <c r="AG31" s="3">
        <v>12.531408000000001</v>
      </c>
      <c r="AH31" s="3">
        <v>10.131485</v>
      </c>
      <c r="AI31" s="3">
        <v>10.468292</v>
      </c>
      <c r="AJ31" s="3">
        <v>9.6882579999999994</v>
      </c>
      <c r="AK31" s="3">
        <v>9.9538569999999993</v>
      </c>
      <c r="AL31" s="3">
        <v>14.997762</v>
      </c>
      <c r="AM31" s="3">
        <v>10.876458</v>
      </c>
      <c r="AN31" s="3">
        <v>10.801436000000001</v>
      </c>
      <c r="AO31" s="3">
        <v>10.483148999999999</v>
      </c>
      <c r="AP31" s="3">
        <v>9.6892399999999999</v>
      </c>
      <c r="AQ31" s="3">
        <v>15.747437</v>
      </c>
      <c r="AR31" s="3">
        <v>13.868076</v>
      </c>
      <c r="AS31" s="3">
        <v>12.024552999999999</v>
      </c>
      <c r="AT31" s="3">
        <v>12.790436</v>
      </c>
      <c r="AU31" s="3">
        <v>13.49874</v>
      </c>
      <c r="AV31" s="3">
        <v>12.783583</v>
      </c>
      <c r="AW31" s="3">
        <v>10.255901</v>
      </c>
      <c r="AX31" s="3">
        <v>13.704895</v>
      </c>
      <c r="AY31" s="3">
        <v>14.843774</v>
      </c>
      <c r="AZ31" s="3">
        <v>15.015813</v>
      </c>
      <c r="BA31" s="3">
        <v>11.088730999999999</v>
      </c>
      <c r="BB31" s="3">
        <v>10.259974</v>
      </c>
      <c r="BC31" s="3">
        <v>15.591233000000001</v>
      </c>
      <c r="BD31" s="3">
        <v>11.919312</v>
      </c>
      <c r="BE31" s="3">
        <v>15.63063</v>
      </c>
      <c r="BF31" s="3">
        <v>10.867260999999999</v>
      </c>
      <c r="BG31" s="3">
        <v>11.064621000000001</v>
      </c>
      <c r="BH31" s="3">
        <v>9.5105380000000004</v>
      </c>
      <c r="BI31" s="3">
        <v>11.164968</v>
      </c>
      <c r="BJ31" s="3">
        <v>12.140432000000001</v>
      </c>
      <c r="BK31" s="3">
        <v>14.417294</v>
      </c>
      <c r="BL31" s="3">
        <v>8.0644980000000004</v>
      </c>
      <c r="BM31" s="3">
        <v>10.488744000000001</v>
      </c>
      <c r="BN31" s="3">
        <v>9.6135190000000001</v>
      </c>
      <c r="BO31" s="3">
        <v>10.817952999999999</v>
      </c>
      <c r="BP31" s="3">
        <v>10.128035000000001</v>
      </c>
      <c r="BQ31" s="3">
        <v>11.328321000000001</v>
      </c>
      <c r="BR31" s="3">
        <v>15.021990000000001</v>
      </c>
      <c r="BS31" s="3">
        <v>13.777794999999999</v>
      </c>
      <c r="BT31" s="3">
        <v>10.185836999999999</v>
      </c>
      <c r="BU31" s="3">
        <v>9.4855040000000006</v>
      </c>
      <c r="BV31" s="3">
        <v>10.237562</v>
      </c>
      <c r="BW31" s="3">
        <v>9.8226680000000002</v>
      </c>
      <c r="BX31" s="3">
        <v>15.166416999999999</v>
      </c>
      <c r="BY31" s="3">
        <v>9.1415019999999991</v>
      </c>
      <c r="BZ31" s="3">
        <v>14.02275</v>
      </c>
      <c r="CA31" s="3">
        <v>15.914622</v>
      </c>
      <c r="CB31" s="3">
        <v>10.917308</v>
      </c>
      <c r="CC31" s="3">
        <v>11.11983</v>
      </c>
      <c r="CD31" s="3">
        <v>9.8743700000000008</v>
      </c>
      <c r="CE31" s="3">
        <v>13.879289999999999</v>
      </c>
      <c r="CF31" s="3">
        <v>15.522387999999999</v>
      </c>
      <c r="CG31" s="3">
        <v>14.753378</v>
      </c>
      <c r="CH31" s="3">
        <v>14.826575</v>
      </c>
      <c r="CI31" s="3">
        <v>9.0246060000000003</v>
      </c>
      <c r="CJ31" s="3">
        <v>15.383891999999999</v>
      </c>
      <c r="CK31" s="3">
        <v>10.607191</v>
      </c>
      <c r="CL31" s="3">
        <v>9.0905839999999998</v>
      </c>
      <c r="CM31" s="3">
        <v>11.624943</v>
      </c>
      <c r="CN31" s="3">
        <v>14.486704</v>
      </c>
      <c r="CO31" s="3">
        <v>9.4074860000000005</v>
      </c>
      <c r="CP31" s="3">
        <v>14.412570000000001</v>
      </c>
      <c r="CQ31" s="3">
        <v>14.068885</v>
      </c>
      <c r="CR31" s="3">
        <v>10.325221000000001</v>
      </c>
      <c r="CS31" s="3">
        <v>15.196115000000001</v>
      </c>
      <c r="CT31" s="3">
        <v>11.770103000000001</v>
      </c>
      <c r="CU31" s="3">
        <v>10.437594000000001</v>
      </c>
      <c r="CV31" s="3">
        <v>9.9354490000000002</v>
      </c>
      <c r="CW31" s="3">
        <v>15.023436</v>
      </c>
      <c r="CX31" s="3">
        <v>15.796723999999999</v>
      </c>
      <c r="CY31" s="3">
        <v>13.553388</v>
      </c>
      <c r="CZ31" s="3">
        <v>13.509164</v>
      </c>
      <c r="DA31" s="3">
        <v>10.342821000000001</v>
      </c>
      <c r="DB31" s="3">
        <v>15.808939000000001</v>
      </c>
      <c r="DC31" s="3">
        <v>8.6793809999999993</v>
      </c>
      <c r="DD31" s="3">
        <v>15.388396</v>
      </c>
      <c r="DE31" s="3">
        <v>13.144413</v>
      </c>
      <c r="DF31" s="3">
        <v>10.253712999999999</v>
      </c>
      <c r="DG31" s="3">
        <v>12.218164</v>
      </c>
      <c r="DH31" s="3">
        <v>14.793350999999999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10</v>
      </c>
      <c r="E33" t="s">
        <v>6</v>
      </c>
      <c r="F33">
        <f>COUNT(M33:GJ33)</f>
        <v>100</v>
      </c>
      <c r="G33" s="3">
        <f>AVERAGE(M33:GJ33)</f>
        <v>10.707288020000004</v>
      </c>
      <c r="H33" s="3">
        <f>MAX(M33:GJ33)</f>
        <v>14.499803999999999</v>
      </c>
      <c r="I33" s="3">
        <f>MIN(M33:GJ33)</f>
        <v>8.0649090000000001</v>
      </c>
      <c r="J33" s="3">
        <f>_xlfn.STDEV.P(M33:GJ33)</f>
        <v>1.2844573857132948</v>
      </c>
      <c r="K33" s="3">
        <f>_xlfn.VAR.S(M33:GJ33)</f>
        <v>1.6664957330438741</v>
      </c>
      <c r="M33" s="3">
        <v>9.3953249999999997</v>
      </c>
      <c r="N33" s="3">
        <v>10.933968</v>
      </c>
      <c r="O33" s="3">
        <v>12.79007</v>
      </c>
      <c r="P33" s="3">
        <v>10.379699</v>
      </c>
      <c r="Q33" s="3">
        <v>11.38819</v>
      </c>
      <c r="R33" s="3">
        <v>10.396454</v>
      </c>
      <c r="S33" s="3">
        <v>11.550959000000001</v>
      </c>
      <c r="T33" s="3">
        <v>12.490311999999999</v>
      </c>
      <c r="U33" s="3">
        <v>10.765691</v>
      </c>
      <c r="V33" s="3">
        <v>10.617139999999999</v>
      </c>
      <c r="W33" s="3">
        <v>11.078785999999999</v>
      </c>
      <c r="X33" s="3">
        <v>10.827336000000001</v>
      </c>
      <c r="Y33" s="3">
        <v>10.642472</v>
      </c>
      <c r="Z33" s="3">
        <v>11.130017</v>
      </c>
      <c r="AA33" s="3">
        <v>10.02126</v>
      </c>
      <c r="AB33" s="3">
        <v>9.7950719999999993</v>
      </c>
      <c r="AC33" s="3">
        <v>12.322556000000001</v>
      </c>
      <c r="AD33" s="3">
        <v>11.005474</v>
      </c>
      <c r="AE33" s="3">
        <v>10.548308</v>
      </c>
      <c r="AF33" s="3">
        <v>10.326025</v>
      </c>
      <c r="AG33" s="3">
        <v>11.775852</v>
      </c>
      <c r="AH33" s="3">
        <v>10.526166</v>
      </c>
      <c r="AI33" s="3">
        <v>13.213647</v>
      </c>
      <c r="AJ33" s="3">
        <v>9.9650440000000007</v>
      </c>
      <c r="AK33" s="3">
        <v>9.6171410000000002</v>
      </c>
      <c r="AL33" s="3">
        <v>8.9817409999999995</v>
      </c>
      <c r="AM33" s="3">
        <v>10.701423</v>
      </c>
      <c r="AN33" s="3">
        <v>9.5041399999999996</v>
      </c>
      <c r="AO33" s="3">
        <v>9.1149319999999996</v>
      </c>
      <c r="AP33" s="3">
        <v>11.167171</v>
      </c>
      <c r="AQ33" s="3">
        <v>11.499184</v>
      </c>
      <c r="AR33" s="3">
        <v>9.6490229999999997</v>
      </c>
      <c r="AS33" s="3">
        <v>12.073089</v>
      </c>
      <c r="AT33" s="3">
        <v>10.89611</v>
      </c>
      <c r="AU33" s="3">
        <v>10.519780000000001</v>
      </c>
      <c r="AV33" s="3">
        <v>12.326373</v>
      </c>
      <c r="AW33" s="3">
        <v>10.658818999999999</v>
      </c>
      <c r="AX33" s="3">
        <v>8.8635520000000003</v>
      </c>
      <c r="AY33" s="3">
        <v>9.6527349999999998</v>
      </c>
      <c r="AZ33" s="3">
        <v>10.230677999999999</v>
      </c>
      <c r="BA33" s="3">
        <v>12.635925</v>
      </c>
      <c r="BB33" s="3">
        <v>9.4963650000000008</v>
      </c>
      <c r="BC33" s="3">
        <v>9.1261860000000006</v>
      </c>
      <c r="BD33" s="3">
        <v>9.0047080000000008</v>
      </c>
      <c r="BE33" s="3">
        <v>8.0649090000000001</v>
      </c>
      <c r="BF33" s="3">
        <v>10.069834</v>
      </c>
      <c r="BG33" s="3">
        <v>9.4488859999999999</v>
      </c>
      <c r="BH33" s="3">
        <v>9.2916179999999997</v>
      </c>
      <c r="BI33" s="3">
        <v>11.439299</v>
      </c>
      <c r="BJ33" s="3">
        <v>10.860486999999999</v>
      </c>
      <c r="BK33" s="3">
        <v>9.6023119999999995</v>
      </c>
      <c r="BL33" s="3">
        <v>13.605795000000001</v>
      </c>
      <c r="BM33" s="3">
        <v>11.362909</v>
      </c>
      <c r="BN33" s="3">
        <v>13.019458</v>
      </c>
      <c r="BO33" s="3">
        <v>10.378738999999999</v>
      </c>
      <c r="BP33" s="3">
        <v>9.108466</v>
      </c>
      <c r="BQ33" s="3">
        <v>14.499803999999999</v>
      </c>
      <c r="BR33" s="3">
        <v>9.2527869999999997</v>
      </c>
      <c r="BS33" s="3">
        <v>11.953085</v>
      </c>
      <c r="BT33" s="3">
        <v>11.495543</v>
      </c>
      <c r="BU33" s="3">
        <v>12.178932</v>
      </c>
      <c r="BV33" s="3">
        <v>10.105999000000001</v>
      </c>
      <c r="BW33" s="3">
        <v>9.5334760000000003</v>
      </c>
      <c r="BX33" s="3">
        <v>9.5306449999999998</v>
      </c>
      <c r="BY33" s="3">
        <v>9.6196219999999997</v>
      </c>
      <c r="BZ33" s="3">
        <v>10.283187</v>
      </c>
      <c r="CA33" s="3">
        <v>9.0757469999999998</v>
      </c>
      <c r="CB33" s="3">
        <v>8.5623459999999998</v>
      </c>
      <c r="CC33" s="3">
        <v>10.459223</v>
      </c>
      <c r="CD33" s="3">
        <v>9.2206960000000002</v>
      </c>
      <c r="CE33" s="3">
        <v>10.343366</v>
      </c>
      <c r="CF33" s="3">
        <v>10.527882</v>
      </c>
      <c r="CG33" s="3">
        <v>10.063253</v>
      </c>
      <c r="CH33" s="3">
        <v>11.736926</v>
      </c>
      <c r="CI33" s="3">
        <v>9.149661</v>
      </c>
      <c r="CJ33" s="3">
        <v>10.382702999999999</v>
      </c>
      <c r="CK33" s="3">
        <v>13.097227999999999</v>
      </c>
      <c r="CL33" s="3">
        <v>10.809167</v>
      </c>
      <c r="CM33" s="3">
        <v>13.376075999999999</v>
      </c>
      <c r="CN33" s="3">
        <v>9.7319359999999993</v>
      </c>
      <c r="CO33" s="3">
        <v>9.6496150000000007</v>
      </c>
      <c r="CP33" s="3">
        <v>9.0762359999999997</v>
      </c>
      <c r="CQ33" s="3">
        <v>9.3916719999999998</v>
      </c>
      <c r="CR33" s="3">
        <v>11.662343999999999</v>
      </c>
      <c r="CS33" s="3">
        <v>10.970183</v>
      </c>
      <c r="CT33" s="3">
        <v>13.330819999999999</v>
      </c>
      <c r="CU33" s="3">
        <v>10.640639999999999</v>
      </c>
      <c r="CV33" s="3">
        <v>12.531150999999999</v>
      </c>
      <c r="CW33" s="3">
        <v>11.098288999999999</v>
      </c>
      <c r="CX33" s="3">
        <v>9.6573829999999994</v>
      </c>
      <c r="CY33" s="3">
        <v>9.5563669999999998</v>
      </c>
      <c r="CZ33" s="3">
        <v>10.495976000000001</v>
      </c>
      <c r="DA33" s="3">
        <v>11.434965999999999</v>
      </c>
      <c r="DB33" s="3">
        <v>11.713516</v>
      </c>
      <c r="DC33" s="3">
        <v>10.077222000000001</v>
      </c>
      <c r="DD33" s="3">
        <v>11.821927000000001</v>
      </c>
      <c r="DE33" s="3">
        <v>11.189802999999999</v>
      </c>
      <c r="DF33" s="3">
        <v>10.713004</v>
      </c>
      <c r="DG33" s="3">
        <v>13.008634000000001</v>
      </c>
      <c r="DH33" s="3">
        <v>11.862154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11</v>
      </c>
      <c r="E35" t="s">
        <v>6</v>
      </c>
      <c r="F35">
        <f>COUNT(M35:GJ35)</f>
        <v>100</v>
      </c>
      <c r="G35" s="3">
        <f>AVERAGE(M35:GJ35)</f>
        <v>10.799303549999998</v>
      </c>
      <c r="H35" s="3">
        <f>MAX(M35:GJ35)</f>
        <v>16.110605</v>
      </c>
      <c r="I35" s="3">
        <f>MIN(M35:GJ35)</f>
        <v>7.2530080000000003</v>
      </c>
      <c r="J35" s="3">
        <f>_xlfn.STDEV.P(M35:GJ35)</f>
        <v>1.5025461747119819</v>
      </c>
      <c r="K35" s="3">
        <f>_xlfn.VAR.S(M35:GJ35)</f>
        <v>2.2804495021632327</v>
      </c>
      <c r="M35" s="3">
        <v>14.119885</v>
      </c>
      <c r="N35" s="3">
        <v>8.9243400000000008</v>
      </c>
      <c r="O35" s="3">
        <v>9.1566100000000006</v>
      </c>
      <c r="P35" s="3">
        <v>9.9601590000000009</v>
      </c>
      <c r="Q35" s="3">
        <v>10.665174</v>
      </c>
      <c r="R35" s="3">
        <v>11.880758999999999</v>
      </c>
      <c r="S35" s="3">
        <v>8.6439529999999998</v>
      </c>
      <c r="T35" s="3">
        <v>9.8951560000000001</v>
      </c>
      <c r="U35" s="3">
        <v>10.305641</v>
      </c>
      <c r="V35" s="3">
        <v>9.2639069999999997</v>
      </c>
      <c r="W35" s="3">
        <v>10.109419000000001</v>
      </c>
      <c r="X35" s="3">
        <v>10.623322999999999</v>
      </c>
      <c r="Y35" s="3">
        <v>11.389384</v>
      </c>
      <c r="Z35" s="3">
        <v>9.8163509999999992</v>
      </c>
      <c r="AA35" s="3">
        <v>11.434742999999999</v>
      </c>
      <c r="AB35" s="3">
        <v>8.2634150000000002</v>
      </c>
      <c r="AC35" s="3">
        <v>11.666648</v>
      </c>
      <c r="AD35" s="3">
        <v>9.5236280000000004</v>
      </c>
      <c r="AE35" s="3">
        <v>9.9444510000000008</v>
      </c>
      <c r="AF35" s="3">
        <v>7.846292</v>
      </c>
      <c r="AG35" s="3">
        <v>12.37557</v>
      </c>
      <c r="AH35" s="3">
        <v>12.297136</v>
      </c>
      <c r="AI35" s="3">
        <v>10.315580000000001</v>
      </c>
      <c r="AJ35" s="3">
        <v>8.8725480000000001</v>
      </c>
      <c r="AK35" s="3">
        <v>16.110605</v>
      </c>
      <c r="AL35" s="3">
        <v>11.380824</v>
      </c>
      <c r="AM35" s="3">
        <v>12.02922</v>
      </c>
      <c r="AN35" s="3">
        <v>11.673265000000001</v>
      </c>
      <c r="AO35" s="3">
        <v>13.64878</v>
      </c>
      <c r="AP35" s="3">
        <v>10.685765999999999</v>
      </c>
      <c r="AQ35" s="3">
        <v>13.5541</v>
      </c>
      <c r="AR35" s="3">
        <v>10.102588000000001</v>
      </c>
      <c r="AS35" s="3">
        <v>12.436458</v>
      </c>
      <c r="AT35" s="3">
        <v>9.26572</v>
      </c>
      <c r="AU35" s="3">
        <v>10.782575</v>
      </c>
      <c r="AV35" s="3">
        <v>8.4916789999999995</v>
      </c>
      <c r="AW35" s="3">
        <v>11.799371000000001</v>
      </c>
      <c r="AX35" s="3">
        <v>9.6242769999999993</v>
      </c>
      <c r="AY35" s="3">
        <v>10.39419</v>
      </c>
      <c r="AZ35" s="3">
        <v>10.207694999999999</v>
      </c>
      <c r="BA35" s="3">
        <v>9.7151800000000001</v>
      </c>
      <c r="BB35" s="3">
        <v>10.053374</v>
      </c>
      <c r="BC35" s="3">
        <v>10.479647</v>
      </c>
      <c r="BD35" s="3">
        <v>10.986663</v>
      </c>
      <c r="BE35" s="3">
        <v>10.575989</v>
      </c>
      <c r="BF35" s="3">
        <v>7.2530080000000003</v>
      </c>
      <c r="BG35" s="3">
        <v>9.9823599999999999</v>
      </c>
      <c r="BH35" s="3">
        <v>11.986198999999999</v>
      </c>
      <c r="BI35" s="3">
        <v>10.218733</v>
      </c>
      <c r="BJ35" s="3">
        <v>14.363632000000001</v>
      </c>
      <c r="BK35" s="3">
        <v>10.260596</v>
      </c>
      <c r="BL35" s="3">
        <v>11.365197999999999</v>
      </c>
      <c r="BM35" s="3">
        <v>9.7550629999999998</v>
      </c>
      <c r="BN35" s="3">
        <v>11.044456</v>
      </c>
      <c r="BO35" s="3">
        <v>12.993999000000001</v>
      </c>
      <c r="BP35" s="3">
        <v>12.398778</v>
      </c>
      <c r="BQ35" s="3">
        <v>10.519664000000001</v>
      </c>
      <c r="BR35" s="3">
        <v>9.9928070000000009</v>
      </c>
      <c r="BS35" s="3">
        <v>13.286325</v>
      </c>
      <c r="BT35" s="3">
        <v>11.943565</v>
      </c>
      <c r="BU35" s="3">
        <v>9.6559430000000006</v>
      </c>
      <c r="BV35" s="3">
        <v>12.375537</v>
      </c>
      <c r="BW35" s="3">
        <v>11.570237000000001</v>
      </c>
      <c r="BX35" s="3">
        <v>11.152664</v>
      </c>
      <c r="BY35" s="3">
        <v>10.267384</v>
      </c>
      <c r="BZ35" s="3">
        <v>9.3660940000000004</v>
      </c>
      <c r="CA35" s="3">
        <v>9.2815189999999994</v>
      </c>
      <c r="CB35" s="3">
        <v>10.524509</v>
      </c>
      <c r="CC35" s="3">
        <v>10.163686</v>
      </c>
      <c r="CD35" s="3">
        <v>9.7719780000000007</v>
      </c>
      <c r="CE35" s="3">
        <v>9.328417</v>
      </c>
      <c r="CF35" s="3">
        <v>10.824441999999999</v>
      </c>
      <c r="CG35" s="3">
        <v>9.5132680000000001</v>
      </c>
      <c r="CH35" s="3">
        <v>12.522239000000001</v>
      </c>
      <c r="CI35" s="3">
        <v>11.852206000000001</v>
      </c>
      <c r="CJ35" s="3">
        <v>10.345319</v>
      </c>
      <c r="CK35" s="3">
        <v>13.365347999999999</v>
      </c>
      <c r="CL35" s="3">
        <v>11.217658999999999</v>
      </c>
      <c r="CM35" s="3">
        <v>10.207659</v>
      </c>
      <c r="CN35" s="3">
        <v>9.7458559999999999</v>
      </c>
      <c r="CO35" s="3">
        <v>8.1239790000000003</v>
      </c>
      <c r="CP35" s="3">
        <v>12.542304</v>
      </c>
      <c r="CQ35" s="3">
        <v>9.0064060000000001</v>
      </c>
      <c r="CR35" s="3">
        <v>12.988744000000001</v>
      </c>
      <c r="CS35" s="3">
        <v>12.197875</v>
      </c>
      <c r="CT35" s="3">
        <v>12.159857000000001</v>
      </c>
      <c r="CU35" s="3">
        <v>10.090320999999999</v>
      </c>
      <c r="CV35" s="3">
        <v>10.978669999999999</v>
      </c>
      <c r="CW35" s="3">
        <v>11.711399</v>
      </c>
      <c r="CX35" s="3">
        <v>10.870638</v>
      </c>
      <c r="CY35" s="3">
        <v>9.7356759999999998</v>
      </c>
      <c r="CZ35" s="3">
        <v>10.076568999999999</v>
      </c>
      <c r="DA35" s="3">
        <v>10.971209999999999</v>
      </c>
      <c r="DB35" s="3">
        <v>12.537247000000001</v>
      </c>
      <c r="DC35" s="3">
        <v>11.615360000000001</v>
      </c>
      <c r="DD35" s="3">
        <v>11.254845</v>
      </c>
      <c r="DE35" s="3">
        <v>8.8907729999999994</v>
      </c>
      <c r="DF35" s="3">
        <v>9.5462679999999995</v>
      </c>
      <c r="DG35" s="3">
        <v>11.244951</v>
      </c>
      <c r="DH35" s="3">
        <v>11.678877999999999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44</v>
      </c>
      <c r="D38" s="1" t="s">
        <v>23</v>
      </c>
    </row>
    <row r="39" spans="2:207" x14ac:dyDescent="0.2">
      <c r="B39" s="2" t="s">
        <v>20</v>
      </c>
      <c r="D39" t="s">
        <v>8</v>
      </c>
      <c r="E39" t="s">
        <v>6</v>
      </c>
      <c r="F39">
        <f>COUNT(M39:GJ39)</f>
        <v>100</v>
      </c>
      <c r="G39" s="3">
        <f>AVERAGE(M39:GJ39)</f>
        <v>11.622690999999998</v>
      </c>
      <c r="H39" s="3">
        <f>MAX(M39:GJ39)</f>
        <v>22.151831000000001</v>
      </c>
      <c r="I39" s="3">
        <f>MIN(M39:GJ39)</f>
        <v>7.8946579999999997</v>
      </c>
      <c r="J39" s="3">
        <f>_xlfn.STDEV.P(M39:GJ39)</f>
        <v>3.6243308465292996</v>
      </c>
      <c r="K39" s="3">
        <f>_xlfn.VAR.S(M39:GJ39)</f>
        <v>13.268458671822005</v>
      </c>
      <c r="M39" s="3">
        <v>10.994514000000001</v>
      </c>
      <c r="N39" s="3">
        <v>15.465109999999999</v>
      </c>
      <c r="O39" s="3">
        <v>16.812531</v>
      </c>
      <c r="P39" s="3">
        <v>15.276063000000001</v>
      </c>
      <c r="Q39" s="3">
        <v>18.457101999999999</v>
      </c>
      <c r="R39" s="3">
        <v>16.771543999999999</v>
      </c>
      <c r="S39" s="3">
        <v>15.094607</v>
      </c>
      <c r="T39" s="3">
        <v>17.103805999999999</v>
      </c>
      <c r="U39" s="3">
        <v>11.371496</v>
      </c>
      <c r="V39" s="3">
        <v>16.961821</v>
      </c>
      <c r="W39" s="3">
        <v>16.397445999999999</v>
      </c>
      <c r="X39" s="3">
        <v>15.67487</v>
      </c>
      <c r="Y39" s="3">
        <v>15.656449</v>
      </c>
      <c r="Z39" s="3">
        <v>18.012768000000001</v>
      </c>
      <c r="AA39" s="3">
        <v>17.302873999999999</v>
      </c>
      <c r="AB39" s="3">
        <v>15.246105999999999</v>
      </c>
      <c r="AC39" s="3">
        <v>17.929473999999999</v>
      </c>
      <c r="AD39" s="3">
        <v>22.151831000000001</v>
      </c>
      <c r="AE39" s="3">
        <v>18.967027999999999</v>
      </c>
      <c r="AF39" s="3">
        <v>14.910449</v>
      </c>
      <c r="AG39" s="3">
        <v>18.159361000000001</v>
      </c>
      <c r="AH39" s="3">
        <v>18.500710000000002</v>
      </c>
      <c r="AI39" s="3">
        <v>10.063153</v>
      </c>
      <c r="AJ39" s="3">
        <v>17.839003000000002</v>
      </c>
      <c r="AK39" s="3">
        <v>19.272963000000001</v>
      </c>
      <c r="AL39" s="3">
        <v>9.2241979999999995</v>
      </c>
      <c r="AM39" s="3">
        <v>8.8019040000000004</v>
      </c>
      <c r="AN39" s="3">
        <v>8.9441199999999998</v>
      </c>
      <c r="AO39" s="3">
        <v>8.9599349999999998</v>
      </c>
      <c r="AP39" s="3">
        <v>9.0680890000000005</v>
      </c>
      <c r="AQ39" s="3">
        <v>10.323193</v>
      </c>
      <c r="AR39" s="3">
        <v>11.161194999999999</v>
      </c>
      <c r="AS39" s="3">
        <v>14.658023999999999</v>
      </c>
      <c r="AT39" s="3">
        <v>11.413411</v>
      </c>
      <c r="AU39" s="3">
        <v>10.173024</v>
      </c>
      <c r="AV39" s="3">
        <v>11.494821</v>
      </c>
      <c r="AW39" s="3">
        <v>11.548731999999999</v>
      </c>
      <c r="AX39" s="3">
        <v>8.1724479999999993</v>
      </c>
      <c r="AY39" s="3">
        <v>11.781007000000001</v>
      </c>
      <c r="AZ39" s="3">
        <v>20.213308000000001</v>
      </c>
      <c r="BA39" s="3">
        <v>9.060549</v>
      </c>
      <c r="BB39" s="3">
        <v>8.0995039999999996</v>
      </c>
      <c r="BC39" s="3">
        <v>10.640779</v>
      </c>
      <c r="BD39" s="3">
        <v>12.105307</v>
      </c>
      <c r="BE39" s="3">
        <v>9.3329000000000004</v>
      </c>
      <c r="BF39" s="3">
        <v>12.299901999999999</v>
      </c>
      <c r="BG39" s="3">
        <v>10.817822</v>
      </c>
      <c r="BH39" s="3">
        <v>8.7620830000000005</v>
      </c>
      <c r="BI39" s="3">
        <v>12.32845</v>
      </c>
      <c r="BJ39" s="3">
        <v>9.02041</v>
      </c>
      <c r="BK39" s="3">
        <v>9.7881959999999992</v>
      </c>
      <c r="BL39" s="3">
        <v>8.7660630000000008</v>
      </c>
      <c r="BM39" s="3">
        <v>11.760417</v>
      </c>
      <c r="BN39" s="3">
        <v>8.9000649999999997</v>
      </c>
      <c r="BO39" s="3">
        <v>8.3223570000000002</v>
      </c>
      <c r="BP39" s="3">
        <v>10.079427000000001</v>
      </c>
      <c r="BQ39" s="3">
        <v>11.44581</v>
      </c>
      <c r="BR39" s="3">
        <v>8.302975</v>
      </c>
      <c r="BS39" s="3">
        <v>8.6285889999999998</v>
      </c>
      <c r="BT39" s="3">
        <v>10.493472000000001</v>
      </c>
      <c r="BU39" s="3">
        <v>11.491690999999999</v>
      </c>
      <c r="BV39" s="3">
        <v>8.7788260000000005</v>
      </c>
      <c r="BW39" s="3">
        <v>10.522195</v>
      </c>
      <c r="BX39" s="3">
        <v>9.5651250000000001</v>
      </c>
      <c r="BY39" s="3">
        <v>17.598033999999998</v>
      </c>
      <c r="BZ39" s="3">
        <v>10.456289</v>
      </c>
      <c r="CA39" s="3">
        <v>7.8946579999999997</v>
      </c>
      <c r="CB39" s="3">
        <v>11.092822999999999</v>
      </c>
      <c r="CC39" s="3">
        <v>9.8341460000000005</v>
      </c>
      <c r="CD39" s="3">
        <v>8.6194170000000003</v>
      </c>
      <c r="CE39" s="3">
        <v>10.747723000000001</v>
      </c>
      <c r="CF39" s="3">
        <v>9.3109350000000006</v>
      </c>
      <c r="CG39" s="3">
        <v>8.7556010000000004</v>
      </c>
      <c r="CH39" s="3">
        <v>10.7773</v>
      </c>
      <c r="CI39" s="3">
        <v>9.1219140000000003</v>
      </c>
      <c r="CJ39" s="3">
        <v>9.1063320000000001</v>
      </c>
      <c r="CK39" s="3">
        <v>13.175834</v>
      </c>
      <c r="CL39" s="3">
        <v>8.4231040000000004</v>
      </c>
      <c r="CM39" s="3">
        <v>7.9578059999999997</v>
      </c>
      <c r="CN39" s="3">
        <v>8.4579210000000007</v>
      </c>
      <c r="CO39" s="3">
        <v>8.5247209999999995</v>
      </c>
      <c r="CP39" s="3">
        <v>17.879455</v>
      </c>
      <c r="CQ39" s="3">
        <v>8.4561349999999997</v>
      </c>
      <c r="CR39" s="3">
        <v>7.9614690000000001</v>
      </c>
      <c r="CS39" s="3">
        <v>8.1337849999999996</v>
      </c>
      <c r="CT39" s="3">
        <v>8.3925129999999992</v>
      </c>
      <c r="CU39" s="3">
        <v>8.0876909999999995</v>
      </c>
      <c r="CV39" s="3">
        <v>9.6686329999999998</v>
      </c>
      <c r="CW39" s="3">
        <v>8.9651630000000004</v>
      </c>
      <c r="CX39" s="3">
        <v>8.7969039999999996</v>
      </c>
      <c r="CY39" s="3">
        <v>8.2152449999999995</v>
      </c>
      <c r="CZ39" s="3">
        <v>8.6920909999999996</v>
      </c>
      <c r="DA39" s="3">
        <v>10.028276</v>
      </c>
      <c r="DB39" s="3">
        <v>9.2827310000000001</v>
      </c>
      <c r="DC39" s="3">
        <v>7.998526</v>
      </c>
      <c r="DD39" s="3">
        <v>10.091625000000001</v>
      </c>
      <c r="DE39" s="3">
        <v>8.9125379999999996</v>
      </c>
      <c r="DF39" s="3">
        <v>8.5823359999999997</v>
      </c>
      <c r="DG39" s="3">
        <v>8.7372650000000007</v>
      </c>
      <c r="DH39" s="3">
        <v>9.8887590000000003</v>
      </c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28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25</v>
      </c>
      <c r="D41" t="s">
        <v>9</v>
      </c>
      <c r="E41" t="s">
        <v>6</v>
      </c>
      <c r="F41">
        <f>COUNT(M41:GJ41)</f>
        <v>100</v>
      </c>
      <c r="G41" s="3">
        <f>AVERAGE(M41:GJ41)</f>
        <v>10.10136677</v>
      </c>
      <c r="H41" s="3">
        <f>MAX(M41:GJ41)</f>
        <v>15.033447000000001</v>
      </c>
      <c r="I41" s="3">
        <f>MIN(M41:GJ41)</f>
        <v>7.2554030000000003</v>
      </c>
      <c r="J41" s="3">
        <f>_xlfn.STDEV.P(M41:GJ41)</f>
        <v>1.4476369796453588</v>
      </c>
      <c r="K41" s="3">
        <f>_xlfn.VAR.S(M41:GJ41)</f>
        <v>2.116821035188611</v>
      </c>
      <c r="M41" s="3">
        <v>8.6686669999999992</v>
      </c>
      <c r="N41" s="3">
        <v>11.727767999999999</v>
      </c>
      <c r="O41" s="3">
        <v>10.618321999999999</v>
      </c>
      <c r="P41" s="3">
        <v>8.7272680000000005</v>
      </c>
      <c r="Q41" s="3">
        <v>9.5800230000000006</v>
      </c>
      <c r="R41" s="3">
        <v>7.7150740000000004</v>
      </c>
      <c r="S41" s="3">
        <v>10.276688</v>
      </c>
      <c r="T41" s="3">
        <v>9.5093239999999994</v>
      </c>
      <c r="U41" s="3">
        <v>10.226991999999999</v>
      </c>
      <c r="V41" s="3">
        <v>8.9678900000000006</v>
      </c>
      <c r="W41" s="3">
        <v>11.190595</v>
      </c>
      <c r="X41" s="3">
        <v>9.1162050000000008</v>
      </c>
      <c r="Y41" s="3">
        <v>10.398564</v>
      </c>
      <c r="Z41" s="3">
        <v>10.954993</v>
      </c>
      <c r="AA41" s="3">
        <v>9.5462260000000008</v>
      </c>
      <c r="AB41" s="3">
        <v>9.3193079999999995</v>
      </c>
      <c r="AC41" s="3">
        <v>10.099195</v>
      </c>
      <c r="AD41" s="3">
        <v>9.6213359999999994</v>
      </c>
      <c r="AE41" s="3">
        <v>10.205572</v>
      </c>
      <c r="AF41" s="3">
        <v>10.504853000000001</v>
      </c>
      <c r="AG41" s="3">
        <v>11.06925</v>
      </c>
      <c r="AH41" s="3">
        <v>10.987831999999999</v>
      </c>
      <c r="AI41" s="3">
        <v>12.866970999999999</v>
      </c>
      <c r="AJ41" s="3">
        <v>8.0976300000000005</v>
      </c>
      <c r="AK41" s="3">
        <v>9.3298919999999992</v>
      </c>
      <c r="AL41" s="3">
        <v>12.173819999999999</v>
      </c>
      <c r="AM41" s="3">
        <v>8.9975120000000004</v>
      </c>
      <c r="AN41" s="3">
        <v>10.842935000000001</v>
      </c>
      <c r="AO41" s="3">
        <v>10.497954999999999</v>
      </c>
      <c r="AP41" s="3">
        <v>8.9289120000000004</v>
      </c>
      <c r="AQ41" s="3">
        <v>9.9438370000000003</v>
      </c>
      <c r="AR41" s="3">
        <v>8.9772130000000008</v>
      </c>
      <c r="AS41" s="3">
        <v>9.9747590000000006</v>
      </c>
      <c r="AT41" s="3">
        <v>8.26065</v>
      </c>
      <c r="AU41" s="3">
        <v>10.383293999999999</v>
      </c>
      <c r="AV41" s="3">
        <v>8.4074810000000006</v>
      </c>
      <c r="AW41" s="3">
        <v>9.4922260000000005</v>
      </c>
      <c r="AX41" s="3">
        <v>9.6686750000000004</v>
      </c>
      <c r="AY41" s="3">
        <v>7.7570620000000003</v>
      </c>
      <c r="AZ41" s="3">
        <v>10.984864999999999</v>
      </c>
      <c r="BA41" s="3">
        <v>10.386972999999999</v>
      </c>
      <c r="BB41" s="3">
        <v>12.162658</v>
      </c>
      <c r="BC41" s="3">
        <v>11.074329000000001</v>
      </c>
      <c r="BD41" s="3">
        <v>10.938938</v>
      </c>
      <c r="BE41" s="3">
        <v>12.621601</v>
      </c>
      <c r="BF41" s="3">
        <v>11.885528000000001</v>
      </c>
      <c r="BG41" s="3">
        <v>9.0707000000000004</v>
      </c>
      <c r="BH41" s="3">
        <v>7.6425419999999997</v>
      </c>
      <c r="BI41" s="3">
        <v>9.5024879999999996</v>
      </c>
      <c r="BJ41" s="3">
        <v>8.3492490000000004</v>
      </c>
      <c r="BK41" s="3">
        <v>8.1783300000000008</v>
      </c>
      <c r="BL41" s="3">
        <v>11.760574</v>
      </c>
      <c r="BM41" s="3">
        <v>10.355320000000001</v>
      </c>
      <c r="BN41" s="3">
        <v>11.430762</v>
      </c>
      <c r="BO41" s="3">
        <v>10.323845</v>
      </c>
      <c r="BP41" s="3">
        <v>10.170127000000001</v>
      </c>
      <c r="BQ41" s="3">
        <v>10.522967</v>
      </c>
      <c r="BR41" s="3">
        <v>7.8237170000000003</v>
      </c>
      <c r="BS41" s="3">
        <v>8.6900259999999996</v>
      </c>
      <c r="BT41" s="3">
        <v>15.033447000000001</v>
      </c>
      <c r="BU41" s="3">
        <v>11.66418</v>
      </c>
      <c r="BV41" s="3">
        <v>10.667721999999999</v>
      </c>
      <c r="BW41" s="3">
        <v>8.6929490000000005</v>
      </c>
      <c r="BX41" s="3">
        <v>9.5428390000000007</v>
      </c>
      <c r="BY41" s="3">
        <v>8.0034100000000006</v>
      </c>
      <c r="BZ41" s="3">
        <v>7.2554030000000003</v>
      </c>
      <c r="CA41" s="3">
        <v>8.2844350000000002</v>
      </c>
      <c r="CB41" s="3">
        <v>9.1302409999999998</v>
      </c>
      <c r="CC41" s="3">
        <v>8.3139050000000001</v>
      </c>
      <c r="CD41" s="3">
        <v>11.699560999999999</v>
      </c>
      <c r="CE41" s="3">
        <v>11.016985999999999</v>
      </c>
      <c r="CF41" s="3">
        <v>8.7461870000000008</v>
      </c>
      <c r="CG41" s="3">
        <v>9.8825649999999996</v>
      </c>
      <c r="CH41" s="3">
        <v>11.208247999999999</v>
      </c>
      <c r="CI41" s="3">
        <v>8.9775120000000008</v>
      </c>
      <c r="CJ41" s="3">
        <v>10.696809</v>
      </c>
      <c r="CK41" s="3">
        <v>9.7993489999999994</v>
      </c>
      <c r="CL41" s="3">
        <v>11.758112000000001</v>
      </c>
      <c r="CM41" s="3">
        <v>12.162254000000001</v>
      </c>
      <c r="CN41" s="3">
        <v>9.5981249999999996</v>
      </c>
      <c r="CO41" s="3">
        <v>10.652696000000001</v>
      </c>
      <c r="CP41" s="3">
        <v>11.426746</v>
      </c>
      <c r="CQ41" s="3">
        <v>9.6710539999999998</v>
      </c>
      <c r="CR41" s="3">
        <v>10.105433</v>
      </c>
      <c r="CS41" s="3">
        <v>14.256557000000001</v>
      </c>
      <c r="CT41" s="3">
        <v>11.924579</v>
      </c>
      <c r="CU41" s="3">
        <v>11.699997</v>
      </c>
      <c r="CV41" s="3">
        <v>12.139828</v>
      </c>
      <c r="CW41" s="3">
        <v>11.265555000000001</v>
      </c>
      <c r="CX41" s="3">
        <v>8.9311129999999999</v>
      </c>
      <c r="CY41" s="3">
        <v>8.3419460000000001</v>
      </c>
      <c r="CZ41" s="3">
        <v>8.9193499999999997</v>
      </c>
      <c r="DA41" s="3">
        <v>11.655571</v>
      </c>
      <c r="DB41" s="3">
        <v>11.906919</v>
      </c>
      <c r="DC41" s="3">
        <v>9.0623520000000006</v>
      </c>
      <c r="DD41" s="3">
        <v>10.492925</v>
      </c>
      <c r="DE41" s="3">
        <v>10.725148000000001</v>
      </c>
      <c r="DF41" s="3">
        <v>8.4936360000000004</v>
      </c>
      <c r="DG41" s="3">
        <v>9.9543090000000003</v>
      </c>
      <c r="DH41" s="3">
        <v>8.8684159999999999</v>
      </c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7</v>
      </c>
      <c r="E43" t="s">
        <v>6</v>
      </c>
      <c r="F43">
        <f>COUNT(M43:GJ43)</f>
        <v>100</v>
      </c>
      <c r="G43" s="3">
        <f>AVERAGE(M43:GJ43)</f>
        <v>13.444658879999997</v>
      </c>
      <c r="H43" s="3">
        <f>MAX(M43:GJ43)</f>
        <v>17.776222000000001</v>
      </c>
      <c r="I43" s="3">
        <f>MIN(M43:GJ43)</f>
        <v>9.6360039999999998</v>
      </c>
      <c r="J43" s="3">
        <f>_xlfn.STDEV.P(M43:GJ43)</f>
        <v>1.9449756746864888</v>
      </c>
      <c r="K43" s="3">
        <f>_xlfn.VAR.S(M43:GJ43)</f>
        <v>3.8211417930526865</v>
      </c>
      <c r="M43" s="3">
        <v>13.796431999999999</v>
      </c>
      <c r="N43" s="3">
        <v>16.178566</v>
      </c>
      <c r="O43" s="3">
        <v>15.299103000000001</v>
      </c>
      <c r="P43" s="3">
        <v>14.112688</v>
      </c>
      <c r="Q43" s="3">
        <v>13.466068</v>
      </c>
      <c r="R43" s="3">
        <v>14.191164000000001</v>
      </c>
      <c r="S43" s="3">
        <v>11.443358999999999</v>
      </c>
      <c r="T43" s="3">
        <v>12.176565999999999</v>
      </c>
      <c r="U43" s="3">
        <v>12.695446</v>
      </c>
      <c r="V43" s="3">
        <v>12.848248</v>
      </c>
      <c r="W43" s="3">
        <v>15.442389</v>
      </c>
      <c r="X43" s="3">
        <v>13.277492000000001</v>
      </c>
      <c r="Y43" s="3">
        <v>14.837929000000001</v>
      </c>
      <c r="Z43" s="3">
        <v>14.229642999999999</v>
      </c>
      <c r="AA43" s="3">
        <v>12.457509</v>
      </c>
      <c r="AB43" s="3">
        <v>11.651895</v>
      </c>
      <c r="AC43" s="3">
        <v>13.236309</v>
      </c>
      <c r="AD43" s="3">
        <v>11.600156</v>
      </c>
      <c r="AE43" s="3">
        <v>12.820239000000001</v>
      </c>
      <c r="AF43" s="3">
        <v>16.577268</v>
      </c>
      <c r="AG43" s="3">
        <v>14.612562</v>
      </c>
      <c r="AH43" s="3">
        <v>12.218787000000001</v>
      </c>
      <c r="AI43" s="3">
        <v>12.948542</v>
      </c>
      <c r="AJ43" s="3">
        <v>12.025323999999999</v>
      </c>
      <c r="AK43" s="3">
        <v>12.140088</v>
      </c>
      <c r="AL43" s="3">
        <v>14.049274</v>
      </c>
      <c r="AM43" s="3">
        <v>12.693806</v>
      </c>
      <c r="AN43" s="3">
        <v>13.349577999999999</v>
      </c>
      <c r="AO43" s="3">
        <v>12.911813</v>
      </c>
      <c r="AP43" s="3">
        <v>11.646913</v>
      </c>
      <c r="AQ43" s="3">
        <v>15.301942</v>
      </c>
      <c r="AR43" s="3">
        <v>15.422829</v>
      </c>
      <c r="AS43" s="3">
        <v>13.073833</v>
      </c>
      <c r="AT43" s="3">
        <v>13.684881000000001</v>
      </c>
      <c r="AU43" s="3">
        <v>14.304223</v>
      </c>
      <c r="AV43" s="3">
        <v>13.691554999999999</v>
      </c>
      <c r="AW43" s="3">
        <v>12.403753999999999</v>
      </c>
      <c r="AX43" s="3">
        <v>14.285774</v>
      </c>
      <c r="AY43" s="3">
        <v>15.643579000000001</v>
      </c>
      <c r="AZ43" s="3">
        <v>17.34517</v>
      </c>
      <c r="BA43" s="3">
        <v>12.454193999999999</v>
      </c>
      <c r="BB43" s="3">
        <v>12.073129</v>
      </c>
      <c r="BC43" s="3">
        <v>16.636354999999998</v>
      </c>
      <c r="BD43" s="3">
        <v>12.307926999999999</v>
      </c>
      <c r="BE43" s="3">
        <v>16.318234</v>
      </c>
      <c r="BF43" s="3">
        <v>13.662274</v>
      </c>
      <c r="BG43" s="3">
        <v>13.403055</v>
      </c>
      <c r="BH43" s="3">
        <v>11.258179</v>
      </c>
      <c r="BI43" s="3">
        <v>12.753748</v>
      </c>
      <c r="BJ43" s="3">
        <v>14.018229</v>
      </c>
      <c r="BK43" s="3">
        <v>14.579504999999999</v>
      </c>
      <c r="BL43" s="3">
        <v>9.9170110000000005</v>
      </c>
      <c r="BM43" s="3">
        <v>11.537544</v>
      </c>
      <c r="BN43" s="3">
        <v>10.420756000000001</v>
      </c>
      <c r="BO43" s="3">
        <v>11.741994999999999</v>
      </c>
      <c r="BP43" s="3">
        <v>11.464415000000001</v>
      </c>
      <c r="BQ43" s="3">
        <v>12.618814</v>
      </c>
      <c r="BR43" s="3">
        <v>16.577539000000002</v>
      </c>
      <c r="BS43" s="3">
        <v>14.433695</v>
      </c>
      <c r="BT43" s="3">
        <v>11.961306</v>
      </c>
      <c r="BU43" s="3">
        <v>11.236934</v>
      </c>
      <c r="BV43" s="3">
        <v>12.077826</v>
      </c>
      <c r="BW43" s="3">
        <v>12.050713999999999</v>
      </c>
      <c r="BX43" s="3">
        <v>15.523892</v>
      </c>
      <c r="BY43" s="3">
        <v>10.435249000000001</v>
      </c>
      <c r="BZ43" s="3">
        <v>15.963141999999999</v>
      </c>
      <c r="CA43" s="3">
        <v>17.051683000000001</v>
      </c>
      <c r="CB43" s="3">
        <v>12.039237</v>
      </c>
      <c r="CC43" s="3">
        <v>11.408188000000001</v>
      </c>
      <c r="CD43" s="3">
        <v>11.058179000000001</v>
      </c>
      <c r="CE43" s="3">
        <v>14.286687000000001</v>
      </c>
      <c r="CF43" s="3">
        <v>16.510159999999999</v>
      </c>
      <c r="CG43" s="3">
        <v>15.37557</v>
      </c>
      <c r="CH43" s="3">
        <v>13.941158</v>
      </c>
      <c r="CI43" s="3">
        <v>9.6360039999999998</v>
      </c>
      <c r="CJ43" s="3">
        <v>17.501407</v>
      </c>
      <c r="CK43" s="3">
        <v>10.920714</v>
      </c>
      <c r="CL43" s="3">
        <v>10.728088</v>
      </c>
      <c r="CM43" s="3">
        <v>11.399768</v>
      </c>
      <c r="CN43" s="3">
        <v>15.852656</v>
      </c>
      <c r="CO43" s="3">
        <v>10.660869</v>
      </c>
      <c r="CP43" s="3">
        <v>15.902505</v>
      </c>
      <c r="CQ43" s="3">
        <v>14.858426</v>
      </c>
      <c r="CR43" s="3">
        <v>12.106711000000001</v>
      </c>
      <c r="CS43" s="3">
        <v>16.591086000000001</v>
      </c>
      <c r="CT43" s="3">
        <v>12.442916</v>
      </c>
      <c r="CU43" s="3">
        <v>11.810081</v>
      </c>
      <c r="CV43" s="3">
        <v>11.775084</v>
      </c>
      <c r="CW43" s="3">
        <v>15.93709</v>
      </c>
      <c r="CX43" s="3">
        <v>16.142783999999999</v>
      </c>
      <c r="CY43" s="3">
        <v>13.336088999999999</v>
      </c>
      <c r="CZ43" s="3">
        <v>14.04705</v>
      </c>
      <c r="DA43" s="3">
        <v>11.185354</v>
      </c>
      <c r="DB43" s="3">
        <v>14.811099</v>
      </c>
      <c r="DC43" s="3">
        <v>10.577204999999999</v>
      </c>
      <c r="DD43" s="3">
        <v>17.776222000000001</v>
      </c>
      <c r="DE43" s="3">
        <v>14.110702</v>
      </c>
      <c r="DF43" s="3">
        <v>10.789024</v>
      </c>
      <c r="DG43" s="3">
        <v>12.427693</v>
      </c>
      <c r="DH43" s="3">
        <v>15.950042</v>
      </c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10</v>
      </c>
      <c r="E45" t="s">
        <v>6</v>
      </c>
      <c r="F45">
        <f>COUNT(M45:GJ45)</f>
        <v>100</v>
      </c>
      <c r="G45" s="3">
        <f>AVERAGE(M45:GJ45)</f>
        <v>10.046580560000001</v>
      </c>
      <c r="H45" s="3">
        <f>MAX(M45:GJ45)</f>
        <v>12.946561000000001</v>
      </c>
      <c r="I45" s="3">
        <f>MIN(M45:GJ45)</f>
        <v>8.2752949999999998</v>
      </c>
      <c r="J45" s="3">
        <f>_xlfn.STDEV.P(M45:GJ45)</f>
        <v>0.7625949816190023</v>
      </c>
      <c r="K45" s="3">
        <f>_xlfn.VAR.S(M45:GJ45)</f>
        <v>0.58742535958634989</v>
      </c>
      <c r="M45" s="3">
        <v>9.8574859999999997</v>
      </c>
      <c r="N45" s="3">
        <v>10.258455</v>
      </c>
      <c r="O45" s="3">
        <v>11.075404000000001</v>
      </c>
      <c r="P45" s="3">
        <v>9.2835420000000006</v>
      </c>
      <c r="Q45" s="3">
        <v>10.108167999999999</v>
      </c>
      <c r="R45" s="3">
        <v>9.5980329999999991</v>
      </c>
      <c r="S45" s="3">
        <v>10.117929999999999</v>
      </c>
      <c r="T45" s="3">
        <v>12.946561000000001</v>
      </c>
      <c r="U45" s="3">
        <v>10.569559999999999</v>
      </c>
      <c r="V45" s="3">
        <v>10.094811999999999</v>
      </c>
      <c r="W45" s="3">
        <v>10.173863000000001</v>
      </c>
      <c r="X45" s="3">
        <v>9.7975480000000008</v>
      </c>
      <c r="Y45" s="3">
        <v>10.047209000000001</v>
      </c>
      <c r="Z45" s="3">
        <v>9.7978120000000004</v>
      </c>
      <c r="AA45" s="3">
        <v>10.067385</v>
      </c>
      <c r="AB45" s="3">
        <v>9.7199690000000007</v>
      </c>
      <c r="AC45" s="3">
        <v>10.497624999999999</v>
      </c>
      <c r="AD45" s="3">
        <v>10.647567</v>
      </c>
      <c r="AE45" s="3">
        <v>9.9593869999999995</v>
      </c>
      <c r="AF45" s="3">
        <v>10.758210999999999</v>
      </c>
      <c r="AG45" s="3">
        <v>10.920037000000001</v>
      </c>
      <c r="AH45" s="3">
        <v>11.226395999999999</v>
      </c>
      <c r="AI45" s="3">
        <v>11.339404</v>
      </c>
      <c r="AJ45" s="3">
        <v>9.8044560000000001</v>
      </c>
      <c r="AK45" s="3">
        <v>10.466429</v>
      </c>
      <c r="AL45" s="3">
        <v>9.0258120000000002</v>
      </c>
      <c r="AM45" s="3">
        <v>9.6202199999999998</v>
      </c>
      <c r="AN45" s="3">
        <v>8.7468839999999997</v>
      </c>
      <c r="AO45" s="3">
        <v>10.657151000000001</v>
      </c>
      <c r="AP45" s="3">
        <v>9.6658539999999995</v>
      </c>
      <c r="AQ45" s="3">
        <v>9.9841499999999996</v>
      </c>
      <c r="AR45" s="3">
        <v>9.1535069999999994</v>
      </c>
      <c r="AS45" s="3">
        <v>11.331689000000001</v>
      </c>
      <c r="AT45" s="3">
        <v>10.105198</v>
      </c>
      <c r="AU45" s="3">
        <v>10.405193000000001</v>
      </c>
      <c r="AV45" s="3">
        <v>9.4271100000000008</v>
      </c>
      <c r="AW45" s="3">
        <v>9.7926420000000007</v>
      </c>
      <c r="AX45" s="3">
        <v>9.2248239999999999</v>
      </c>
      <c r="AY45" s="3">
        <v>9.4428099999999997</v>
      </c>
      <c r="AZ45" s="3">
        <v>9.3342369999999999</v>
      </c>
      <c r="BA45" s="3">
        <v>11.154213</v>
      </c>
      <c r="BB45" s="3">
        <v>10.167785</v>
      </c>
      <c r="BC45" s="3">
        <v>9.8383990000000008</v>
      </c>
      <c r="BD45" s="3">
        <v>10.543671</v>
      </c>
      <c r="BE45" s="3">
        <v>8.2752949999999998</v>
      </c>
      <c r="BF45" s="3">
        <v>9.9581370000000007</v>
      </c>
      <c r="BG45" s="3">
        <v>9.2694369999999999</v>
      </c>
      <c r="BH45" s="3">
        <v>8.8514020000000002</v>
      </c>
      <c r="BI45" s="3">
        <v>11.032489999999999</v>
      </c>
      <c r="BJ45" s="3">
        <v>10.949161999999999</v>
      </c>
      <c r="BK45" s="3">
        <v>9.1172459999999997</v>
      </c>
      <c r="BL45" s="3">
        <v>10.333665999999999</v>
      </c>
      <c r="BM45" s="3">
        <v>10.417389999999999</v>
      </c>
      <c r="BN45" s="3">
        <v>10.287642999999999</v>
      </c>
      <c r="BO45" s="3">
        <v>9.9351880000000001</v>
      </c>
      <c r="BP45" s="3">
        <v>9.7442299999999999</v>
      </c>
      <c r="BQ45" s="3">
        <v>11.392322999999999</v>
      </c>
      <c r="BR45" s="3">
        <v>10.353653</v>
      </c>
      <c r="BS45" s="3">
        <v>11.126447000000001</v>
      </c>
      <c r="BT45" s="3">
        <v>10.635099</v>
      </c>
      <c r="BU45" s="3">
        <v>10.298347</v>
      </c>
      <c r="BV45" s="3">
        <v>9.1283480000000008</v>
      </c>
      <c r="BW45" s="3">
        <v>10.35003</v>
      </c>
      <c r="BX45" s="3">
        <v>9.202477</v>
      </c>
      <c r="BY45" s="3">
        <v>9.5623109999999993</v>
      </c>
      <c r="BZ45" s="3">
        <v>10.347498</v>
      </c>
      <c r="CA45" s="3">
        <v>9.1040139999999994</v>
      </c>
      <c r="CB45" s="3">
        <v>8.4632290000000001</v>
      </c>
      <c r="CC45" s="3">
        <v>10.630355</v>
      </c>
      <c r="CD45" s="3">
        <v>8.3611409999999999</v>
      </c>
      <c r="CE45" s="3">
        <v>10.141859</v>
      </c>
      <c r="CF45" s="3">
        <v>10.283823</v>
      </c>
      <c r="CG45" s="3">
        <v>10.755189</v>
      </c>
      <c r="CH45" s="3">
        <v>10.067012</v>
      </c>
      <c r="CI45" s="3">
        <v>10.195938999999999</v>
      </c>
      <c r="CJ45" s="3">
        <v>9.5468860000000006</v>
      </c>
      <c r="CK45" s="3">
        <v>10.317715</v>
      </c>
      <c r="CL45" s="3">
        <v>9.8351030000000002</v>
      </c>
      <c r="CM45" s="3">
        <v>9.8624700000000001</v>
      </c>
      <c r="CN45" s="3">
        <v>9.5183739999999997</v>
      </c>
      <c r="CO45" s="3">
        <v>9.3633190000000006</v>
      </c>
      <c r="CP45" s="3">
        <v>9.4679179999999992</v>
      </c>
      <c r="CQ45" s="3">
        <v>9.6988660000000007</v>
      </c>
      <c r="CR45" s="3">
        <v>9.8879579999999994</v>
      </c>
      <c r="CS45" s="3">
        <v>9.084994</v>
      </c>
      <c r="CT45" s="3">
        <v>11.507873999999999</v>
      </c>
      <c r="CU45" s="3">
        <v>9.5437010000000004</v>
      </c>
      <c r="CV45" s="3">
        <v>10.89977</v>
      </c>
      <c r="CW45" s="3">
        <v>9.2394239999999996</v>
      </c>
      <c r="CX45" s="3">
        <v>8.9218650000000004</v>
      </c>
      <c r="CY45" s="3">
        <v>10.238137999999999</v>
      </c>
      <c r="CZ45" s="3">
        <v>10.4536</v>
      </c>
      <c r="DA45" s="3">
        <v>10.259759000000001</v>
      </c>
      <c r="DB45" s="3">
        <v>10.613397000000001</v>
      </c>
      <c r="DC45" s="3">
        <v>8.8398090000000007</v>
      </c>
      <c r="DD45" s="3">
        <v>10.803013999999999</v>
      </c>
      <c r="DE45" s="3">
        <v>11.246228</v>
      </c>
      <c r="DF45" s="3">
        <v>10.074161999999999</v>
      </c>
      <c r="DG45" s="3">
        <v>10.33113</v>
      </c>
      <c r="DH45" s="3">
        <v>9.7776040000000002</v>
      </c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11</v>
      </c>
      <c r="E47" t="s">
        <v>6</v>
      </c>
      <c r="F47">
        <f>COUNT(M47:GJ47)</f>
        <v>100</v>
      </c>
      <c r="G47" s="3">
        <f>AVERAGE(M47:GJ47)</f>
        <v>10.318015050000001</v>
      </c>
      <c r="H47" s="3">
        <f>MAX(M47:GJ47)</f>
        <v>14.734674</v>
      </c>
      <c r="I47" s="3">
        <f>MIN(M47:GJ47)</f>
        <v>8.353612</v>
      </c>
      <c r="J47" s="3">
        <f>_xlfn.STDEV.P(M47:GJ47)</f>
        <v>1.0738418270435621</v>
      </c>
      <c r="K47" s="3">
        <f>_xlfn.VAR.S(M47:GJ47)</f>
        <v>1.1647841106143937</v>
      </c>
      <c r="M47" s="3">
        <v>11.476338</v>
      </c>
      <c r="N47" s="3">
        <v>9.5757860000000008</v>
      </c>
      <c r="O47" s="3">
        <v>9.4104469999999996</v>
      </c>
      <c r="P47" s="3">
        <v>10.7623</v>
      </c>
      <c r="Q47" s="3">
        <v>9.8460049999999999</v>
      </c>
      <c r="R47" s="3">
        <v>10.646006</v>
      </c>
      <c r="S47" s="3">
        <v>8.5704770000000003</v>
      </c>
      <c r="T47" s="3">
        <v>10.795367000000001</v>
      </c>
      <c r="U47" s="3">
        <v>9.2121099999999991</v>
      </c>
      <c r="V47" s="3">
        <v>9.9131889999999991</v>
      </c>
      <c r="W47" s="3">
        <v>9.8633360000000003</v>
      </c>
      <c r="X47" s="3">
        <v>9.9190869999999993</v>
      </c>
      <c r="Y47" s="3">
        <v>9.512734</v>
      </c>
      <c r="Z47" s="3">
        <v>9.7601060000000004</v>
      </c>
      <c r="AA47" s="3">
        <v>10.382213</v>
      </c>
      <c r="AB47" s="3">
        <v>8.6689240000000005</v>
      </c>
      <c r="AC47" s="3">
        <v>10.18139</v>
      </c>
      <c r="AD47" s="3">
        <v>10.089793</v>
      </c>
      <c r="AE47" s="3">
        <v>9.4218410000000006</v>
      </c>
      <c r="AF47" s="3">
        <v>9.0477799999999995</v>
      </c>
      <c r="AG47" s="3">
        <v>11.289173</v>
      </c>
      <c r="AH47" s="3">
        <v>10.890202</v>
      </c>
      <c r="AI47" s="3">
        <v>10.25047</v>
      </c>
      <c r="AJ47" s="3">
        <v>10.227966</v>
      </c>
      <c r="AK47" s="3">
        <v>12.686496</v>
      </c>
      <c r="AL47" s="3">
        <v>11.118968000000001</v>
      </c>
      <c r="AM47" s="3">
        <v>10.790293999999999</v>
      </c>
      <c r="AN47" s="3">
        <v>10.026985</v>
      </c>
      <c r="AO47" s="3">
        <v>10.9847</v>
      </c>
      <c r="AP47" s="3">
        <v>9.3380410000000005</v>
      </c>
      <c r="AQ47" s="3">
        <v>11.433994999999999</v>
      </c>
      <c r="AR47" s="3">
        <v>9.8853570000000008</v>
      </c>
      <c r="AS47" s="3">
        <v>11.118418999999999</v>
      </c>
      <c r="AT47" s="3">
        <v>9.1055890000000002</v>
      </c>
      <c r="AU47" s="3">
        <v>9.6928719999999995</v>
      </c>
      <c r="AV47" s="3">
        <v>9.2154729999999994</v>
      </c>
      <c r="AW47" s="3">
        <v>10.020068</v>
      </c>
      <c r="AX47" s="3">
        <v>9.1742150000000002</v>
      </c>
      <c r="AY47" s="3">
        <v>11.004201999999999</v>
      </c>
      <c r="AZ47" s="3">
        <v>10.803585999999999</v>
      </c>
      <c r="BA47" s="3">
        <v>10.789343000000001</v>
      </c>
      <c r="BB47" s="3">
        <v>9.3759779999999999</v>
      </c>
      <c r="BC47" s="3">
        <v>10.617974</v>
      </c>
      <c r="BD47" s="3">
        <v>10.408588</v>
      </c>
      <c r="BE47" s="3">
        <v>9.6563230000000004</v>
      </c>
      <c r="BF47" s="3">
        <v>8.5937029999999996</v>
      </c>
      <c r="BG47" s="3">
        <v>9.4968229999999991</v>
      </c>
      <c r="BH47" s="3">
        <v>11.225997</v>
      </c>
      <c r="BI47" s="3">
        <v>9.8386589999999998</v>
      </c>
      <c r="BJ47" s="3">
        <v>12.745293</v>
      </c>
      <c r="BK47" s="3">
        <v>11.101082</v>
      </c>
      <c r="BL47" s="3">
        <v>11.931050000000001</v>
      </c>
      <c r="BM47" s="3">
        <v>9.5978270000000006</v>
      </c>
      <c r="BN47" s="3">
        <v>10.360431999999999</v>
      </c>
      <c r="BO47" s="3">
        <v>10.261920999999999</v>
      </c>
      <c r="BP47" s="3">
        <v>10.892735</v>
      </c>
      <c r="BQ47" s="3">
        <v>9.3657719999999998</v>
      </c>
      <c r="BR47" s="3">
        <v>10.903836</v>
      </c>
      <c r="BS47" s="3">
        <v>9.8679369999999995</v>
      </c>
      <c r="BT47" s="3">
        <v>9.9491150000000008</v>
      </c>
      <c r="BU47" s="3">
        <v>9.9757999999999996</v>
      </c>
      <c r="BV47" s="3">
        <v>9.7560420000000008</v>
      </c>
      <c r="BW47" s="3">
        <v>9.9747789999999998</v>
      </c>
      <c r="BX47" s="3">
        <v>12.625742000000001</v>
      </c>
      <c r="BY47" s="3">
        <v>9.4701850000000007</v>
      </c>
      <c r="BZ47" s="3">
        <v>10.094193000000001</v>
      </c>
      <c r="CA47" s="3">
        <v>9.586551</v>
      </c>
      <c r="CB47" s="3">
        <v>9.8545420000000004</v>
      </c>
      <c r="CC47" s="3">
        <v>10.279814999999999</v>
      </c>
      <c r="CD47" s="3">
        <v>9.7238959999999999</v>
      </c>
      <c r="CE47" s="3">
        <v>8.7763810000000007</v>
      </c>
      <c r="CF47" s="3">
        <v>9.9837399999999992</v>
      </c>
      <c r="CG47" s="3">
        <v>9.6990649999999992</v>
      </c>
      <c r="CH47" s="3">
        <v>9.6689260000000008</v>
      </c>
      <c r="CI47" s="3">
        <v>11.565847</v>
      </c>
      <c r="CJ47" s="3">
        <v>10.568372</v>
      </c>
      <c r="CK47" s="3">
        <v>14.734674</v>
      </c>
      <c r="CL47" s="3">
        <v>10.437283000000001</v>
      </c>
      <c r="CM47" s="3">
        <v>9.9883439999999997</v>
      </c>
      <c r="CN47" s="3">
        <v>10.616282</v>
      </c>
      <c r="CO47" s="3">
        <v>8.353612</v>
      </c>
      <c r="CP47" s="3">
        <v>11.200229</v>
      </c>
      <c r="CQ47" s="3">
        <v>13.592769000000001</v>
      </c>
      <c r="CR47" s="3">
        <v>11.333753</v>
      </c>
      <c r="CS47" s="3">
        <v>9.6779519999999994</v>
      </c>
      <c r="CT47" s="3">
        <v>12.319668</v>
      </c>
      <c r="CU47" s="3">
        <v>9.5798140000000007</v>
      </c>
      <c r="CV47" s="3">
        <v>9.50258</v>
      </c>
      <c r="CW47" s="3">
        <v>11.728766</v>
      </c>
      <c r="CX47" s="3">
        <v>9.5188500000000005</v>
      </c>
      <c r="CY47" s="3">
        <v>10.578787</v>
      </c>
      <c r="CZ47" s="3">
        <v>9.9742440000000006</v>
      </c>
      <c r="DA47" s="3">
        <v>11.215894</v>
      </c>
      <c r="DB47" s="3">
        <v>10.889872</v>
      </c>
      <c r="DC47" s="3">
        <v>10.249968000000001</v>
      </c>
      <c r="DD47" s="3">
        <v>10.231419000000001</v>
      </c>
      <c r="DE47" s="3">
        <v>9.0464540000000007</v>
      </c>
      <c r="DF47" s="3">
        <v>11.28529</v>
      </c>
      <c r="DG47" s="3">
        <v>8.8705239999999996</v>
      </c>
      <c r="DH47" s="3">
        <v>12.177913</v>
      </c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9" spans="2:207" x14ac:dyDescent="0.2">
      <c r="D49" s="1"/>
    </row>
    <row r="50" spans="2:207" x14ac:dyDescent="0.2">
      <c r="B50" s="2"/>
      <c r="G50" s="2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 spans="2:207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2:207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2026-03-05T19:34:36Z</dcterms:modified>
</cp:coreProperties>
</file>