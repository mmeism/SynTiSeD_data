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rUPC/"/>
    </mc:Choice>
  </mc:AlternateContent>
  <xr:revisionPtr revIDLastSave="0" documentId="13_ncr:1_{243F551A-9309-C343-847A-BD63DB979A8C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G94" i="1"/>
  <c r="F94" i="1"/>
  <c r="K92" i="1"/>
  <c r="J92" i="1"/>
  <c r="I92" i="1"/>
  <c r="H92" i="1"/>
  <c r="G92" i="1"/>
  <c r="F92" i="1"/>
  <c r="K90" i="1"/>
  <c r="J90" i="1"/>
  <c r="I90" i="1"/>
  <c r="H90" i="1"/>
  <c r="G90" i="1"/>
  <c r="F90" i="1"/>
  <c r="K88" i="1"/>
  <c r="J88" i="1"/>
  <c r="I88" i="1"/>
  <c r="H88" i="1"/>
  <c r="G88" i="1"/>
  <c r="F88" i="1"/>
  <c r="K86" i="1"/>
  <c r="J86" i="1"/>
  <c r="I86" i="1"/>
  <c r="H86" i="1"/>
  <c r="G86" i="1"/>
  <c r="F86" i="1"/>
  <c r="K82" i="1"/>
  <c r="J82" i="1"/>
  <c r="I82" i="1"/>
  <c r="H82" i="1"/>
  <c r="G82" i="1"/>
  <c r="F82" i="1"/>
  <c r="K80" i="1"/>
  <c r="J80" i="1"/>
  <c r="I80" i="1"/>
  <c r="H80" i="1"/>
  <c r="G80" i="1"/>
  <c r="F80" i="1"/>
  <c r="K78" i="1"/>
  <c r="J78" i="1"/>
  <c r="I78" i="1"/>
  <c r="H78" i="1"/>
  <c r="G78" i="1"/>
  <c r="F78" i="1"/>
  <c r="K76" i="1"/>
  <c r="J76" i="1"/>
  <c r="I76" i="1"/>
  <c r="H76" i="1"/>
  <c r="G76" i="1"/>
  <c r="F76" i="1"/>
  <c r="K74" i="1"/>
  <c r="J74" i="1"/>
  <c r="I74" i="1"/>
  <c r="H74" i="1"/>
  <c r="G74" i="1"/>
  <c r="F74" i="1"/>
  <c r="K70" i="1"/>
  <c r="J70" i="1"/>
  <c r="I70" i="1"/>
  <c r="H70" i="1"/>
  <c r="G70" i="1"/>
  <c r="F70" i="1"/>
  <c r="K68" i="1"/>
  <c r="J68" i="1"/>
  <c r="I68" i="1"/>
  <c r="H68" i="1"/>
  <c r="G68" i="1"/>
  <c r="F68" i="1"/>
  <c r="K66" i="1"/>
  <c r="J66" i="1"/>
  <c r="I66" i="1"/>
  <c r="H66" i="1"/>
  <c r="G66" i="1"/>
  <c r="F66" i="1"/>
  <c r="K64" i="1"/>
  <c r="J64" i="1"/>
  <c r="I64" i="1"/>
  <c r="H64" i="1"/>
  <c r="G64" i="1"/>
  <c r="F64" i="1"/>
  <c r="K62" i="1"/>
  <c r="J62" i="1"/>
  <c r="I62" i="1"/>
  <c r="H62" i="1"/>
  <c r="G62" i="1"/>
  <c r="F62" i="1"/>
  <c r="K58" i="1"/>
  <c r="J58" i="1"/>
  <c r="I58" i="1"/>
  <c r="H58" i="1"/>
  <c r="G58" i="1"/>
  <c r="F58" i="1"/>
  <c r="K56" i="1"/>
  <c r="J56" i="1"/>
  <c r="I56" i="1"/>
  <c r="H56" i="1"/>
  <c r="G56" i="1"/>
  <c r="F56" i="1"/>
  <c r="K54" i="1"/>
  <c r="J54" i="1"/>
  <c r="I54" i="1"/>
  <c r="H54" i="1"/>
  <c r="G54" i="1"/>
  <c r="F54" i="1"/>
  <c r="K52" i="1"/>
  <c r="J52" i="1"/>
  <c r="I52" i="1"/>
  <c r="H52" i="1"/>
  <c r="G52" i="1"/>
  <c r="F52" i="1"/>
  <c r="K50" i="1"/>
  <c r="J50" i="1"/>
  <c r="I50" i="1"/>
  <c r="H50" i="1"/>
  <c r="G50" i="1"/>
  <c r="F50" i="1"/>
  <c r="F14" i="1"/>
  <c r="G14" i="1"/>
  <c r="H14" i="1"/>
  <c r="I14" i="1"/>
  <c r="J14" i="1"/>
  <c r="K14" i="1"/>
  <c r="F16" i="1"/>
  <c r="G16" i="1"/>
  <c r="H16" i="1"/>
  <c r="I16" i="1"/>
  <c r="J16" i="1"/>
  <c r="K16" i="1"/>
  <c r="F18" i="1"/>
  <c r="G18" i="1"/>
  <c r="H18" i="1"/>
  <c r="I18" i="1"/>
  <c r="J18" i="1"/>
  <c r="K1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8" i="1"/>
  <c r="J38" i="1"/>
  <c r="I38" i="1"/>
  <c r="H38" i="1"/>
  <c r="G38" i="1"/>
  <c r="F38" i="1"/>
  <c r="K34" i="1"/>
  <c r="J34" i="1"/>
  <c r="I34" i="1"/>
  <c r="H34" i="1"/>
  <c r="G34" i="1"/>
  <c r="F34" i="1"/>
  <c r="K32" i="1"/>
  <c r="J32" i="1"/>
  <c r="I32" i="1"/>
  <c r="H32" i="1"/>
  <c r="G32" i="1"/>
  <c r="F32" i="1"/>
  <c r="K30" i="1"/>
  <c r="J30" i="1"/>
  <c r="I30" i="1"/>
  <c r="H30" i="1"/>
  <c r="G30" i="1"/>
  <c r="F30" i="1"/>
  <c r="K28" i="1"/>
  <c r="J28" i="1"/>
  <c r="I28" i="1"/>
  <c r="H28" i="1"/>
  <c r="G28" i="1"/>
  <c r="F28" i="1"/>
  <c r="K26" i="1"/>
  <c r="J26" i="1"/>
  <c r="I26" i="1"/>
  <c r="H26" i="1"/>
  <c r="G26" i="1"/>
  <c r="F26" i="1"/>
  <c r="K22" i="1"/>
  <c r="J22" i="1"/>
  <c r="I22" i="1"/>
  <c r="H22" i="1"/>
  <c r="G22" i="1"/>
  <c r="F22" i="1"/>
  <c r="K20" i="1"/>
  <c r="J20" i="1"/>
  <c r="I20" i="1"/>
  <c r="H20" i="1"/>
  <c r="G20" i="1"/>
  <c r="F20" i="1"/>
  <c r="G10" i="1" l="1"/>
  <c r="G7" i="1"/>
  <c r="G6" i="1"/>
  <c r="G9" i="1"/>
  <c r="G8" i="1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<sst xmlns="http://schemas.openxmlformats.org/spreadsheetml/2006/main" count="138" uniqueCount="61">
  <si>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</si>
  <si>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</si>
  <si>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</si>
  <si>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</si>
  <si>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</si>
  <si>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</si>
  <si>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</si>
  <si>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</si>
  <si>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</si>
  <si>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</si>
  <si>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</si>
  <si>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</si>
  <si>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</si>
  <si>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</si>
  <si>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</si>
  <si>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</si>
  <si>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</si>
  <si>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</si>
  <si>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</si>
  <si>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</si>
  <si>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</si>
  <si>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</si>
  <si>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</si>
  <si>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</si>
  <si>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</si>
  <si>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</si>
  <si>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</si>
  <si>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</si>
  <si>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</si>
  <si>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</si>
  <si>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</si>
  <si>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</si>
  <si>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</si>
  <si>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</si>
  <si>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</si>
  <si>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</si>
  <si>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</si>
  <si>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</si>
  <si>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</si>
  <si>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</si>
  <si>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</si>
  <si>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</si>
  <si>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</si>
  <si>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</si>
  <si>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</si>
  <si>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</si>
  <si>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train_synth: (hh_01):</t>
  </si>
  <si>
    <t>train_synth: (hh_15)</t>
  </si>
  <si>
    <t>train_synth: (hh_14)</t>
  </si>
  <si>
    <t>train_synth: (hh_04)</t>
  </si>
  <si>
    <t>start_time': '2021-01-01'</t>
  </si>
  <si>
    <t>end_time': '2021-01-14'</t>
  </si>
  <si>
    <t>WindowGRU_total</t>
  </si>
  <si>
    <t>Seq2Point_total</t>
  </si>
  <si>
    <t>RNN_total</t>
  </si>
  <si>
    <t>DAE_total</t>
  </si>
  <si>
    <t>Seq2Seq_total</t>
  </si>
  <si>
    <t>train: rUPC_dataset.h5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</si>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</sst>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4"/>
  <sheetViews>
    <sheetView tabSelected="1" workbookViewId="0">
      <selection activeCell="B11" sqref="B11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57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46</v>
      </c>
      <c r="B4" s="2" t="s">
        <v>50</v>
      </c>
      <c r="C4" s="2" t="s">
        <v>51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49</v>
      </c>
      <c r="B5" s="2" t="s">
        <v>50</v>
      </c>
      <c r="C5" s="2" t="s">
        <v>51</v>
      </c>
      <c r="E5" s="2"/>
      <c r="G5" s="4" t="s">
        <v>60</v>
      </c>
      <c r="H5" s="2"/>
      <c r="I5" s="2"/>
      <c r="J5" s="3"/>
      <c r="K5" s="2"/>
      <c r="L5" s="2"/>
    </row>
    <row r="6" spans="1:207" x14ac:dyDescent="0.2">
      <c r="A6" t="s">
        <v>48</v>
      </c>
      <c r="B6" s="2" t="s">
        <v>50</v>
      </c>
      <c r="C6" s="2" t="s">
        <v>51</v>
      </c>
      <c r="E6" s="2"/>
      <c r="F6" t="s">
        <v>54</v>
      </c>
      <c r="G6" s="3">
        <f>SUM(G14,G26,G38,G50,G62,G74,G86)/7</f>
        <v>25.513074814285709</v>
      </c>
      <c r="H6" s="2"/>
      <c r="I6" s="2"/>
      <c r="J6" s="3"/>
      <c r="K6" s="2"/>
      <c r="L6" s="2"/>
    </row>
    <row r="7" spans="1:207" x14ac:dyDescent="0.2">
      <c r="A7" t="s">
        <v>47</v>
      </c>
      <c r="B7" s="2" t="s">
        <v>50</v>
      </c>
      <c r="C7" s="2" t="s">
        <v>51</v>
      </c>
      <c r="E7" s="2"/>
      <c r="F7" t="s">
        <v>52</v>
      </c>
      <c r="G7" s="3">
        <f>SUM(G16,G28,G40,G52,G64,G76,G88)/7</f>
        <v>26.776675860000005</v>
      </c>
      <c r="H7" s="2"/>
      <c r="I7" s="2"/>
      <c r="J7" s="2"/>
      <c r="K7" s="2"/>
      <c r="L7" s="2"/>
    </row>
    <row r="8" spans="1:207" x14ac:dyDescent="0.2">
      <c r="A8" t="s">
        <v>58</v>
      </c>
      <c r="E8" s="2"/>
      <c r="F8" t="s">
        <v>55</v>
      </c>
      <c r="G8" s="3">
        <f>SUM(G18,G30,G42,G54,G66,G78,G90)/7</f>
        <v>29.336717678571429</v>
      </c>
    </row>
    <row r="9" spans="1:207" x14ac:dyDescent="0.2">
      <c r="A9" t="s">
        <v>45</v>
      </c>
      <c r="B9" s="2"/>
      <c r="C9" s="2"/>
      <c r="D9" s="2"/>
      <c r="E9" s="2"/>
      <c r="F9" t="s">
        <v>56</v>
      </c>
      <c r="G9" s="3">
        <f>SUM(G20,G32,G44,G56,G68,G80,G92)/7</f>
        <v>25.791256244285709</v>
      </c>
    </row>
    <row r="10" spans="1:207" x14ac:dyDescent="0.2">
      <c r="A10" t="s">
        <v>7</v>
      </c>
      <c r="F10" t="s">
        <v>53</v>
      </c>
      <c r="G10" s="3">
        <f>SUM(G22,G34,G46,G58,G70,G82,G94)/7</f>
        <v>25.350609694285712</v>
      </c>
    </row>
    <row r="12" spans="1:207" x14ac:dyDescent="0.2">
      <c r="B12" t="s">
        <v>59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19.55236201</v>
      </c>
      <c r="H14" s="3">
        <f>MAX(M14:GJ14)</f>
        <v>25.503672000000002</v>
      </c>
      <c r="I14" s="3">
        <f>MIN(M14:GJ14)</f>
        <v>12.091415</v>
      </c>
      <c r="J14" s="3">
        <f>_xlfn.STDEV.P(M14:GJ14)</f>
        <v>2.0580693001016233</v>
      </c>
      <c r="K14" s="3">
        <f>_xlfn.VAR.S(M14:GJ14)</f>
        <v>4.2784335798190138</v>
      </c>
      <c r="M14" s="3">
        <v>18.737601999999999</v>
      </c>
      <c r="N14" s="3">
        <v>21.320868000000001</v>
      </c>
      <c r="O14" s="3">
        <v>18.660326000000001</v>
      </c>
      <c r="P14" s="3">
        <v>19.512995</v>
      </c>
      <c r="Q14" s="3">
        <v>18.445098999999999</v>
      </c>
      <c r="R14" s="3">
        <v>21.194980999999999</v>
      </c>
      <c r="S14" s="3">
        <v>15.508808</v>
      </c>
      <c r="T14" s="3">
        <v>18.327112</v>
      </c>
      <c r="U14" s="3">
        <v>19.493238000000002</v>
      </c>
      <c r="V14" s="3">
        <v>18.399073000000001</v>
      </c>
      <c r="W14" s="3">
        <v>17.792366000000001</v>
      </c>
      <c r="X14" s="3">
        <v>19.880026000000001</v>
      </c>
      <c r="Y14" s="3">
        <v>20.405436999999999</v>
      </c>
      <c r="Z14" s="3">
        <v>19.545893</v>
      </c>
      <c r="AA14" s="3">
        <v>20.739100000000001</v>
      </c>
      <c r="AB14" s="3">
        <v>20.196874999999999</v>
      </c>
      <c r="AC14" s="3">
        <v>18.115770000000001</v>
      </c>
      <c r="AD14" s="3">
        <v>21.455480999999999</v>
      </c>
      <c r="AE14" s="3">
        <v>22.825631999999999</v>
      </c>
      <c r="AF14" s="3">
        <v>18.781258000000001</v>
      </c>
      <c r="AG14" s="3">
        <v>19.794718</v>
      </c>
      <c r="AH14" s="3">
        <v>17.980913000000001</v>
      </c>
      <c r="AI14" s="3">
        <v>20.191931</v>
      </c>
      <c r="AJ14" s="3">
        <v>18.247087000000001</v>
      </c>
      <c r="AK14" s="3">
        <v>23.719978000000001</v>
      </c>
      <c r="AL14" s="3">
        <v>20.743819999999999</v>
      </c>
      <c r="AM14" s="3">
        <v>18.866655000000002</v>
      </c>
      <c r="AN14" s="3">
        <v>18.717098</v>
      </c>
      <c r="AO14" s="3">
        <v>23.94483</v>
      </c>
      <c r="AP14" s="3">
        <v>17.309429000000002</v>
      </c>
      <c r="AQ14" s="3">
        <v>18.532402000000001</v>
      </c>
      <c r="AR14" s="3">
        <v>23.189753</v>
      </c>
      <c r="AS14" s="3">
        <v>20.063534000000001</v>
      </c>
      <c r="AT14" s="3">
        <v>19.909662000000001</v>
      </c>
      <c r="AU14" s="3">
        <v>19.500219000000001</v>
      </c>
      <c r="AV14" s="3">
        <v>24.668415</v>
      </c>
      <c r="AW14" s="3">
        <v>18.555536</v>
      </c>
      <c r="AX14" s="3">
        <v>21.139514999999999</v>
      </c>
      <c r="AY14" s="3">
        <v>18.905663000000001</v>
      </c>
      <c r="AZ14" s="3">
        <v>17.677195000000001</v>
      </c>
      <c r="BA14" s="3">
        <v>20.077943999999999</v>
      </c>
      <c r="BB14" s="3">
        <v>18.447503999999999</v>
      </c>
      <c r="BC14" s="3">
        <v>19.906846999999999</v>
      </c>
      <c r="BD14" s="3">
        <v>19.775385</v>
      </c>
      <c r="BE14" s="3">
        <v>20.870007999999999</v>
      </c>
      <c r="BF14" s="3">
        <v>20.293282999999999</v>
      </c>
      <c r="BG14" s="3">
        <v>23.305586000000002</v>
      </c>
      <c r="BH14" s="3">
        <v>19.122246000000001</v>
      </c>
      <c r="BI14" s="3">
        <v>19.179945</v>
      </c>
      <c r="BJ14" s="3">
        <v>18.886709</v>
      </c>
      <c r="BK14" s="3">
        <v>19.042750999999999</v>
      </c>
      <c r="BL14" s="3">
        <v>22.130613</v>
      </c>
      <c r="BM14" s="3">
        <v>18.394856999999998</v>
      </c>
      <c r="BN14" s="3">
        <v>23.181498000000001</v>
      </c>
      <c r="BO14" s="3">
        <v>16.344673</v>
      </c>
      <c r="BP14" s="3">
        <v>20.672685999999999</v>
      </c>
      <c r="BQ14" s="3">
        <v>20.919014000000001</v>
      </c>
      <c r="BR14" s="3">
        <v>21.353335999999999</v>
      </c>
      <c r="BS14" s="3">
        <v>19.442802</v>
      </c>
      <c r="BT14" s="3">
        <v>17.336683000000001</v>
      </c>
      <c r="BU14" s="3">
        <v>19.423365</v>
      </c>
      <c r="BV14" s="3">
        <v>19.524324</v>
      </c>
      <c r="BW14" s="3">
        <v>20.720448999999999</v>
      </c>
      <c r="BX14" s="3">
        <v>18.373051</v>
      </c>
      <c r="BY14" s="3">
        <v>16.223932000000001</v>
      </c>
      <c r="BZ14" s="3">
        <v>18.489805</v>
      </c>
      <c r="CA14" s="3">
        <v>18.966025999999999</v>
      </c>
      <c r="CB14" s="3">
        <v>23.045677000000001</v>
      </c>
      <c r="CC14" s="3">
        <v>21.401744999999998</v>
      </c>
      <c r="CD14" s="3">
        <v>19.331982</v>
      </c>
      <c r="CE14" s="3">
        <v>19.457836</v>
      </c>
      <c r="CF14" s="3">
        <v>21.510912000000001</v>
      </c>
      <c r="CG14" s="3">
        <v>16.246379999999998</v>
      </c>
      <c r="CH14" s="3">
        <v>17.734117999999999</v>
      </c>
      <c r="CI14" s="3">
        <v>25.503672000000002</v>
      </c>
      <c r="CJ14" s="3">
        <v>20.638249999999999</v>
      </c>
      <c r="CK14" s="3">
        <v>17.333874000000002</v>
      </c>
      <c r="CL14" s="3">
        <v>20.632753000000001</v>
      </c>
      <c r="CM14" s="3">
        <v>19.933997999999999</v>
      </c>
      <c r="CN14" s="3">
        <v>18.856712000000002</v>
      </c>
      <c r="CO14" s="3">
        <v>18.728643000000002</v>
      </c>
      <c r="CP14" s="3">
        <v>18.659431000000001</v>
      </c>
      <c r="CQ14" s="3">
        <v>21.048663999999999</v>
      </c>
      <c r="CR14" s="3">
        <v>19.135453999999999</v>
      </c>
      <c r="CS14" s="3">
        <v>18.133333</v>
      </c>
      <c r="CT14" s="3">
        <v>16.795770999999998</v>
      </c>
      <c r="CU14" s="3">
        <v>16.119205000000001</v>
      </c>
      <c r="CV14" s="3">
        <v>21.952646000000001</v>
      </c>
      <c r="CW14" s="3">
        <v>18.014620000000001</v>
      </c>
      <c r="CX14" s="3">
        <v>17.945565999999999</v>
      </c>
      <c r="CY14" s="3">
        <v>16.766731</v>
      </c>
      <c r="CZ14" s="3">
        <v>17.518051</v>
      </c>
      <c r="DA14" s="3">
        <v>23.30378</v>
      </c>
      <c r="DB14" s="3">
        <v>19.509520999999999</v>
      </c>
      <c r="DC14" s="3">
        <v>17.921683999999999</v>
      </c>
      <c r="DD14" s="3">
        <v>18.862473999999999</v>
      </c>
      <c r="DE14" s="3">
        <v>20.089001</v>
      </c>
      <c r="DF14" s="3">
        <v>12.091415</v>
      </c>
      <c r="DG14" s="3">
        <v>20.318822999999998</v>
      </c>
      <c r="DH14" s="3">
        <v>19.291864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21.671381019999998</v>
      </c>
      <c r="H16" s="3">
        <f>MAX(M16:GJ16)</f>
        <v>28.163665999999999</v>
      </c>
      <c r="I16" s="3">
        <f>MIN(M16:GJ16)</f>
        <v>13.658681</v>
      </c>
      <c r="J16" s="3">
        <f>_xlfn.STDEV.P(M16:GJ16)</f>
        <v>3.8516069807937683</v>
      </c>
      <c r="K16" s="3">
        <f>_xlfn.VAR.S(M16:GJ16)</f>
        <v>14.98472357020129</v>
      </c>
      <c r="M16" s="3">
        <v>24.233812</v>
      </c>
      <c r="N16" s="3">
        <v>24.801621999999998</v>
      </c>
      <c r="O16" s="3">
        <v>28.038267000000001</v>
      </c>
      <c r="P16" s="3">
        <v>24.231494999999999</v>
      </c>
      <c r="Q16" s="3">
        <v>26.235631999999999</v>
      </c>
      <c r="R16" s="3">
        <v>23.769096000000001</v>
      </c>
      <c r="S16" s="3">
        <v>23.668028</v>
      </c>
      <c r="T16" s="3">
        <v>24.053715</v>
      </c>
      <c r="U16" s="3">
        <v>20.66827</v>
      </c>
      <c r="V16" s="3">
        <v>24.944745999999999</v>
      </c>
      <c r="W16" s="3">
        <v>24.970043</v>
      </c>
      <c r="X16" s="3">
        <v>22.073248</v>
      </c>
      <c r="Y16" s="3">
        <v>23.821231999999998</v>
      </c>
      <c r="Z16" s="3">
        <v>23.828389999999999</v>
      </c>
      <c r="AA16" s="3">
        <v>18.6402</v>
      </c>
      <c r="AB16" s="3">
        <v>21.398769000000001</v>
      </c>
      <c r="AC16" s="3">
        <v>23.564632</v>
      </c>
      <c r="AD16" s="3">
        <v>24.925782999999999</v>
      </c>
      <c r="AE16" s="3">
        <v>23.034932999999999</v>
      </c>
      <c r="AF16" s="3">
        <v>21.233183</v>
      </c>
      <c r="AG16" s="3">
        <v>22.733657999999998</v>
      </c>
      <c r="AH16" s="3">
        <v>24.715944</v>
      </c>
      <c r="AI16" s="3">
        <v>26.632287999999999</v>
      </c>
      <c r="AJ16" s="3">
        <v>13.682409</v>
      </c>
      <c r="AK16" s="3">
        <v>16.674420999999999</v>
      </c>
      <c r="AL16" s="3">
        <v>23.29203</v>
      </c>
      <c r="AM16" s="3">
        <v>16.337015000000001</v>
      </c>
      <c r="AN16" s="3">
        <v>26.178158</v>
      </c>
      <c r="AO16" s="3">
        <v>18.579688999999998</v>
      </c>
      <c r="AP16" s="3">
        <v>24.472612000000002</v>
      </c>
      <c r="AQ16" s="3">
        <v>18.753218</v>
      </c>
      <c r="AR16" s="3">
        <v>23.215641000000002</v>
      </c>
      <c r="AS16" s="3">
        <v>27.798655</v>
      </c>
      <c r="AT16" s="3">
        <v>21.825907000000001</v>
      </c>
      <c r="AU16" s="3">
        <v>23.774338</v>
      </c>
      <c r="AV16" s="3">
        <v>15.323335999999999</v>
      </c>
      <c r="AW16" s="3">
        <v>24.879432999999999</v>
      </c>
      <c r="AX16" s="3">
        <v>24.135307000000001</v>
      </c>
      <c r="AY16" s="3">
        <v>25.093969000000001</v>
      </c>
      <c r="AZ16" s="3">
        <v>15.424015000000001</v>
      </c>
      <c r="BA16" s="3">
        <v>17.954939</v>
      </c>
      <c r="BB16" s="3">
        <v>25.224979000000001</v>
      </c>
      <c r="BC16" s="3">
        <v>21.800894</v>
      </c>
      <c r="BD16" s="3">
        <v>22.426846999999999</v>
      </c>
      <c r="BE16" s="3">
        <v>16.919073000000001</v>
      </c>
      <c r="BF16" s="3">
        <v>25.981750000000002</v>
      </c>
      <c r="BG16" s="3">
        <v>23.587976000000001</v>
      </c>
      <c r="BH16" s="3">
        <v>27.396191000000002</v>
      </c>
      <c r="BI16" s="3">
        <v>15.731215000000001</v>
      </c>
      <c r="BJ16" s="3">
        <v>13.658681</v>
      </c>
      <c r="BK16" s="3">
        <v>25.961279000000001</v>
      </c>
      <c r="BL16" s="3">
        <v>13.938402</v>
      </c>
      <c r="BM16" s="3">
        <v>28.163665999999999</v>
      </c>
      <c r="BN16" s="3">
        <v>20.953486999999999</v>
      </c>
      <c r="BO16" s="3">
        <v>25.004044</v>
      </c>
      <c r="BP16" s="3">
        <v>16.427948000000001</v>
      </c>
      <c r="BQ16" s="3">
        <v>25.458046</v>
      </c>
      <c r="BR16" s="3">
        <v>26.734449000000001</v>
      </c>
      <c r="BS16" s="3">
        <v>19.038502000000001</v>
      </c>
      <c r="BT16" s="3">
        <v>22.859279999999998</v>
      </c>
      <c r="BU16" s="3">
        <v>18.828742999999999</v>
      </c>
      <c r="BV16" s="3">
        <v>24.046913</v>
      </c>
      <c r="BW16" s="3">
        <v>20.039583</v>
      </c>
      <c r="BX16" s="3">
        <v>24.990046</v>
      </c>
      <c r="BY16" s="3">
        <v>14.095157</v>
      </c>
      <c r="BZ16" s="3">
        <v>15.356944</v>
      </c>
      <c r="CA16" s="3">
        <v>25.773716</v>
      </c>
      <c r="CB16" s="3">
        <v>23.589230000000001</v>
      </c>
      <c r="CC16" s="3">
        <v>15.650361999999999</v>
      </c>
      <c r="CD16" s="3">
        <v>20.494492999999999</v>
      </c>
      <c r="CE16" s="3">
        <v>25.401720000000001</v>
      </c>
      <c r="CF16" s="3">
        <v>21.230723999999999</v>
      </c>
      <c r="CG16" s="3">
        <v>25.900019</v>
      </c>
      <c r="CH16" s="3">
        <v>15.761259000000001</v>
      </c>
      <c r="CI16" s="3">
        <v>17.47146</v>
      </c>
      <c r="CJ16" s="3">
        <v>23.250813999999998</v>
      </c>
      <c r="CK16" s="3">
        <v>15.328063</v>
      </c>
      <c r="CL16" s="3">
        <v>26.196100000000001</v>
      </c>
      <c r="CM16" s="3">
        <v>21.389638999999999</v>
      </c>
      <c r="CN16" s="3">
        <v>22.203098000000001</v>
      </c>
      <c r="CO16" s="3">
        <v>15.330838999999999</v>
      </c>
      <c r="CP16" s="3">
        <v>22.956410999999999</v>
      </c>
      <c r="CQ16" s="3">
        <v>25.454283</v>
      </c>
      <c r="CR16" s="3">
        <v>18.973248999999999</v>
      </c>
      <c r="CS16" s="3">
        <v>19.703802</v>
      </c>
      <c r="CT16" s="3">
        <v>18.222785999999999</v>
      </c>
      <c r="CU16" s="3">
        <v>22.835678000000001</v>
      </c>
      <c r="CV16" s="3">
        <v>20.658808000000001</v>
      </c>
      <c r="CW16" s="3">
        <v>21.836950000000002</v>
      </c>
      <c r="CX16" s="3">
        <v>19.000599000000001</v>
      </c>
      <c r="CY16" s="3">
        <v>18.350757999999999</v>
      </c>
      <c r="CZ16" s="3">
        <v>24.071387999999999</v>
      </c>
      <c r="DA16" s="3">
        <v>22.002200999999999</v>
      </c>
      <c r="DB16" s="3">
        <v>23.150981999999999</v>
      </c>
      <c r="DC16" s="3">
        <v>16.302755000000001</v>
      </c>
      <c r="DD16" s="3">
        <v>24.252162999999999</v>
      </c>
      <c r="DE16" s="3">
        <v>20.035509000000001</v>
      </c>
      <c r="DF16" s="3">
        <v>24.942581000000001</v>
      </c>
      <c r="DG16" s="3">
        <v>16.362200000000001</v>
      </c>
      <c r="DH16" s="3">
        <v>14.81729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25.432705510000002</v>
      </c>
      <c r="H18" s="3">
        <f>MAX(M18:GJ18)</f>
        <v>27.927095000000001</v>
      </c>
      <c r="I18" s="3">
        <f>MIN(M18:GJ18)</f>
        <v>23.763176000000001</v>
      </c>
      <c r="J18" s="3">
        <f>_xlfn.STDEV.P(M18:GJ18)</f>
        <v>1.0280212790039365</v>
      </c>
      <c r="K18" s="3">
        <f>_xlfn.VAR.S(M18:GJ18)</f>
        <v>1.0675027778635244</v>
      </c>
      <c r="M18" s="3">
        <v>24.086624</v>
      </c>
      <c r="N18" s="3">
        <v>23.763176000000001</v>
      </c>
      <c r="O18" s="3">
        <v>24.663506999999999</v>
      </c>
      <c r="P18" s="3">
        <v>24.642271000000001</v>
      </c>
      <c r="Q18" s="3">
        <v>24.783097999999999</v>
      </c>
      <c r="R18" s="3">
        <v>24.041934999999999</v>
      </c>
      <c r="S18" s="3">
        <v>26.652037</v>
      </c>
      <c r="T18" s="3">
        <v>25.648427999999999</v>
      </c>
      <c r="U18" s="3">
        <v>27.832356999999998</v>
      </c>
      <c r="V18" s="3">
        <v>24.083410000000001</v>
      </c>
      <c r="W18" s="3">
        <v>26.064261999999999</v>
      </c>
      <c r="X18" s="3">
        <v>26.999109000000001</v>
      </c>
      <c r="Y18" s="3">
        <v>25.322831999999998</v>
      </c>
      <c r="Z18" s="3">
        <v>25.226931</v>
      </c>
      <c r="AA18" s="3">
        <v>26.576619999999998</v>
      </c>
      <c r="AB18" s="3">
        <v>26.248919999999998</v>
      </c>
      <c r="AC18" s="3">
        <v>25.081962999999998</v>
      </c>
      <c r="AD18" s="3">
        <v>24.083404999999999</v>
      </c>
      <c r="AE18" s="3">
        <v>24.851500000000001</v>
      </c>
      <c r="AF18" s="3">
        <v>25.298817</v>
      </c>
      <c r="AG18" s="3">
        <v>26.964805999999999</v>
      </c>
      <c r="AH18" s="3">
        <v>25.029478000000001</v>
      </c>
      <c r="AI18" s="3">
        <v>24.898605</v>
      </c>
      <c r="AJ18" s="3">
        <v>25.051349999999999</v>
      </c>
      <c r="AK18" s="3">
        <v>24.797250999999999</v>
      </c>
      <c r="AL18" s="3">
        <v>26.207751999999999</v>
      </c>
      <c r="AM18" s="3">
        <v>25.266428000000001</v>
      </c>
      <c r="AN18" s="3">
        <v>26.223354</v>
      </c>
      <c r="AO18" s="3">
        <v>24.774833999999998</v>
      </c>
      <c r="AP18" s="3">
        <v>25.891100000000002</v>
      </c>
      <c r="AQ18" s="3">
        <v>25.896985999999998</v>
      </c>
      <c r="AR18" s="3">
        <v>25.070143000000002</v>
      </c>
      <c r="AS18" s="3">
        <v>26.267728999999999</v>
      </c>
      <c r="AT18" s="3">
        <v>25.331462999999999</v>
      </c>
      <c r="AU18" s="3">
        <v>24.365728000000001</v>
      </c>
      <c r="AV18" s="3">
        <v>24.001593</v>
      </c>
      <c r="AW18" s="3">
        <v>24.048544</v>
      </c>
      <c r="AX18" s="3">
        <v>27.696906999999999</v>
      </c>
      <c r="AY18" s="3">
        <v>25.655995999999998</v>
      </c>
      <c r="AZ18" s="3">
        <v>26.704000000000001</v>
      </c>
      <c r="BA18" s="3">
        <v>25.516532999999999</v>
      </c>
      <c r="BB18" s="3">
        <v>24.710678000000001</v>
      </c>
      <c r="BC18" s="3">
        <v>24.697243</v>
      </c>
      <c r="BD18" s="3">
        <v>25.129691999999999</v>
      </c>
      <c r="BE18" s="3">
        <v>25.781497999999999</v>
      </c>
      <c r="BF18" s="3">
        <v>25.365487999999999</v>
      </c>
      <c r="BG18" s="3">
        <v>25.898520000000001</v>
      </c>
      <c r="BH18" s="3">
        <v>26.297428</v>
      </c>
      <c r="BI18" s="3">
        <v>25.277239000000002</v>
      </c>
      <c r="BJ18" s="3">
        <v>24.910757</v>
      </c>
      <c r="BK18" s="3">
        <v>27.480246999999999</v>
      </c>
      <c r="BL18" s="3">
        <v>24.156416</v>
      </c>
      <c r="BM18" s="3">
        <v>25.642714000000002</v>
      </c>
      <c r="BN18" s="3">
        <v>24.607932999999999</v>
      </c>
      <c r="BO18" s="3">
        <v>25.028423</v>
      </c>
      <c r="BP18" s="3">
        <v>25.019634</v>
      </c>
      <c r="BQ18" s="3">
        <v>25.569825999999999</v>
      </c>
      <c r="BR18" s="3">
        <v>25.756713999999999</v>
      </c>
      <c r="BS18" s="3">
        <v>24.437511000000001</v>
      </c>
      <c r="BT18" s="3">
        <v>26.115293999999999</v>
      </c>
      <c r="BU18" s="3">
        <v>27.186758000000001</v>
      </c>
      <c r="BV18" s="3">
        <v>27.927095000000001</v>
      </c>
      <c r="BW18" s="3">
        <v>24.481995000000001</v>
      </c>
      <c r="BX18" s="3">
        <v>24.223431000000001</v>
      </c>
      <c r="BY18" s="3">
        <v>25.560946999999999</v>
      </c>
      <c r="BZ18" s="3">
        <v>25.539961000000002</v>
      </c>
      <c r="CA18" s="3">
        <v>26.247719</v>
      </c>
      <c r="CB18" s="3">
        <v>25.167542999999998</v>
      </c>
      <c r="CC18" s="3">
        <v>26.0916</v>
      </c>
      <c r="CD18" s="3">
        <v>25.139949999999999</v>
      </c>
      <c r="CE18" s="3">
        <v>26.081430000000001</v>
      </c>
      <c r="CF18" s="3">
        <v>26.149963</v>
      </c>
      <c r="CG18" s="3">
        <v>25.654437999999999</v>
      </c>
      <c r="CH18" s="3">
        <v>26.593039000000001</v>
      </c>
      <c r="CI18" s="3">
        <v>26.209654</v>
      </c>
      <c r="CJ18" s="3">
        <v>24.953372999999999</v>
      </c>
      <c r="CK18" s="3">
        <v>27.270109999999999</v>
      </c>
      <c r="CL18" s="3">
        <v>23.906679</v>
      </c>
      <c r="CM18" s="3">
        <v>23.937588000000002</v>
      </c>
      <c r="CN18" s="3">
        <v>24.742155</v>
      </c>
      <c r="CO18" s="3">
        <v>26.939829</v>
      </c>
      <c r="CP18" s="3">
        <v>24.394774999999999</v>
      </c>
      <c r="CQ18" s="3">
        <v>25.475439000000001</v>
      </c>
      <c r="CR18" s="3">
        <v>27.047432000000001</v>
      </c>
      <c r="CS18" s="3">
        <v>24.131516000000001</v>
      </c>
      <c r="CT18" s="3">
        <v>24.799858</v>
      </c>
      <c r="CU18" s="3">
        <v>25.460747000000001</v>
      </c>
      <c r="CV18" s="3">
        <v>25.999759999999998</v>
      </c>
      <c r="CW18" s="3">
        <v>25.177209999999999</v>
      </c>
      <c r="CX18" s="3">
        <v>23.990269000000001</v>
      </c>
      <c r="CY18" s="3">
        <v>27.100760999999999</v>
      </c>
      <c r="CZ18" s="3">
        <v>23.768446000000001</v>
      </c>
      <c r="DA18" s="3">
        <v>24.098143</v>
      </c>
      <c r="DB18" s="3">
        <v>24.805841000000001</v>
      </c>
      <c r="DC18" s="3">
        <v>27.344201999999999</v>
      </c>
      <c r="DD18" s="3">
        <v>27.130367</v>
      </c>
      <c r="DE18" s="3">
        <v>25.481460999999999</v>
      </c>
      <c r="DF18" s="3">
        <v>24.349862999999999</v>
      </c>
      <c r="DG18" s="3">
        <v>24.315386</v>
      </c>
      <c r="DH18" s="3">
        <v>24.898781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22.792014310000003</v>
      </c>
      <c r="H20" s="3">
        <f>MAX(M20:GJ20)</f>
        <v>25.985707999999999</v>
      </c>
      <c r="I20" s="3">
        <f>MIN(M20:GJ20)</f>
        <v>16.789363999999999</v>
      </c>
      <c r="J20" s="3">
        <f>_xlfn.STDEV.P(M20:GJ20)</f>
        <v>1.7950151908067777</v>
      </c>
      <c r="K20" s="3">
        <f>_xlfn.VAR.S(M20:GJ20)</f>
        <v>3.2546257931586795</v>
      </c>
      <c r="M20" s="3">
        <v>24.805078999999999</v>
      </c>
      <c r="N20" s="3">
        <v>24.519666999999998</v>
      </c>
      <c r="O20" s="3">
        <v>22.114573</v>
      </c>
      <c r="P20" s="3">
        <v>20.949964999999999</v>
      </c>
      <c r="Q20" s="3">
        <v>24.679621000000001</v>
      </c>
      <c r="R20" s="3">
        <v>21.146440999999999</v>
      </c>
      <c r="S20" s="3">
        <v>22.820215000000001</v>
      </c>
      <c r="T20" s="3">
        <v>20.698732</v>
      </c>
      <c r="U20" s="3">
        <v>24.348526</v>
      </c>
      <c r="V20" s="3">
        <v>22.465899</v>
      </c>
      <c r="W20" s="3">
        <v>24.987175000000001</v>
      </c>
      <c r="X20" s="3">
        <v>20.854351000000001</v>
      </c>
      <c r="Y20" s="3">
        <v>22.872164000000001</v>
      </c>
      <c r="Z20" s="3">
        <v>21.897220999999998</v>
      </c>
      <c r="AA20" s="3">
        <v>22.493784000000002</v>
      </c>
      <c r="AB20" s="3">
        <v>23.979797000000001</v>
      </c>
      <c r="AC20" s="3">
        <v>22.442636</v>
      </c>
      <c r="AD20" s="3">
        <v>23.741181999999998</v>
      </c>
      <c r="AE20" s="3">
        <v>23.678536999999999</v>
      </c>
      <c r="AF20" s="3">
        <v>24.867023</v>
      </c>
      <c r="AG20" s="3">
        <v>19.128824000000002</v>
      </c>
      <c r="AH20" s="3">
        <v>25.409631999999998</v>
      </c>
      <c r="AI20" s="3">
        <v>25.513725000000001</v>
      </c>
      <c r="AJ20" s="3">
        <v>24.151142</v>
      </c>
      <c r="AK20" s="3">
        <v>22.857427999999999</v>
      </c>
      <c r="AL20" s="3">
        <v>24.13542</v>
      </c>
      <c r="AM20" s="3">
        <v>22.925362</v>
      </c>
      <c r="AN20" s="3">
        <v>22.874680999999999</v>
      </c>
      <c r="AO20" s="3">
        <v>21.349233999999999</v>
      </c>
      <c r="AP20" s="3">
        <v>25.049637000000001</v>
      </c>
      <c r="AQ20" s="3">
        <v>17.975622000000001</v>
      </c>
      <c r="AR20" s="3">
        <v>18.458427</v>
      </c>
      <c r="AS20" s="3">
        <v>22.439205000000001</v>
      </c>
      <c r="AT20" s="3">
        <v>21.540320999999999</v>
      </c>
      <c r="AU20" s="3">
        <v>23.847244</v>
      </c>
      <c r="AV20" s="3">
        <v>24.248214999999998</v>
      </c>
      <c r="AW20" s="3">
        <v>16.789363999999999</v>
      </c>
      <c r="AX20" s="3">
        <v>24.926974999999999</v>
      </c>
      <c r="AY20" s="3">
        <v>23.915226000000001</v>
      </c>
      <c r="AZ20" s="3">
        <v>23.164017000000001</v>
      </c>
      <c r="BA20" s="3">
        <v>20.201262</v>
      </c>
      <c r="BB20" s="3">
        <v>20.952074</v>
      </c>
      <c r="BC20" s="3">
        <v>24.630457</v>
      </c>
      <c r="BD20" s="3">
        <v>24.514935000000001</v>
      </c>
      <c r="BE20" s="3">
        <v>22.45326</v>
      </c>
      <c r="BF20" s="3">
        <v>20.927064999999999</v>
      </c>
      <c r="BG20" s="3">
        <v>24.191566000000002</v>
      </c>
      <c r="BH20" s="3">
        <v>23.701830000000001</v>
      </c>
      <c r="BI20" s="3">
        <v>22.486172</v>
      </c>
      <c r="BJ20" s="3">
        <v>21.921866999999999</v>
      </c>
      <c r="BK20" s="3">
        <v>22.999334000000001</v>
      </c>
      <c r="BL20" s="3">
        <v>24.446612999999999</v>
      </c>
      <c r="BM20" s="3">
        <v>23.926693</v>
      </c>
      <c r="BN20" s="3">
        <v>21.56514</v>
      </c>
      <c r="BO20" s="3">
        <v>24.286169000000001</v>
      </c>
      <c r="BP20" s="3">
        <v>25.755666999999999</v>
      </c>
      <c r="BQ20" s="3">
        <v>23.593449</v>
      </c>
      <c r="BR20" s="3">
        <v>20.567612</v>
      </c>
      <c r="BS20" s="3">
        <v>24.376412999999999</v>
      </c>
      <c r="BT20" s="3">
        <v>22.883751</v>
      </c>
      <c r="BU20" s="3">
        <v>23.676247</v>
      </c>
      <c r="BV20" s="3">
        <v>23.107759000000001</v>
      </c>
      <c r="BW20" s="3">
        <v>22.169415999999998</v>
      </c>
      <c r="BX20" s="3">
        <v>21.742992000000001</v>
      </c>
      <c r="BY20" s="3">
        <v>23.526886000000001</v>
      </c>
      <c r="BZ20" s="3">
        <v>22.156196999999999</v>
      </c>
      <c r="CA20" s="3">
        <v>22.543339</v>
      </c>
      <c r="CB20" s="3">
        <v>21.909566999999999</v>
      </c>
      <c r="CC20" s="3">
        <v>24.496697999999999</v>
      </c>
      <c r="CD20" s="3">
        <v>21.530823000000002</v>
      </c>
      <c r="CE20" s="3">
        <v>21.716867000000001</v>
      </c>
      <c r="CF20" s="3">
        <v>25.259398999999998</v>
      </c>
      <c r="CG20" s="3">
        <v>20.881879999999999</v>
      </c>
      <c r="CH20" s="3">
        <v>24.934345</v>
      </c>
      <c r="CI20" s="3">
        <v>24.370101999999999</v>
      </c>
      <c r="CJ20" s="3">
        <v>23.148987000000002</v>
      </c>
      <c r="CK20" s="3">
        <v>20.880023999999999</v>
      </c>
      <c r="CL20" s="3">
        <v>23.040323000000001</v>
      </c>
      <c r="CM20" s="3">
        <v>23.346941000000001</v>
      </c>
      <c r="CN20" s="3">
        <v>17.236135000000001</v>
      </c>
      <c r="CO20" s="3">
        <v>21.891473999999999</v>
      </c>
      <c r="CP20" s="3">
        <v>20.970897999999998</v>
      </c>
      <c r="CQ20" s="3">
        <v>24.515187999999998</v>
      </c>
      <c r="CR20" s="3">
        <v>23.456146</v>
      </c>
      <c r="CS20" s="3">
        <v>24.591684000000001</v>
      </c>
      <c r="CT20" s="3">
        <v>20.858028000000001</v>
      </c>
      <c r="CU20" s="3">
        <v>22.344747999999999</v>
      </c>
      <c r="CV20" s="3">
        <v>23.561035</v>
      </c>
      <c r="CW20" s="3">
        <v>23.725062999999999</v>
      </c>
      <c r="CX20" s="3">
        <v>22.719767000000001</v>
      </c>
      <c r="CY20" s="3">
        <v>24.454235000000001</v>
      </c>
      <c r="CZ20" s="3">
        <v>22.652066999999999</v>
      </c>
      <c r="DA20" s="3">
        <v>20.776743</v>
      </c>
      <c r="DB20" s="3">
        <v>22.289082000000001</v>
      </c>
      <c r="DC20" s="3">
        <v>21.830994</v>
      </c>
      <c r="DD20" s="3">
        <v>22.589941</v>
      </c>
      <c r="DE20" s="3">
        <v>20.688891999999999</v>
      </c>
      <c r="DF20" s="3">
        <v>21.566414000000002</v>
      </c>
      <c r="DG20" s="3">
        <v>25.985707999999999</v>
      </c>
      <c r="DH20" s="3">
        <v>24.614778999999999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17.927470380000003</v>
      </c>
      <c r="H22" s="3">
        <f>MAX(M22:GJ22)</f>
        <v>24.327874999999999</v>
      </c>
      <c r="I22" s="3">
        <f>MIN(M22:GJ22)</f>
        <v>7.8198550000000004</v>
      </c>
      <c r="J22" s="3">
        <f>_xlfn.STDEV.P(M22:GJ22)</f>
        <v>3.8137625842071441</v>
      </c>
      <c r="K22" s="3">
        <f>_xlfn.VAR.S(M22:GJ22)</f>
        <v>14.691702069392282</v>
      </c>
      <c r="M22" s="3">
        <v>23.304182000000001</v>
      </c>
      <c r="N22" s="3">
        <v>22.960981</v>
      </c>
      <c r="O22" s="3">
        <v>16.286508999999999</v>
      </c>
      <c r="P22" s="3">
        <v>15.840565</v>
      </c>
      <c r="Q22" s="3">
        <v>18.163592999999999</v>
      </c>
      <c r="R22" s="3">
        <v>21.276326999999998</v>
      </c>
      <c r="S22" s="3">
        <v>21.291231</v>
      </c>
      <c r="T22" s="3">
        <v>17.762170999999999</v>
      </c>
      <c r="U22" s="3">
        <v>11.042941000000001</v>
      </c>
      <c r="V22" s="3">
        <v>16.786073999999999</v>
      </c>
      <c r="W22" s="3">
        <v>14.34586</v>
      </c>
      <c r="X22" s="3">
        <v>18.661289</v>
      </c>
      <c r="Y22" s="3">
        <v>19.751920999999999</v>
      </c>
      <c r="Z22" s="3">
        <v>19.877506</v>
      </c>
      <c r="AA22" s="3">
        <v>20.297388000000002</v>
      </c>
      <c r="AB22" s="3">
        <v>18.659763000000002</v>
      </c>
      <c r="AC22" s="3">
        <v>21.307054999999998</v>
      </c>
      <c r="AD22" s="3">
        <v>12.928368000000001</v>
      </c>
      <c r="AE22" s="3">
        <v>17.086635999999999</v>
      </c>
      <c r="AF22" s="3">
        <v>17.477594</v>
      </c>
      <c r="AG22" s="3">
        <v>18.656442999999999</v>
      </c>
      <c r="AH22" s="3">
        <v>16.476755000000001</v>
      </c>
      <c r="AI22" s="3">
        <v>21.159593999999998</v>
      </c>
      <c r="AJ22" s="3">
        <v>22.710049000000001</v>
      </c>
      <c r="AK22" s="3">
        <v>18.843359</v>
      </c>
      <c r="AL22" s="3">
        <v>13.215704000000001</v>
      </c>
      <c r="AM22" s="3">
        <v>12.168944</v>
      </c>
      <c r="AN22" s="3">
        <v>21.279555999999999</v>
      </c>
      <c r="AO22" s="3">
        <v>11.797096</v>
      </c>
      <c r="AP22" s="3">
        <v>16.254835</v>
      </c>
      <c r="AQ22" s="3">
        <v>21.993089999999999</v>
      </c>
      <c r="AR22" s="3">
        <v>22.823263000000001</v>
      </c>
      <c r="AS22" s="3">
        <v>18.136206000000001</v>
      </c>
      <c r="AT22" s="3">
        <v>11.408414</v>
      </c>
      <c r="AU22" s="3">
        <v>21.199159999999999</v>
      </c>
      <c r="AV22" s="3">
        <v>16.253056000000001</v>
      </c>
      <c r="AW22" s="3">
        <v>19.986526000000001</v>
      </c>
      <c r="AX22" s="3">
        <v>11.894264</v>
      </c>
      <c r="AY22" s="3">
        <v>23.554297999999999</v>
      </c>
      <c r="AZ22" s="3">
        <v>21.871137999999998</v>
      </c>
      <c r="BA22" s="3">
        <v>21.917308999999999</v>
      </c>
      <c r="BB22" s="3">
        <v>22.914881000000001</v>
      </c>
      <c r="BC22" s="3">
        <v>17.792888999999999</v>
      </c>
      <c r="BD22" s="3">
        <v>13.284874</v>
      </c>
      <c r="BE22" s="3">
        <v>19.788482999999999</v>
      </c>
      <c r="BF22" s="3">
        <v>18.970141999999999</v>
      </c>
      <c r="BG22" s="3">
        <v>13.390154000000001</v>
      </c>
      <c r="BH22" s="3">
        <v>22.445601</v>
      </c>
      <c r="BI22" s="3">
        <v>20.861837000000001</v>
      </c>
      <c r="BJ22" s="3">
        <v>13.244204999999999</v>
      </c>
      <c r="BK22" s="3">
        <v>21.508687999999999</v>
      </c>
      <c r="BL22" s="3">
        <v>10.240690000000001</v>
      </c>
      <c r="BM22" s="3">
        <v>22.014590999999999</v>
      </c>
      <c r="BN22" s="3">
        <v>22.441054999999999</v>
      </c>
      <c r="BO22" s="3">
        <v>7.8198550000000004</v>
      </c>
      <c r="BP22" s="3">
        <v>21.427605</v>
      </c>
      <c r="BQ22" s="3">
        <v>15.425385</v>
      </c>
      <c r="BR22" s="3">
        <v>10.944934999999999</v>
      </c>
      <c r="BS22" s="3">
        <v>22.894086999999999</v>
      </c>
      <c r="BT22" s="3">
        <v>20.541063000000001</v>
      </c>
      <c r="BU22" s="3">
        <v>19.741824999999999</v>
      </c>
      <c r="BV22" s="3">
        <v>22.745121000000001</v>
      </c>
      <c r="BW22" s="3">
        <v>14.326328999999999</v>
      </c>
      <c r="BX22" s="3">
        <v>11.290127999999999</v>
      </c>
      <c r="BY22" s="3">
        <v>20.259340000000002</v>
      </c>
      <c r="BZ22" s="3">
        <v>15.742467</v>
      </c>
      <c r="CA22" s="3">
        <v>10.939875000000001</v>
      </c>
      <c r="CB22" s="3">
        <v>15.005549</v>
      </c>
      <c r="CC22" s="3">
        <v>16.330738</v>
      </c>
      <c r="CD22" s="3">
        <v>17.434158</v>
      </c>
      <c r="CE22" s="3">
        <v>20.680392999999999</v>
      </c>
      <c r="CF22" s="3">
        <v>19.991478000000001</v>
      </c>
      <c r="CG22" s="3">
        <v>15.982594000000001</v>
      </c>
      <c r="CH22" s="3">
        <v>20.557462999999998</v>
      </c>
      <c r="CI22" s="3">
        <v>20.463804</v>
      </c>
      <c r="CJ22" s="3">
        <v>18.126652</v>
      </c>
      <c r="CK22" s="3">
        <v>18.407335</v>
      </c>
      <c r="CL22" s="3">
        <v>13.867625</v>
      </c>
      <c r="CM22" s="3">
        <v>16.856339999999999</v>
      </c>
      <c r="CN22" s="3">
        <v>19.088533000000002</v>
      </c>
      <c r="CO22" s="3">
        <v>21.584633</v>
      </c>
      <c r="CP22" s="3">
        <v>9.2782529999999994</v>
      </c>
      <c r="CQ22" s="3">
        <v>24.327874999999999</v>
      </c>
      <c r="CR22" s="3">
        <v>21.311474</v>
      </c>
      <c r="CS22" s="3">
        <v>22.253025000000001</v>
      </c>
      <c r="CT22" s="3">
        <v>14.391864</v>
      </c>
      <c r="CU22" s="3">
        <v>16.903808999999999</v>
      </c>
      <c r="CV22" s="3">
        <v>17.672190000000001</v>
      </c>
      <c r="CW22" s="3">
        <v>15.768454</v>
      </c>
      <c r="CX22" s="3">
        <v>18.769881999999999</v>
      </c>
      <c r="CY22" s="3">
        <v>14.246345</v>
      </c>
      <c r="CZ22" s="3">
        <v>22.812017000000001</v>
      </c>
      <c r="DA22" s="3">
        <v>15.855907999999999</v>
      </c>
      <c r="DB22" s="3">
        <v>22.304770000000001</v>
      </c>
      <c r="DC22" s="3">
        <v>13.897665999999999</v>
      </c>
      <c r="DD22" s="3">
        <v>15.406871000000001</v>
      </c>
      <c r="DE22" s="3">
        <v>20.100598999999999</v>
      </c>
      <c r="DF22" s="3">
        <v>14.592257999999999</v>
      </c>
      <c r="DG22" s="3">
        <v>17.605156000000001</v>
      </c>
      <c r="DH22" s="3">
        <v>19.168209000000001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4" spans="2:207" x14ac:dyDescent="0.2">
      <c r="D24" s="1"/>
    </row>
    <row r="25" spans="2:207" x14ac:dyDescent="0.2">
      <c r="B25" t="s">
        <v>59</v>
      </c>
      <c r="D25" s="1" t="s">
        <v>24</v>
      </c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25.651398699999987</v>
      </c>
      <c r="H26" s="3">
        <f>MAX(M26:GJ26)</f>
        <v>30.229161999999999</v>
      </c>
      <c r="I26" s="3">
        <f>MIN(M26:GJ26)</f>
        <v>23.458721000000001</v>
      </c>
      <c r="J26" s="3">
        <f>_xlfn.STDEV.P(M26:GJ26)</f>
        <v>1.5584675916177497</v>
      </c>
      <c r="K26" s="3">
        <f>_xlfn.VAR.S(M26:GJ26)</f>
        <v>2.4533547819422519</v>
      </c>
      <c r="M26" s="3">
        <v>25.149754000000001</v>
      </c>
      <c r="N26" s="3">
        <v>27.192972000000001</v>
      </c>
      <c r="O26" s="3">
        <v>24.893792999999999</v>
      </c>
      <c r="P26" s="3">
        <v>27.533470000000001</v>
      </c>
      <c r="Q26" s="3">
        <v>24.467579000000001</v>
      </c>
      <c r="R26" s="3">
        <v>24.845295</v>
      </c>
      <c r="S26" s="3">
        <v>26.174493999999999</v>
      </c>
      <c r="T26" s="3">
        <v>24.734370999999999</v>
      </c>
      <c r="U26" s="3">
        <v>23.793797999999999</v>
      </c>
      <c r="V26" s="3">
        <v>23.969705999999999</v>
      </c>
      <c r="W26" s="3">
        <v>25.587319999999998</v>
      </c>
      <c r="X26" s="3">
        <v>24.858443999999999</v>
      </c>
      <c r="Y26" s="3">
        <v>28.024137</v>
      </c>
      <c r="Z26" s="3">
        <v>25.848848</v>
      </c>
      <c r="AA26" s="3">
        <v>24.709531999999999</v>
      </c>
      <c r="AB26" s="3">
        <v>24.35116</v>
      </c>
      <c r="AC26" s="3">
        <v>24.575372999999999</v>
      </c>
      <c r="AD26" s="3">
        <v>28.218567</v>
      </c>
      <c r="AE26" s="3">
        <v>28.965409999999999</v>
      </c>
      <c r="AF26" s="3">
        <v>25.693624</v>
      </c>
      <c r="AG26" s="3">
        <v>25.494236000000001</v>
      </c>
      <c r="AH26" s="3">
        <v>26.329903000000002</v>
      </c>
      <c r="AI26" s="3">
        <v>24.612169000000002</v>
      </c>
      <c r="AJ26" s="3">
        <v>26.462864</v>
      </c>
      <c r="AK26" s="3">
        <v>28.758800999999998</v>
      </c>
      <c r="AL26" s="3">
        <v>24.252459999999999</v>
      </c>
      <c r="AM26" s="3">
        <v>26.137947</v>
      </c>
      <c r="AN26" s="3">
        <v>25.302481</v>
      </c>
      <c r="AO26" s="3">
        <v>29.676952</v>
      </c>
      <c r="AP26" s="3">
        <v>26.184635</v>
      </c>
      <c r="AQ26" s="3">
        <v>24.946141999999998</v>
      </c>
      <c r="AR26" s="3">
        <v>27.390706999999999</v>
      </c>
      <c r="AS26" s="3">
        <v>25.255434000000001</v>
      </c>
      <c r="AT26" s="3">
        <v>23.941479000000001</v>
      </c>
      <c r="AU26" s="3">
        <v>25.112674999999999</v>
      </c>
      <c r="AV26" s="3">
        <v>28.671112000000001</v>
      </c>
      <c r="AW26" s="3">
        <v>24.04664</v>
      </c>
      <c r="AX26" s="3">
        <v>26.999352999999999</v>
      </c>
      <c r="AY26" s="3">
        <v>25.546828999999999</v>
      </c>
      <c r="AZ26" s="3">
        <v>24.271778000000001</v>
      </c>
      <c r="BA26" s="3">
        <v>24.856731</v>
      </c>
      <c r="BB26" s="3">
        <v>27.195854000000001</v>
      </c>
      <c r="BC26" s="3">
        <v>25.565783</v>
      </c>
      <c r="BD26" s="3">
        <v>23.818249000000002</v>
      </c>
      <c r="BE26" s="3">
        <v>26.537672000000001</v>
      </c>
      <c r="BF26" s="3">
        <v>24.062864000000001</v>
      </c>
      <c r="BG26" s="3">
        <v>30.229161999999999</v>
      </c>
      <c r="BH26" s="3">
        <v>23.79195</v>
      </c>
      <c r="BI26" s="3">
        <v>24.052627999999999</v>
      </c>
      <c r="BJ26" s="3">
        <v>26.595320000000001</v>
      </c>
      <c r="BK26" s="3">
        <v>25.136133000000001</v>
      </c>
      <c r="BL26" s="3">
        <v>28.709187</v>
      </c>
      <c r="BM26" s="3">
        <v>25.405892999999999</v>
      </c>
      <c r="BN26" s="3">
        <v>28.648762000000001</v>
      </c>
      <c r="BO26" s="3">
        <v>24.001871000000001</v>
      </c>
      <c r="BP26" s="3">
        <v>25.299019000000001</v>
      </c>
      <c r="BQ26" s="3">
        <v>25.13476</v>
      </c>
      <c r="BR26" s="3">
        <v>24.613060000000001</v>
      </c>
      <c r="BS26" s="3">
        <v>24.711808999999999</v>
      </c>
      <c r="BT26" s="3">
        <v>25.403981999999999</v>
      </c>
      <c r="BU26" s="3">
        <v>24.938437</v>
      </c>
      <c r="BV26" s="3">
        <v>24.797357999999999</v>
      </c>
      <c r="BW26" s="3">
        <v>24.611874</v>
      </c>
      <c r="BX26" s="3">
        <v>25.205083999999999</v>
      </c>
      <c r="BY26" s="3">
        <v>26.318118999999999</v>
      </c>
      <c r="BZ26" s="3">
        <v>24.494776000000002</v>
      </c>
      <c r="CA26" s="3">
        <v>27.358732</v>
      </c>
      <c r="CB26" s="3">
        <v>29.052185000000001</v>
      </c>
      <c r="CC26" s="3">
        <v>28.813134999999999</v>
      </c>
      <c r="CD26" s="3">
        <v>26.083888999999999</v>
      </c>
      <c r="CE26" s="3">
        <v>25.490590999999998</v>
      </c>
      <c r="CF26" s="3">
        <v>27.862886</v>
      </c>
      <c r="CG26" s="3">
        <v>25.589335999999999</v>
      </c>
      <c r="CH26" s="3">
        <v>24.749639999999999</v>
      </c>
      <c r="CI26" s="3">
        <v>28.955967000000001</v>
      </c>
      <c r="CJ26" s="3">
        <v>24.312777000000001</v>
      </c>
      <c r="CK26" s="3">
        <v>25.528126</v>
      </c>
      <c r="CL26" s="3">
        <v>24.611221</v>
      </c>
      <c r="CM26" s="3">
        <v>23.458721000000001</v>
      </c>
      <c r="CN26" s="3">
        <v>25.004885000000002</v>
      </c>
      <c r="CO26" s="3">
        <v>24.363192000000002</v>
      </c>
      <c r="CP26" s="3">
        <v>25.656115</v>
      </c>
      <c r="CQ26" s="3">
        <v>24.270681</v>
      </c>
      <c r="CR26" s="3">
        <v>24.720165000000001</v>
      </c>
      <c r="CS26" s="3">
        <v>24.824380999999999</v>
      </c>
      <c r="CT26" s="3">
        <v>23.660477</v>
      </c>
      <c r="CU26" s="3">
        <v>25.839407000000001</v>
      </c>
      <c r="CV26" s="3">
        <v>25.098835000000001</v>
      </c>
      <c r="CW26" s="3">
        <v>24.818144</v>
      </c>
      <c r="CX26" s="3">
        <v>26.874834</v>
      </c>
      <c r="CY26" s="3">
        <v>23.786860999999998</v>
      </c>
      <c r="CZ26" s="3">
        <v>26.225807</v>
      </c>
      <c r="DA26" s="3">
        <v>28.255324999999999</v>
      </c>
      <c r="DB26" s="3">
        <v>24.256004000000001</v>
      </c>
      <c r="DC26" s="3">
        <v>24.499371</v>
      </c>
      <c r="DD26" s="3">
        <v>25.33877</v>
      </c>
      <c r="DE26" s="3">
        <v>25.304995999999999</v>
      </c>
      <c r="DF26" s="3">
        <v>24.625050999999999</v>
      </c>
      <c r="DG26" s="3">
        <v>25.052765000000001</v>
      </c>
      <c r="DH26" s="3">
        <v>23.678017000000001</v>
      </c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27.646135829999999</v>
      </c>
      <c r="H28" s="3">
        <f>MAX(M28:GJ28)</f>
        <v>34.315097999999999</v>
      </c>
      <c r="I28" s="3">
        <f>MIN(M28:GJ28)</f>
        <v>23.682614999999998</v>
      </c>
      <c r="J28" s="3">
        <f>_xlfn.STDEV.P(M28:GJ28)</f>
        <v>2.1014732016690862</v>
      </c>
      <c r="K28" s="3">
        <f>_xlfn.VAR.S(M28:GJ28)</f>
        <v>4.4607975932659807</v>
      </c>
      <c r="M28" s="3">
        <v>27.964638000000001</v>
      </c>
      <c r="N28" s="3">
        <v>26.859286999999998</v>
      </c>
      <c r="O28" s="3">
        <v>34.315097999999999</v>
      </c>
      <c r="P28" s="3">
        <v>32.234703000000003</v>
      </c>
      <c r="Q28" s="3">
        <v>28.199950999999999</v>
      </c>
      <c r="R28" s="3">
        <v>27.043838999999998</v>
      </c>
      <c r="S28" s="3">
        <v>28.105042999999998</v>
      </c>
      <c r="T28" s="3">
        <v>28.861916999999998</v>
      </c>
      <c r="U28" s="3">
        <v>30.148333000000001</v>
      </c>
      <c r="V28" s="3">
        <v>30.698896000000001</v>
      </c>
      <c r="W28" s="3">
        <v>28.309023</v>
      </c>
      <c r="X28" s="3">
        <v>30.602198000000001</v>
      </c>
      <c r="Y28" s="3">
        <v>29.009578999999999</v>
      </c>
      <c r="Z28" s="3">
        <v>28.433835999999999</v>
      </c>
      <c r="AA28" s="3">
        <v>31.841082</v>
      </c>
      <c r="AB28" s="3">
        <v>27.625381000000001</v>
      </c>
      <c r="AC28" s="3">
        <v>27.472785999999999</v>
      </c>
      <c r="AD28" s="3">
        <v>31.241205000000001</v>
      </c>
      <c r="AE28" s="3">
        <v>29.47617</v>
      </c>
      <c r="AF28" s="3">
        <v>27.652795999999999</v>
      </c>
      <c r="AG28" s="3">
        <v>27.411327</v>
      </c>
      <c r="AH28" s="3">
        <v>30.913481000000001</v>
      </c>
      <c r="AI28" s="3">
        <v>31.128677</v>
      </c>
      <c r="AJ28" s="3">
        <v>25.365504999999999</v>
      </c>
      <c r="AK28" s="3">
        <v>29.695768000000001</v>
      </c>
      <c r="AL28" s="3">
        <v>30.762035000000001</v>
      </c>
      <c r="AM28" s="3">
        <v>27.329754000000001</v>
      </c>
      <c r="AN28" s="3">
        <v>29.35651</v>
      </c>
      <c r="AO28" s="3">
        <v>26.119872999999998</v>
      </c>
      <c r="AP28" s="3">
        <v>27.787154999999998</v>
      </c>
      <c r="AQ28" s="3">
        <v>28.632818</v>
      </c>
      <c r="AR28" s="3">
        <v>28.634022000000002</v>
      </c>
      <c r="AS28" s="3">
        <v>28.59553</v>
      </c>
      <c r="AT28" s="3">
        <v>27.764562999999999</v>
      </c>
      <c r="AU28" s="3">
        <v>29.432742999999999</v>
      </c>
      <c r="AV28" s="3">
        <v>24.732327999999999</v>
      </c>
      <c r="AW28" s="3">
        <v>26.705141000000001</v>
      </c>
      <c r="AX28" s="3">
        <v>30.023375999999999</v>
      </c>
      <c r="AY28" s="3">
        <v>29.460961999999999</v>
      </c>
      <c r="AZ28" s="3">
        <v>28.258896</v>
      </c>
      <c r="BA28" s="3">
        <v>25.647601999999999</v>
      </c>
      <c r="BB28" s="3">
        <v>27.314475999999999</v>
      </c>
      <c r="BC28" s="3">
        <v>29.319056</v>
      </c>
      <c r="BD28" s="3">
        <v>26.665319</v>
      </c>
      <c r="BE28" s="3">
        <v>26.916826</v>
      </c>
      <c r="BF28" s="3">
        <v>27.307566000000001</v>
      </c>
      <c r="BG28" s="3">
        <v>30.17848</v>
      </c>
      <c r="BH28" s="3">
        <v>31.043146</v>
      </c>
      <c r="BI28" s="3">
        <v>26.002206999999999</v>
      </c>
      <c r="BJ28" s="3">
        <v>23.682614999999998</v>
      </c>
      <c r="BK28" s="3">
        <v>28.216252999999998</v>
      </c>
      <c r="BL28" s="3">
        <v>28.491592000000001</v>
      </c>
      <c r="BM28" s="3">
        <v>31.806139000000002</v>
      </c>
      <c r="BN28" s="3">
        <v>26.748481999999999</v>
      </c>
      <c r="BO28" s="3">
        <v>27.474440000000001</v>
      </c>
      <c r="BP28" s="3">
        <v>24.129339000000002</v>
      </c>
      <c r="BQ28" s="3">
        <v>26.461126</v>
      </c>
      <c r="BR28" s="3">
        <v>29.633232</v>
      </c>
      <c r="BS28" s="3">
        <v>25.540448999999999</v>
      </c>
      <c r="BT28" s="3">
        <v>28.914358</v>
      </c>
      <c r="BU28" s="3">
        <v>26.067757</v>
      </c>
      <c r="BV28" s="3">
        <v>25.981235999999999</v>
      </c>
      <c r="BW28" s="3">
        <v>28.311378000000001</v>
      </c>
      <c r="BX28" s="3">
        <v>28.242661999999999</v>
      </c>
      <c r="BY28" s="3">
        <v>24.194887000000001</v>
      </c>
      <c r="BZ28" s="3">
        <v>26.371796</v>
      </c>
      <c r="CA28" s="3">
        <v>27.783752</v>
      </c>
      <c r="CB28" s="3">
        <v>26.609158000000001</v>
      </c>
      <c r="CC28" s="3">
        <v>24.838825</v>
      </c>
      <c r="CD28" s="3">
        <v>27.521243999999999</v>
      </c>
      <c r="CE28" s="3">
        <v>27.936706999999998</v>
      </c>
      <c r="CF28" s="3">
        <v>27.790136</v>
      </c>
      <c r="CG28" s="3">
        <v>28.202010999999999</v>
      </c>
      <c r="CH28" s="3">
        <v>25.258167</v>
      </c>
      <c r="CI28" s="3">
        <v>24.560347</v>
      </c>
      <c r="CJ28" s="3">
        <v>26.826841000000002</v>
      </c>
      <c r="CK28" s="3">
        <v>27.576466</v>
      </c>
      <c r="CL28" s="3">
        <v>27.738572999999999</v>
      </c>
      <c r="CM28" s="3">
        <v>27.110410999999999</v>
      </c>
      <c r="CN28" s="3">
        <v>29.099910999999999</v>
      </c>
      <c r="CO28" s="3">
        <v>24.081057000000001</v>
      </c>
      <c r="CP28" s="3">
        <v>25.168959000000001</v>
      </c>
      <c r="CQ28" s="3">
        <v>26.222156999999999</v>
      </c>
      <c r="CR28" s="3">
        <v>26.756865999999999</v>
      </c>
      <c r="CS28" s="3">
        <v>26.384654999999999</v>
      </c>
      <c r="CT28" s="3">
        <v>26.411732000000001</v>
      </c>
      <c r="CU28" s="3">
        <v>26.782442</v>
      </c>
      <c r="CV28" s="3">
        <v>31.367336000000002</v>
      </c>
      <c r="CW28" s="3">
        <v>23.995429999999999</v>
      </c>
      <c r="CX28" s="3">
        <v>27.213543000000001</v>
      </c>
      <c r="CY28" s="3">
        <v>25.288</v>
      </c>
      <c r="CZ28" s="3">
        <v>24.900116000000001</v>
      </c>
      <c r="DA28" s="3">
        <v>27.388152999999999</v>
      </c>
      <c r="DB28" s="3">
        <v>24.016252999999999</v>
      </c>
      <c r="DC28" s="3">
        <v>25.984943000000001</v>
      </c>
      <c r="DD28" s="3">
        <v>26.129725000000001</v>
      </c>
      <c r="DE28" s="3">
        <v>26.922035000000001</v>
      </c>
      <c r="DF28" s="3">
        <v>26.212025000000001</v>
      </c>
      <c r="DG28" s="3">
        <v>25.820581000000001</v>
      </c>
      <c r="DH28" s="3">
        <v>23.846381999999998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30.784637370000009</v>
      </c>
      <c r="H30" s="3">
        <f>MAX(M30:GJ30)</f>
        <v>34.080359999999999</v>
      </c>
      <c r="I30" s="3">
        <f>MIN(M30:GJ30)</f>
        <v>22.754905999999998</v>
      </c>
      <c r="J30" s="3">
        <f>_xlfn.STDEV.P(M30:GJ30)</f>
        <v>1.6111430649010701</v>
      </c>
      <c r="K30" s="3">
        <f>_xlfn.VAR.S(M30:GJ30)</f>
        <v>2.6220019955341551</v>
      </c>
      <c r="M30" s="3">
        <v>30.048418000000002</v>
      </c>
      <c r="N30" s="3">
        <v>30.464265999999999</v>
      </c>
      <c r="O30" s="3">
        <v>30.891677999999999</v>
      </c>
      <c r="P30" s="3">
        <v>31.393566</v>
      </c>
      <c r="Q30" s="3">
        <v>31.522307999999999</v>
      </c>
      <c r="R30" s="3">
        <v>27.547121000000001</v>
      </c>
      <c r="S30" s="3">
        <v>22.754905999999998</v>
      </c>
      <c r="T30" s="3">
        <v>31.568878000000002</v>
      </c>
      <c r="U30" s="3">
        <v>32.932903000000003</v>
      </c>
      <c r="V30" s="3">
        <v>30.422474000000001</v>
      </c>
      <c r="W30" s="3">
        <v>32.869402000000001</v>
      </c>
      <c r="X30" s="3">
        <v>34.080359999999999</v>
      </c>
      <c r="Y30" s="3">
        <v>31.471043000000002</v>
      </c>
      <c r="Z30" s="3">
        <v>31.742535</v>
      </c>
      <c r="AA30" s="3">
        <v>32.487577000000002</v>
      </c>
      <c r="AB30" s="3">
        <v>33.159458000000001</v>
      </c>
      <c r="AC30" s="3">
        <v>31.083220000000001</v>
      </c>
      <c r="AD30" s="3">
        <v>28.934923000000001</v>
      </c>
      <c r="AE30" s="3">
        <v>31.477207</v>
      </c>
      <c r="AF30" s="3">
        <v>31.028175000000001</v>
      </c>
      <c r="AG30" s="3">
        <v>33.687550000000002</v>
      </c>
      <c r="AH30" s="3">
        <v>30.457104000000001</v>
      </c>
      <c r="AI30" s="3">
        <v>29.459581</v>
      </c>
      <c r="AJ30" s="3">
        <v>32.847191000000002</v>
      </c>
      <c r="AK30" s="3">
        <v>31.018426999999999</v>
      </c>
      <c r="AL30" s="3">
        <v>30.512308000000001</v>
      </c>
      <c r="AM30" s="3">
        <v>30.572562999999999</v>
      </c>
      <c r="AN30" s="3">
        <v>33.577658</v>
      </c>
      <c r="AO30" s="3">
        <v>29.347432999999999</v>
      </c>
      <c r="AP30" s="3">
        <v>31.128025000000001</v>
      </c>
      <c r="AQ30" s="3">
        <v>32.657004999999998</v>
      </c>
      <c r="AR30" s="3">
        <v>30.037182000000001</v>
      </c>
      <c r="AS30" s="3">
        <v>30.186426000000001</v>
      </c>
      <c r="AT30" s="3">
        <v>29.924386999999999</v>
      </c>
      <c r="AU30" s="3">
        <v>29.541304</v>
      </c>
      <c r="AV30" s="3">
        <v>29.182203000000001</v>
      </c>
      <c r="AW30" s="3">
        <v>29.978871999999999</v>
      </c>
      <c r="AX30" s="3">
        <v>31.021263000000001</v>
      </c>
      <c r="AY30" s="3">
        <v>31.599278999999999</v>
      </c>
      <c r="AZ30" s="3">
        <v>30.614847000000001</v>
      </c>
      <c r="BA30" s="3">
        <v>29.683384</v>
      </c>
      <c r="BB30" s="3">
        <v>29.698869999999999</v>
      </c>
      <c r="BC30" s="3">
        <v>29.708082000000001</v>
      </c>
      <c r="BD30" s="3">
        <v>30.790838000000001</v>
      </c>
      <c r="BE30" s="3">
        <v>30.712971</v>
      </c>
      <c r="BF30" s="3">
        <v>29.813065000000002</v>
      </c>
      <c r="BG30" s="3">
        <v>30.322865</v>
      </c>
      <c r="BH30" s="3">
        <v>31.106698999999999</v>
      </c>
      <c r="BI30" s="3">
        <v>28.844625000000001</v>
      </c>
      <c r="BJ30" s="3">
        <v>29.298511999999999</v>
      </c>
      <c r="BK30" s="3">
        <v>31.826537999999999</v>
      </c>
      <c r="BL30" s="3">
        <v>28.533552</v>
      </c>
      <c r="BM30" s="3">
        <v>28.700167</v>
      </c>
      <c r="BN30" s="3">
        <v>28.850721</v>
      </c>
      <c r="BO30" s="3">
        <v>29.431532000000001</v>
      </c>
      <c r="BP30" s="3">
        <v>29.804234000000001</v>
      </c>
      <c r="BQ30" s="3">
        <v>30.608488000000001</v>
      </c>
      <c r="BR30" s="3">
        <v>28.920013000000001</v>
      </c>
      <c r="BS30" s="3">
        <v>29.139659999999999</v>
      </c>
      <c r="BT30" s="3">
        <v>31.627562000000001</v>
      </c>
      <c r="BU30" s="3">
        <v>31.300463000000001</v>
      </c>
      <c r="BV30" s="3">
        <v>32.205418000000002</v>
      </c>
      <c r="BW30" s="3">
        <v>29.096526999999998</v>
      </c>
      <c r="BX30" s="3">
        <v>31.01033</v>
      </c>
      <c r="BY30" s="3">
        <v>30.515965000000001</v>
      </c>
      <c r="BZ30" s="3">
        <v>29.533809999999999</v>
      </c>
      <c r="CA30" s="3">
        <v>30.549824000000001</v>
      </c>
      <c r="CB30" s="3">
        <v>28.795331999999998</v>
      </c>
      <c r="CC30" s="3">
        <v>30.343702</v>
      </c>
      <c r="CD30" s="3">
        <v>29.558437000000001</v>
      </c>
      <c r="CE30" s="3">
        <v>30.931376</v>
      </c>
      <c r="CF30" s="3">
        <v>31.633749000000002</v>
      </c>
      <c r="CG30" s="3">
        <v>29.959617999999999</v>
      </c>
      <c r="CH30" s="3">
        <v>32.270119000000001</v>
      </c>
      <c r="CI30" s="3">
        <v>30.380993</v>
      </c>
      <c r="CJ30" s="3">
        <v>29.758887999999999</v>
      </c>
      <c r="CK30" s="3">
        <v>33.778407999999999</v>
      </c>
      <c r="CL30" s="3">
        <v>30.206544999999998</v>
      </c>
      <c r="CM30" s="3">
        <v>30.330175000000001</v>
      </c>
      <c r="CN30" s="3">
        <v>33.247714999999999</v>
      </c>
      <c r="CO30" s="3">
        <v>32.715178999999999</v>
      </c>
      <c r="CP30" s="3">
        <v>31.108795000000001</v>
      </c>
      <c r="CQ30" s="3">
        <v>30.348289000000001</v>
      </c>
      <c r="CR30" s="3">
        <v>33.440787999999998</v>
      </c>
      <c r="CS30" s="3">
        <v>32.179310000000001</v>
      </c>
      <c r="CT30" s="3">
        <v>29.050719999999998</v>
      </c>
      <c r="CU30" s="3">
        <v>32.875233000000001</v>
      </c>
      <c r="CV30" s="3">
        <v>31.865508999999999</v>
      </c>
      <c r="CW30" s="3">
        <v>32.886814000000001</v>
      </c>
      <c r="CX30" s="3">
        <v>31.630512</v>
      </c>
      <c r="CY30" s="3">
        <v>31.968572999999999</v>
      </c>
      <c r="CZ30" s="3">
        <v>29.824286000000001</v>
      </c>
      <c r="DA30" s="3">
        <v>29.890014999999998</v>
      </c>
      <c r="DB30" s="3">
        <v>32.221775000000001</v>
      </c>
      <c r="DC30" s="3">
        <v>33.984921</v>
      </c>
      <c r="DD30" s="3">
        <v>31.039328000000001</v>
      </c>
      <c r="DE30" s="3">
        <v>31.467096000000002</v>
      </c>
      <c r="DF30" s="3">
        <v>29.307210999999999</v>
      </c>
      <c r="DG30" s="3">
        <v>31.468616000000001</v>
      </c>
      <c r="DH30" s="3">
        <v>31.129968999999999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22.381111579999995</v>
      </c>
      <c r="H32" s="3">
        <f>MAX(M32:GJ32)</f>
        <v>24.790854</v>
      </c>
      <c r="I32" s="3">
        <f>MIN(M32:GJ32)</f>
        <v>20.660243999999999</v>
      </c>
      <c r="J32" s="3">
        <f>_xlfn.STDEV.P(M32:GJ32)</f>
        <v>0.89840150535863605</v>
      </c>
      <c r="K32" s="3">
        <f>_xlfn.VAR.S(M32:GJ32)</f>
        <v>0.81527804528349834</v>
      </c>
      <c r="M32" s="3">
        <v>23.358723000000001</v>
      </c>
      <c r="N32" s="3">
        <v>21.193411000000001</v>
      </c>
      <c r="O32" s="3">
        <v>21.849585000000001</v>
      </c>
      <c r="P32" s="3">
        <v>21.564487</v>
      </c>
      <c r="Q32" s="3">
        <v>22.086791999999999</v>
      </c>
      <c r="R32" s="3">
        <v>22.624298</v>
      </c>
      <c r="S32" s="3">
        <v>22.552191000000001</v>
      </c>
      <c r="T32" s="3">
        <v>21.325651000000001</v>
      </c>
      <c r="U32" s="3">
        <v>23.319514999999999</v>
      </c>
      <c r="V32" s="3">
        <v>23.385292</v>
      </c>
      <c r="W32" s="3">
        <v>22.441790000000001</v>
      </c>
      <c r="X32" s="3">
        <v>24.790854</v>
      </c>
      <c r="Y32" s="3">
        <v>21.609131000000001</v>
      </c>
      <c r="Z32" s="3">
        <v>21.824545000000001</v>
      </c>
      <c r="AA32" s="3">
        <v>22.191127999999999</v>
      </c>
      <c r="AB32" s="3">
        <v>21.223880999999999</v>
      </c>
      <c r="AC32" s="3">
        <v>22.253813000000001</v>
      </c>
      <c r="AD32" s="3">
        <v>22.503184999999998</v>
      </c>
      <c r="AE32" s="3">
        <v>22.590548999999999</v>
      </c>
      <c r="AF32" s="3">
        <v>22.992847000000001</v>
      </c>
      <c r="AG32" s="3">
        <v>21.569838000000001</v>
      </c>
      <c r="AH32" s="3">
        <v>23.283622999999999</v>
      </c>
      <c r="AI32" s="3">
        <v>21.814228</v>
      </c>
      <c r="AJ32" s="3">
        <v>22.705372000000001</v>
      </c>
      <c r="AK32" s="3">
        <v>22.001593</v>
      </c>
      <c r="AL32" s="3">
        <v>23.721018000000001</v>
      </c>
      <c r="AM32" s="3">
        <v>20.938461</v>
      </c>
      <c r="AN32" s="3">
        <v>21.181284000000002</v>
      </c>
      <c r="AO32" s="3">
        <v>21.049623</v>
      </c>
      <c r="AP32" s="3">
        <v>21.716633000000002</v>
      </c>
      <c r="AQ32" s="3">
        <v>21.860319</v>
      </c>
      <c r="AR32" s="3">
        <v>22.621876</v>
      </c>
      <c r="AS32" s="3">
        <v>22.142340000000001</v>
      </c>
      <c r="AT32" s="3">
        <v>24.030695000000001</v>
      </c>
      <c r="AU32" s="3">
        <v>23.149713999999999</v>
      </c>
      <c r="AV32" s="3">
        <v>21.687483</v>
      </c>
      <c r="AW32" s="3">
        <v>24.058975</v>
      </c>
      <c r="AX32" s="3">
        <v>23.361532</v>
      </c>
      <c r="AY32" s="3">
        <v>21.926501999999999</v>
      </c>
      <c r="AZ32" s="3">
        <v>22.523571</v>
      </c>
      <c r="BA32" s="3">
        <v>21.399622000000001</v>
      </c>
      <c r="BB32" s="3">
        <v>23.115227000000001</v>
      </c>
      <c r="BC32" s="3">
        <v>22.594996999999999</v>
      </c>
      <c r="BD32" s="3">
        <v>21.705324000000001</v>
      </c>
      <c r="BE32" s="3">
        <v>23.079927000000001</v>
      </c>
      <c r="BF32" s="3">
        <v>22.037420000000001</v>
      </c>
      <c r="BG32" s="3">
        <v>22.460311999999998</v>
      </c>
      <c r="BH32" s="3">
        <v>22.790317999999999</v>
      </c>
      <c r="BI32" s="3">
        <v>20.660243999999999</v>
      </c>
      <c r="BJ32" s="3">
        <v>20.925158</v>
      </c>
      <c r="BK32" s="3">
        <v>22.535727000000001</v>
      </c>
      <c r="BL32" s="3">
        <v>21.513546000000002</v>
      </c>
      <c r="BM32" s="3">
        <v>21.658837999999999</v>
      </c>
      <c r="BN32" s="3">
        <v>22.203137999999999</v>
      </c>
      <c r="BO32" s="3">
        <v>23.244457000000001</v>
      </c>
      <c r="BP32" s="3">
        <v>23.836227000000001</v>
      </c>
      <c r="BQ32" s="3">
        <v>21.144310000000001</v>
      </c>
      <c r="BR32" s="3">
        <v>22.586081</v>
      </c>
      <c r="BS32" s="3">
        <v>23.974623000000001</v>
      </c>
      <c r="BT32" s="3">
        <v>23.574660999999999</v>
      </c>
      <c r="BU32" s="3">
        <v>22.311973999999999</v>
      </c>
      <c r="BV32" s="3">
        <v>21.752376999999999</v>
      </c>
      <c r="BW32" s="3">
        <v>21.206994999999999</v>
      </c>
      <c r="BX32" s="3">
        <v>21.447811000000002</v>
      </c>
      <c r="BY32" s="3">
        <v>22.843067000000001</v>
      </c>
      <c r="BZ32" s="3">
        <v>21.857485</v>
      </c>
      <c r="CA32" s="3">
        <v>21.528013000000001</v>
      </c>
      <c r="CB32" s="3">
        <v>22.540274</v>
      </c>
      <c r="CC32" s="3">
        <v>22.109635999999998</v>
      </c>
      <c r="CD32" s="3">
        <v>23.170956</v>
      </c>
      <c r="CE32" s="3">
        <v>21.242612999999999</v>
      </c>
      <c r="CF32" s="3">
        <v>24.067661000000001</v>
      </c>
      <c r="CG32" s="3">
        <v>21.616636</v>
      </c>
      <c r="CH32" s="3">
        <v>22.448073999999998</v>
      </c>
      <c r="CI32" s="3">
        <v>24.655290999999998</v>
      </c>
      <c r="CJ32" s="3">
        <v>21.410278000000002</v>
      </c>
      <c r="CK32" s="3">
        <v>22.708776</v>
      </c>
      <c r="CL32" s="3">
        <v>22.527227</v>
      </c>
      <c r="CM32" s="3">
        <v>22.208521000000001</v>
      </c>
      <c r="CN32" s="3">
        <v>22.325706</v>
      </c>
      <c r="CO32" s="3">
        <v>24.005444000000001</v>
      </c>
      <c r="CP32" s="3">
        <v>21.664353999999999</v>
      </c>
      <c r="CQ32" s="3">
        <v>22.943284999999999</v>
      </c>
      <c r="CR32" s="3">
        <v>24.094602999999999</v>
      </c>
      <c r="CS32" s="3">
        <v>22.633058999999999</v>
      </c>
      <c r="CT32" s="3">
        <v>21.579470000000001</v>
      </c>
      <c r="CU32" s="3">
        <v>22.594684999999998</v>
      </c>
      <c r="CV32" s="3">
        <v>22.180267000000001</v>
      </c>
      <c r="CW32" s="3">
        <v>21.573591</v>
      </c>
      <c r="CX32" s="3">
        <v>22.914632999999998</v>
      </c>
      <c r="CY32" s="3">
        <v>22.271553000000001</v>
      </c>
      <c r="CZ32" s="3">
        <v>22.352226000000002</v>
      </c>
      <c r="DA32" s="3">
        <v>22.337729</v>
      </c>
      <c r="DB32" s="3">
        <v>24.481907</v>
      </c>
      <c r="DC32" s="3">
        <v>22.850163999999999</v>
      </c>
      <c r="DD32" s="3">
        <v>21.945941999999999</v>
      </c>
      <c r="DE32" s="3">
        <v>21.320425</v>
      </c>
      <c r="DF32" s="3">
        <v>21.900282000000001</v>
      </c>
      <c r="DG32" s="3">
        <v>21.793005000000001</v>
      </c>
      <c r="DH32" s="3">
        <v>22.628658000000001</v>
      </c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23.165084609999994</v>
      </c>
      <c r="H34" s="3">
        <f>MAX(M34:GJ34)</f>
        <v>28.924060999999998</v>
      </c>
      <c r="I34" s="3">
        <f>MIN(M34:GJ34)</f>
        <v>19.28772</v>
      </c>
      <c r="J34" s="3">
        <f>_xlfn.STDEV.P(M34:GJ34)</f>
        <v>1.7238048985439736</v>
      </c>
      <c r="K34" s="3">
        <f>_xlfn.VAR.S(M34:GJ34)</f>
        <v>3.0015185133779787</v>
      </c>
      <c r="M34" s="3">
        <v>19.28772</v>
      </c>
      <c r="N34" s="3">
        <v>24.459356</v>
      </c>
      <c r="O34" s="3">
        <v>24.178049000000001</v>
      </c>
      <c r="P34" s="3">
        <v>25.378876000000002</v>
      </c>
      <c r="Q34" s="3">
        <v>25.052109000000002</v>
      </c>
      <c r="R34" s="3">
        <v>24.616323000000001</v>
      </c>
      <c r="S34" s="3">
        <v>23.409676000000001</v>
      </c>
      <c r="T34" s="3">
        <v>20.589123000000001</v>
      </c>
      <c r="U34" s="3">
        <v>22.059341</v>
      </c>
      <c r="V34" s="3">
        <v>24.610834000000001</v>
      </c>
      <c r="W34" s="3">
        <v>25.427804999999999</v>
      </c>
      <c r="X34" s="3">
        <v>22.745709999999999</v>
      </c>
      <c r="Y34" s="3">
        <v>24.130154000000001</v>
      </c>
      <c r="Z34" s="3">
        <v>20.83399</v>
      </c>
      <c r="AA34" s="3">
        <v>22.961601000000002</v>
      </c>
      <c r="AB34" s="3">
        <v>24.537693000000001</v>
      </c>
      <c r="AC34" s="3">
        <v>19.549568000000001</v>
      </c>
      <c r="AD34" s="3">
        <v>21.707127</v>
      </c>
      <c r="AE34" s="3">
        <v>23.166536000000001</v>
      </c>
      <c r="AF34" s="3">
        <v>24.0823</v>
      </c>
      <c r="AG34" s="3">
        <v>21.095081</v>
      </c>
      <c r="AH34" s="3">
        <v>25.280187999999999</v>
      </c>
      <c r="AI34" s="3">
        <v>22.884035000000001</v>
      </c>
      <c r="AJ34" s="3">
        <v>21.208378</v>
      </c>
      <c r="AK34" s="3">
        <v>22.270809</v>
      </c>
      <c r="AL34" s="3">
        <v>23.302420000000001</v>
      </c>
      <c r="AM34" s="3">
        <v>21.319277</v>
      </c>
      <c r="AN34" s="3">
        <v>24.619301</v>
      </c>
      <c r="AO34" s="3">
        <v>22.044758000000002</v>
      </c>
      <c r="AP34" s="3">
        <v>24.854133999999998</v>
      </c>
      <c r="AQ34" s="3">
        <v>25.277570999999998</v>
      </c>
      <c r="AR34" s="3">
        <v>24.339248999999999</v>
      </c>
      <c r="AS34" s="3">
        <v>24.044132000000001</v>
      </c>
      <c r="AT34" s="3">
        <v>24.676666000000001</v>
      </c>
      <c r="AU34" s="3">
        <v>20.857903</v>
      </c>
      <c r="AV34" s="3">
        <v>21.107025</v>
      </c>
      <c r="AW34" s="3">
        <v>24.307158999999999</v>
      </c>
      <c r="AX34" s="3">
        <v>19.878187</v>
      </c>
      <c r="AY34" s="3">
        <v>24.136526</v>
      </c>
      <c r="AZ34" s="3">
        <v>23.596754000000001</v>
      </c>
      <c r="BA34" s="3">
        <v>23.984705000000002</v>
      </c>
      <c r="BB34" s="3">
        <v>23.289518000000001</v>
      </c>
      <c r="BC34" s="3">
        <v>23.793334999999999</v>
      </c>
      <c r="BD34" s="3">
        <v>23.72925</v>
      </c>
      <c r="BE34" s="3">
        <v>20.253278999999999</v>
      </c>
      <c r="BF34" s="3">
        <v>24.691313000000001</v>
      </c>
      <c r="BG34" s="3">
        <v>24.865046</v>
      </c>
      <c r="BH34" s="3">
        <v>23.603348</v>
      </c>
      <c r="BI34" s="3">
        <v>21.706721999999999</v>
      </c>
      <c r="BJ34" s="3">
        <v>23.035885</v>
      </c>
      <c r="BK34" s="3">
        <v>22.990133</v>
      </c>
      <c r="BL34" s="3">
        <v>22.781632999999999</v>
      </c>
      <c r="BM34" s="3">
        <v>22.526520000000001</v>
      </c>
      <c r="BN34" s="3">
        <v>21.190501999999999</v>
      </c>
      <c r="BO34" s="3">
        <v>20.981231999999999</v>
      </c>
      <c r="BP34" s="3">
        <v>24.740803</v>
      </c>
      <c r="BQ34" s="3">
        <v>22.999096000000002</v>
      </c>
      <c r="BR34" s="3">
        <v>22.831816</v>
      </c>
      <c r="BS34" s="3">
        <v>23.469491999999999</v>
      </c>
      <c r="BT34" s="3">
        <v>21.635840999999999</v>
      </c>
      <c r="BU34" s="3">
        <v>24.239882000000001</v>
      </c>
      <c r="BV34" s="3">
        <v>22.751197999999999</v>
      </c>
      <c r="BW34" s="3">
        <v>22.51408</v>
      </c>
      <c r="BX34" s="3">
        <v>22.19792</v>
      </c>
      <c r="BY34" s="3">
        <v>28.924060999999998</v>
      </c>
      <c r="BZ34" s="3">
        <v>22.777726999999999</v>
      </c>
      <c r="CA34" s="3">
        <v>22.918581</v>
      </c>
      <c r="CB34" s="3">
        <v>25.855968000000001</v>
      </c>
      <c r="CC34" s="3">
        <v>22.425484000000001</v>
      </c>
      <c r="CD34" s="3">
        <v>23.399135999999999</v>
      </c>
      <c r="CE34" s="3">
        <v>24.222314999999998</v>
      </c>
      <c r="CF34" s="3">
        <v>20.808928000000002</v>
      </c>
      <c r="CG34" s="3">
        <v>24.607485</v>
      </c>
      <c r="CH34" s="3">
        <v>23.296977999999999</v>
      </c>
      <c r="CI34" s="3">
        <v>25.472467000000002</v>
      </c>
      <c r="CJ34" s="3">
        <v>19.434232999999999</v>
      </c>
      <c r="CK34" s="3">
        <v>19.757832000000001</v>
      </c>
      <c r="CL34" s="3">
        <v>23.523309999999999</v>
      </c>
      <c r="CM34" s="3">
        <v>23.946878000000002</v>
      </c>
      <c r="CN34" s="3">
        <v>24.063327999999998</v>
      </c>
      <c r="CO34" s="3">
        <v>21.946242999999999</v>
      </c>
      <c r="CP34" s="3">
        <v>23.646673</v>
      </c>
      <c r="CQ34" s="3">
        <v>25.170361</v>
      </c>
      <c r="CR34" s="3">
        <v>22.349599999999999</v>
      </c>
      <c r="CS34" s="3">
        <v>25.030667999999999</v>
      </c>
      <c r="CT34" s="3">
        <v>20.947158999999999</v>
      </c>
      <c r="CU34" s="3">
        <v>22.831959000000001</v>
      </c>
      <c r="CV34" s="3">
        <v>19.827679</v>
      </c>
      <c r="CW34" s="3">
        <v>22.208494000000002</v>
      </c>
      <c r="CX34" s="3">
        <v>23.117477000000001</v>
      </c>
      <c r="CY34" s="3">
        <v>25.155479</v>
      </c>
      <c r="CZ34" s="3">
        <v>21.985392000000001</v>
      </c>
      <c r="DA34" s="3">
        <v>24.125589000000002</v>
      </c>
      <c r="DB34" s="3">
        <v>23.918960999999999</v>
      </c>
      <c r="DC34" s="3">
        <v>22.361962999999999</v>
      </c>
      <c r="DD34" s="3">
        <v>21.594647999999999</v>
      </c>
      <c r="DE34" s="3">
        <v>25.984617</v>
      </c>
      <c r="DF34" s="3">
        <v>24.895288000000001</v>
      </c>
      <c r="DG34" s="3">
        <v>23.010033</v>
      </c>
      <c r="DH34" s="3">
        <v>26.279474</v>
      </c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7" spans="2:207" x14ac:dyDescent="0.2">
      <c r="B37" t="s">
        <v>59</v>
      </c>
      <c r="D37" s="1" t="s">
        <v>31</v>
      </c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23.181451590000002</v>
      </c>
      <c r="H38" s="3">
        <f>MAX(M38:GJ38)</f>
        <v>27.659804999999999</v>
      </c>
      <c r="I38" s="3">
        <f>MIN(M38:GJ38)</f>
        <v>20.092110000000002</v>
      </c>
      <c r="J38" s="3">
        <f>_xlfn.STDEV.P(M38:GJ38)</f>
        <v>1.5265171881400359</v>
      </c>
      <c r="K38" s="3">
        <f>_xlfn.VAR.S(M38:GJ38)</f>
        <v>2.3537926522090524</v>
      </c>
      <c r="M38" s="3">
        <v>22.517703999999998</v>
      </c>
      <c r="N38" s="3">
        <v>24.464645000000001</v>
      </c>
      <c r="O38" s="3">
        <v>22.556818</v>
      </c>
      <c r="P38" s="3">
        <v>25.667786</v>
      </c>
      <c r="Q38" s="3">
        <v>21.941497999999999</v>
      </c>
      <c r="R38" s="3">
        <v>21.324670999999999</v>
      </c>
      <c r="S38" s="3">
        <v>23.672685999999999</v>
      </c>
      <c r="T38" s="3">
        <v>21.094746000000001</v>
      </c>
      <c r="U38" s="3">
        <v>22.290785</v>
      </c>
      <c r="V38" s="3">
        <v>21.923089999999998</v>
      </c>
      <c r="W38" s="3">
        <v>23.284012000000001</v>
      </c>
      <c r="X38" s="3">
        <v>23.064329000000001</v>
      </c>
      <c r="Y38" s="3">
        <v>24.063009000000001</v>
      </c>
      <c r="Z38" s="3">
        <v>23.389831999999998</v>
      </c>
      <c r="AA38" s="3">
        <v>23.277767000000001</v>
      </c>
      <c r="AB38" s="3">
        <v>21.679169000000002</v>
      </c>
      <c r="AC38" s="3">
        <v>23.046986</v>
      </c>
      <c r="AD38" s="3">
        <v>25.970344999999998</v>
      </c>
      <c r="AE38" s="3">
        <v>24.706113999999999</v>
      </c>
      <c r="AF38" s="3">
        <v>23.189865000000001</v>
      </c>
      <c r="AG38" s="3">
        <v>23.071135999999999</v>
      </c>
      <c r="AH38" s="3">
        <v>23.591318000000001</v>
      </c>
      <c r="AI38" s="3">
        <v>21.826187000000001</v>
      </c>
      <c r="AJ38" s="3">
        <v>23.187149000000002</v>
      </c>
      <c r="AK38" s="3">
        <v>26.176597999999998</v>
      </c>
      <c r="AL38" s="3">
        <v>22.532961</v>
      </c>
      <c r="AM38" s="3">
        <v>23.615099000000001</v>
      </c>
      <c r="AN38" s="3">
        <v>23.011475000000001</v>
      </c>
      <c r="AO38" s="3">
        <v>27.321370999999999</v>
      </c>
      <c r="AP38" s="3">
        <v>23.370163000000002</v>
      </c>
      <c r="AQ38" s="3">
        <v>22.476192000000001</v>
      </c>
      <c r="AR38" s="3">
        <v>25.500679000000002</v>
      </c>
      <c r="AS38" s="3">
        <v>22.94651</v>
      </c>
      <c r="AT38" s="3">
        <v>22.021315000000001</v>
      </c>
      <c r="AU38" s="3">
        <v>23.111332000000001</v>
      </c>
      <c r="AV38" s="3">
        <v>25.252517999999998</v>
      </c>
      <c r="AW38" s="3">
        <v>22.305464000000001</v>
      </c>
      <c r="AX38" s="3">
        <v>24.209948000000001</v>
      </c>
      <c r="AY38" s="3">
        <v>22.855076</v>
      </c>
      <c r="AZ38" s="3">
        <v>22.090218</v>
      </c>
      <c r="BA38" s="3">
        <v>22.038281999999999</v>
      </c>
      <c r="BB38" s="3">
        <v>23.955341000000001</v>
      </c>
      <c r="BC38" s="3">
        <v>23.672585000000002</v>
      </c>
      <c r="BD38" s="3">
        <v>20.092110000000002</v>
      </c>
      <c r="BE38" s="3">
        <v>23.985495</v>
      </c>
      <c r="BF38" s="3">
        <v>20.132138999999999</v>
      </c>
      <c r="BG38" s="3">
        <v>27.659804999999999</v>
      </c>
      <c r="BH38" s="3">
        <v>22.873111999999999</v>
      </c>
      <c r="BI38" s="3">
        <v>22.220476000000001</v>
      </c>
      <c r="BJ38" s="3">
        <v>23.706709</v>
      </c>
      <c r="BK38" s="3">
        <v>22.37509</v>
      </c>
      <c r="BL38" s="3">
        <v>26.226095000000001</v>
      </c>
      <c r="BM38" s="3">
        <v>22.587662000000002</v>
      </c>
      <c r="BN38" s="3">
        <v>25.925850000000001</v>
      </c>
      <c r="BO38" s="3">
        <v>22.529606000000001</v>
      </c>
      <c r="BP38" s="3">
        <v>22.297272</v>
      </c>
      <c r="BQ38" s="3">
        <v>22.870159000000001</v>
      </c>
      <c r="BR38" s="3">
        <v>22.502307999999999</v>
      </c>
      <c r="BS38" s="3">
        <v>20.659075000000001</v>
      </c>
      <c r="BT38" s="3">
        <v>23.207535</v>
      </c>
      <c r="BU38" s="3">
        <v>23.299890999999999</v>
      </c>
      <c r="BV38" s="3">
        <v>22.987856000000001</v>
      </c>
      <c r="BW38" s="3">
        <v>21.006215999999998</v>
      </c>
      <c r="BX38" s="3">
        <v>22.980498999999998</v>
      </c>
      <c r="BY38" s="3">
        <v>21.346895</v>
      </c>
      <c r="BZ38" s="3">
        <v>21.740328000000002</v>
      </c>
      <c r="CA38" s="3">
        <v>25.247699999999998</v>
      </c>
      <c r="CB38" s="3">
        <v>26.99464</v>
      </c>
      <c r="CC38" s="3">
        <v>25.37228</v>
      </c>
      <c r="CD38" s="3">
        <v>22.745483</v>
      </c>
      <c r="CE38" s="3">
        <v>23.278378</v>
      </c>
      <c r="CF38" s="3">
        <v>24.755049</v>
      </c>
      <c r="CG38" s="3">
        <v>23.203558000000001</v>
      </c>
      <c r="CH38" s="3">
        <v>22.501014999999999</v>
      </c>
      <c r="CI38" s="3">
        <v>27.367878000000001</v>
      </c>
      <c r="CJ38" s="3">
        <v>22.592981000000002</v>
      </c>
      <c r="CK38" s="3">
        <v>23.042078</v>
      </c>
      <c r="CL38" s="3">
        <v>22.594576</v>
      </c>
      <c r="CM38" s="3">
        <v>22.477257000000002</v>
      </c>
      <c r="CN38" s="3">
        <v>22.866135</v>
      </c>
      <c r="CO38" s="3">
        <v>22.171015000000001</v>
      </c>
      <c r="CP38" s="3">
        <v>23.159849000000001</v>
      </c>
      <c r="CQ38" s="3">
        <v>22.589607000000001</v>
      </c>
      <c r="CR38" s="3">
        <v>22.486612000000001</v>
      </c>
      <c r="CS38" s="3">
        <v>22.583487000000002</v>
      </c>
      <c r="CT38" s="3">
        <v>22.653427000000001</v>
      </c>
      <c r="CU38" s="3">
        <v>23.669419999999999</v>
      </c>
      <c r="CV38" s="3">
        <v>22.846287</v>
      </c>
      <c r="CW38" s="3">
        <v>22.875530000000001</v>
      </c>
      <c r="CX38" s="3">
        <v>20.419875999999999</v>
      </c>
      <c r="CY38" s="3">
        <v>22.312929</v>
      </c>
      <c r="CZ38" s="3">
        <v>23.276209000000001</v>
      </c>
      <c r="DA38" s="3">
        <v>26.736319999999999</v>
      </c>
      <c r="DB38" s="3">
        <v>20.938005</v>
      </c>
      <c r="DC38" s="3">
        <v>22.855919</v>
      </c>
      <c r="DD38" s="3">
        <v>22.613223999999999</v>
      </c>
      <c r="DE38" s="3">
        <v>22.885816999999999</v>
      </c>
      <c r="DF38" s="3">
        <v>22.281832000000001</v>
      </c>
      <c r="DG38" s="3">
        <v>22.584140999999999</v>
      </c>
      <c r="DH38" s="3">
        <v>22.689688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25.332208850000015</v>
      </c>
      <c r="H40" s="3">
        <f>MAX(M40:GJ40)</f>
        <v>30.848942000000001</v>
      </c>
      <c r="I40" s="3">
        <f>MIN(M40:GJ40)</f>
        <v>19.728269999999998</v>
      </c>
      <c r="J40" s="3">
        <f>_xlfn.STDEV.P(M40:GJ40)</f>
        <v>2.2501194325805969</v>
      </c>
      <c r="K40" s="3">
        <f>_xlfn.VAR.S(M40:GJ40)</f>
        <v>5.1141792534109376</v>
      </c>
      <c r="M40" s="3">
        <v>25.498615000000001</v>
      </c>
      <c r="N40" s="3">
        <v>25.568377999999999</v>
      </c>
      <c r="O40" s="3">
        <v>30.829287999999998</v>
      </c>
      <c r="P40" s="3">
        <v>29.553677</v>
      </c>
      <c r="Q40" s="3">
        <v>26.417051000000001</v>
      </c>
      <c r="R40" s="3">
        <v>25.732472999999999</v>
      </c>
      <c r="S40" s="3">
        <v>24.899759</v>
      </c>
      <c r="T40" s="3">
        <v>27.369467</v>
      </c>
      <c r="U40" s="3">
        <v>24.354293999999999</v>
      </c>
      <c r="V40" s="3">
        <v>28.681715000000001</v>
      </c>
      <c r="W40" s="3">
        <v>27.091097000000001</v>
      </c>
      <c r="X40" s="3">
        <v>24.493155999999999</v>
      </c>
      <c r="Y40" s="3">
        <v>24.987814</v>
      </c>
      <c r="Z40" s="3">
        <v>26.759668000000001</v>
      </c>
      <c r="AA40" s="3">
        <v>25.722141000000001</v>
      </c>
      <c r="AB40" s="3">
        <v>25.617000999999998</v>
      </c>
      <c r="AC40" s="3">
        <v>25.574332999999999</v>
      </c>
      <c r="AD40" s="3">
        <v>26.050090999999998</v>
      </c>
      <c r="AE40" s="3">
        <v>26.185755</v>
      </c>
      <c r="AF40" s="3">
        <v>23.152425999999998</v>
      </c>
      <c r="AG40" s="3">
        <v>26.993658</v>
      </c>
      <c r="AH40" s="3">
        <v>28.300184000000002</v>
      </c>
      <c r="AI40" s="3">
        <v>28.692015000000001</v>
      </c>
      <c r="AJ40" s="3">
        <v>23.105822</v>
      </c>
      <c r="AK40" s="3">
        <v>24.197927</v>
      </c>
      <c r="AL40" s="3">
        <v>26.081679999999999</v>
      </c>
      <c r="AM40" s="3">
        <v>24.209709</v>
      </c>
      <c r="AN40" s="3">
        <v>27.245621</v>
      </c>
      <c r="AO40" s="3">
        <v>24.583309</v>
      </c>
      <c r="AP40" s="3">
        <v>28.734300999999999</v>
      </c>
      <c r="AQ40" s="3">
        <v>27.097342999999999</v>
      </c>
      <c r="AR40" s="3">
        <v>23.836127999999999</v>
      </c>
      <c r="AS40" s="3">
        <v>27.770043999999999</v>
      </c>
      <c r="AT40" s="3">
        <v>24.896421</v>
      </c>
      <c r="AU40" s="3">
        <v>29.537544</v>
      </c>
      <c r="AV40" s="3">
        <v>22.742419999999999</v>
      </c>
      <c r="AW40" s="3">
        <v>25.077559999999998</v>
      </c>
      <c r="AX40" s="3">
        <v>26.565187000000002</v>
      </c>
      <c r="AY40" s="3">
        <v>27.050004999999999</v>
      </c>
      <c r="AZ40" s="3">
        <v>25.839523</v>
      </c>
      <c r="BA40" s="3">
        <v>23.40465</v>
      </c>
      <c r="BB40" s="3">
        <v>26.121033000000001</v>
      </c>
      <c r="BC40" s="3">
        <v>27.480072</v>
      </c>
      <c r="BD40" s="3">
        <v>24.454435</v>
      </c>
      <c r="BE40" s="3">
        <v>23.951177999999999</v>
      </c>
      <c r="BF40" s="3">
        <v>27.712842999999999</v>
      </c>
      <c r="BG40" s="3">
        <v>27.532647999999998</v>
      </c>
      <c r="BH40" s="3">
        <v>29.451962000000002</v>
      </c>
      <c r="BI40" s="3">
        <v>24.570463</v>
      </c>
      <c r="BJ40" s="3">
        <v>20.543099999999999</v>
      </c>
      <c r="BK40" s="3">
        <v>24.618041999999999</v>
      </c>
      <c r="BL40" s="3">
        <v>22.927084000000001</v>
      </c>
      <c r="BM40" s="3">
        <v>28.40221</v>
      </c>
      <c r="BN40" s="3">
        <v>25.229396999999999</v>
      </c>
      <c r="BO40" s="3">
        <v>26.527916000000001</v>
      </c>
      <c r="BP40" s="3">
        <v>24.005818999999999</v>
      </c>
      <c r="BQ40" s="3">
        <v>24.991323000000001</v>
      </c>
      <c r="BR40" s="3">
        <v>30.848942000000001</v>
      </c>
      <c r="BS40" s="3">
        <v>19.728269999999998</v>
      </c>
      <c r="BT40" s="3">
        <v>25.380438000000002</v>
      </c>
      <c r="BU40" s="3">
        <v>24.784676000000001</v>
      </c>
      <c r="BV40" s="3">
        <v>23.195855999999999</v>
      </c>
      <c r="BW40" s="3">
        <v>24.752217999999999</v>
      </c>
      <c r="BX40" s="3">
        <v>26.949345000000001</v>
      </c>
      <c r="BY40" s="3">
        <v>22.024768999999999</v>
      </c>
      <c r="BZ40" s="3">
        <v>24.094626999999999</v>
      </c>
      <c r="CA40" s="3">
        <v>26.843983000000001</v>
      </c>
      <c r="CB40" s="3">
        <v>26.376408000000001</v>
      </c>
      <c r="CC40" s="3">
        <v>23.905899000000002</v>
      </c>
      <c r="CD40" s="3">
        <v>26.276947</v>
      </c>
      <c r="CE40" s="3">
        <v>26.943752</v>
      </c>
      <c r="CF40" s="3">
        <v>26.198286</v>
      </c>
      <c r="CG40" s="3">
        <v>26.871649000000001</v>
      </c>
      <c r="CH40" s="3">
        <v>23.710851999999999</v>
      </c>
      <c r="CI40" s="3">
        <v>20.249199000000001</v>
      </c>
      <c r="CJ40" s="3">
        <v>23.301307999999999</v>
      </c>
      <c r="CK40" s="3">
        <v>21.108751000000002</v>
      </c>
      <c r="CL40" s="3">
        <v>26.634834000000001</v>
      </c>
      <c r="CM40" s="3">
        <v>24.957363000000001</v>
      </c>
      <c r="CN40" s="3">
        <v>28.318377999999999</v>
      </c>
      <c r="CO40" s="3">
        <v>22.086099999999998</v>
      </c>
      <c r="CP40" s="3">
        <v>22.224304</v>
      </c>
      <c r="CQ40" s="3">
        <v>26.272494999999999</v>
      </c>
      <c r="CR40" s="3">
        <v>20.780678000000002</v>
      </c>
      <c r="CS40" s="3">
        <v>24.354144999999999</v>
      </c>
      <c r="CT40" s="3">
        <v>22.365217000000001</v>
      </c>
      <c r="CU40" s="3">
        <v>21.488589999999999</v>
      </c>
      <c r="CV40" s="3">
        <v>26.763832000000001</v>
      </c>
      <c r="CW40" s="3">
        <v>22.845980000000001</v>
      </c>
      <c r="CX40" s="3">
        <v>24.760283000000001</v>
      </c>
      <c r="CY40" s="3">
        <v>24.029316000000001</v>
      </c>
      <c r="CZ40" s="3">
        <v>26.893106</v>
      </c>
      <c r="DA40" s="3">
        <v>26.677931000000001</v>
      </c>
      <c r="DB40" s="3">
        <v>25.710751999999999</v>
      </c>
      <c r="DC40" s="3">
        <v>24.496410000000001</v>
      </c>
      <c r="DD40" s="3">
        <v>24.481456999999999</v>
      </c>
      <c r="DE40" s="3">
        <v>22.989571000000002</v>
      </c>
      <c r="DF40" s="3">
        <v>24.683615</v>
      </c>
      <c r="DG40" s="3">
        <v>25.432585</v>
      </c>
      <c r="DH40" s="3">
        <v>21.408992999999999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27.080174590000002</v>
      </c>
      <c r="H42" s="3">
        <f>MAX(M42:GJ42)</f>
        <v>29.834054999999999</v>
      </c>
      <c r="I42" s="3">
        <f>MIN(M42:GJ42)</f>
        <v>25.023282999999999</v>
      </c>
      <c r="J42" s="3">
        <f>_xlfn.STDEV.P(M42:GJ42)</f>
        <v>1.0884108628379092</v>
      </c>
      <c r="K42" s="3">
        <f>_xlfn.VAR.S(M42:GJ42)</f>
        <v>1.1966042488318809</v>
      </c>
      <c r="M42" s="3">
        <v>26.467290999999999</v>
      </c>
      <c r="N42" s="3">
        <v>26.066701999999999</v>
      </c>
      <c r="O42" s="3">
        <v>26.131471999999999</v>
      </c>
      <c r="P42" s="3">
        <v>26.264818000000002</v>
      </c>
      <c r="Q42" s="3">
        <v>27.827044999999998</v>
      </c>
      <c r="R42" s="3">
        <v>25.732718999999999</v>
      </c>
      <c r="S42" s="3">
        <v>28.238060000000001</v>
      </c>
      <c r="T42" s="3">
        <v>28.369947</v>
      </c>
      <c r="U42" s="3">
        <v>28.3353</v>
      </c>
      <c r="V42" s="3">
        <v>26.450146</v>
      </c>
      <c r="W42" s="3">
        <v>27.965976999999999</v>
      </c>
      <c r="X42" s="3">
        <v>28.941610000000001</v>
      </c>
      <c r="Y42" s="3">
        <v>27.548152999999999</v>
      </c>
      <c r="Z42" s="3">
        <v>27.098621000000001</v>
      </c>
      <c r="AA42" s="3">
        <v>28.550025999999999</v>
      </c>
      <c r="AB42" s="3">
        <v>28.7973</v>
      </c>
      <c r="AC42" s="3">
        <v>28.231598000000002</v>
      </c>
      <c r="AD42" s="3">
        <v>26.058176</v>
      </c>
      <c r="AE42" s="3">
        <v>25.742667999999998</v>
      </c>
      <c r="AF42" s="3">
        <v>27.035713000000001</v>
      </c>
      <c r="AG42" s="3">
        <v>28.424782</v>
      </c>
      <c r="AH42" s="3">
        <v>26.832723999999999</v>
      </c>
      <c r="AI42" s="3">
        <v>26.305864</v>
      </c>
      <c r="AJ42" s="3">
        <v>27.104572000000001</v>
      </c>
      <c r="AK42" s="3">
        <v>26.952517</v>
      </c>
      <c r="AL42" s="3">
        <v>27.266542000000001</v>
      </c>
      <c r="AM42" s="3">
        <v>26.346060000000001</v>
      </c>
      <c r="AN42" s="3">
        <v>28.303298999999999</v>
      </c>
      <c r="AO42" s="3">
        <v>26.690279</v>
      </c>
      <c r="AP42" s="3">
        <v>28.152683</v>
      </c>
      <c r="AQ42" s="3">
        <v>28.453790999999999</v>
      </c>
      <c r="AR42" s="3">
        <v>26.607731000000001</v>
      </c>
      <c r="AS42" s="3">
        <v>27.761835000000001</v>
      </c>
      <c r="AT42" s="3">
        <v>26.342746999999999</v>
      </c>
      <c r="AU42" s="3">
        <v>26.766850999999999</v>
      </c>
      <c r="AV42" s="3">
        <v>25.023282999999999</v>
      </c>
      <c r="AW42" s="3">
        <v>25.360849000000002</v>
      </c>
      <c r="AX42" s="3">
        <v>29.100857000000001</v>
      </c>
      <c r="AY42" s="3">
        <v>27.267899</v>
      </c>
      <c r="AZ42" s="3">
        <v>28.070971</v>
      </c>
      <c r="BA42" s="3">
        <v>26.368116000000001</v>
      </c>
      <c r="BB42" s="3">
        <v>26.409842999999999</v>
      </c>
      <c r="BC42" s="3">
        <v>26.821262000000001</v>
      </c>
      <c r="BD42" s="3">
        <v>26.921547</v>
      </c>
      <c r="BE42" s="3">
        <v>25.992813000000002</v>
      </c>
      <c r="BF42" s="3">
        <v>25.843592000000001</v>
      </c>
      <c r="BG42" s="3">
        <v>27.094915</v>
      </c>
      <c r="BH42" s="3">
        <v>27.642654</v>
      </c>
      <c r="BI42" s="3">
        <v>25.783601999999998</v>
      </c>
      <c r="BJ42" s="3">
        <v>25.534679000000001</v>
      </c>
      <c r="BK42" s="3">
        <v>28.475162999999998</v>
      </c>
      <c r="BL42" s="3">
        <v>25.420110999999999</v>
      </c>
      <c r="BM42" s="3">
        <v>26.864802999999998</v>
      </c>
      <c r="BN42" s="3">
        <v>26.018115999999999</v>
      </c>
      <c r="BO42" s="3">
        <v>26.097559</v>
      </c>
      <c r="BP42" s="3">
        <v>26.540462000000002</v>
      </c>
      <c r="BQ42" s="3">
        <v>26.770994000000002</v>
      </c>
      <c r="BR42" s="3">
        <v>25.789114000000001</v>
      </c>
      <c r="BS42" s="3">
        <v>26.555486999999999</v>
      </c>
      <c r="BT42" s="3">
        <v>28.033342000000001</v>
      </c>
      <c r="BU42" s="3">
        <v>28.653867999999999</v>
      </c>
      <c r="BV42" s="3">
        <v>29.834054999999999</v>
      </c>
      <c r="BW42" s="3">
        <v>26.141006000000001</v>
      </c>
      <c r="BX42" s="3">
        <v>25.943871999999999</v>
      </c>
      <c r="BY42" s="3">
        <v>26.685745000000001</v>
      </c>
      <c r="BZ42" s="3">
        <v>26.695277999999998</v>
      </c>
      <c r="CA42" s="3">
        <v>26.967896</v>
      </c>
      <c r="CB42" s="3">
        <v>27.068020000000001</v>
      </c>
      <c r="CC42" s="3">
        <v>26.601177</v>
      </c>
      <c r="CD42" s="3">
        <v>26.118013000000001</v>
      </c>
      <c r="CE42" s="3">
        <v>26.645247999999999</v>
      </c>
      <c r="CF42" s="3">
        <v>27.727561999999999</v>
      </c>
      <c r="CG42" s="3">
        <v>26.989822</v>
      </c>
      <c r="CH42" s="3">
        <v>29.730060999999999</v>
      </c>
      <c r="CI42" s="3">
        <v>26.818439000000001</v>
      </c>
      <c r="CJ42" s="3">
        <v>26.739874</v>
      </c>
      <c r="CK42" s="3">
        <v>28.818987</v>
      </c>
      <c r="CL42" s="3">
        <v>28.945672999999999</v>
      </c>
      <c r="CM42" s="3">
        <v>25.57583</v>
      </c>
      <c r="CN42" s="3">
        <v>26.175894</v>
      </c>
      <c r="CO42" s="3">
        <v>27.135788000000002</v>
      </c>
      <c r="CP42" s="3">
        <v>25.968664</v>
      </c>
      <c r="CQ42" s="3">
        <v>27.716421</v>
      </c>
      <c r="CR42" s="3">
        <v>28.543852000000001</v>
      </c>
      <c r="CS42" s="3">
        <v>27.170428999999999</v>
      </c>
      <c r="CT42" s="3">
        <v>26.081394</v>
      </c>
      <c r="CU42" s="3">
        <v>27.329964</v>
      </c>
      <c r="CV42" s="3">
        <v>28.294283</v>
      </c>
      <c r="CW42" s="3">
        <v>26.567339</v>
      </c>
      <c r="CX42" s="3">
        <v>27.360956000000002</v>
      </c>
      <c r="CY42" s="3">
        <v>28.335153999999999</v>
      </c>
      <c r="CZ42" s="3">
        <v>26.052847</v>
      </c>
      <c r="DA42" s="3">
        <v>26.068459000000001</v>
      </c>
      <c r="DB42" s="3">
        <v>25.814630999999999</v>
      </c>
      <c r="DC42" s="3">
        <v>29.462204</v>
      </c>
      <c r="DD42" s="3">
        <v>28.620453000000001</v>
      </c>
      <c r="DE42" s="3">
        <v>27.937923000000001</v>
      </c>
      <c r="DF42" s="3">
        <v>25.743748</v>
      </c>
      <c r="DG42" s="3">
        <v>25.982019000000001</v>
      </c>
      <c r="DH42" s="3">
        <v>26.986958999999999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19.720072759999997</v>
      </c>
      <c r="H44" s="3">
        <f>MAX(M44:GJ44)</f>
        <v>23.383507000000002</v>
      </c>
      <c r="I44" s="3">
        <f>MIN(M44:GJ44)</f>
        <v>16.228076999999999</v>
      </c>
      <c r="J44" s="3">
        <f>_xlfn.STDEV.P(M44:GJ44)</f>
        <v>1.358949836912916</v>
      </c>
      <c r="K44" s="3">
        <f>_xlfn.VAR.S(M44:GJ44)</f>
        <v>1.8653986457026681</v>
      </c>
      <c r="M44" s="3">
        <v>20.779952999999999</v>
      </c>
      <c r="N44" s="3">
        <v>20.244087</v>
      </c>
      <c r="O44" s="3">
        <v>18.018476</v>
      </c>
      <c r="P44" s="3">
        <v>19.046467</v>
      </c>
      <c r="Q44" s="3">
        <v>20.738707000000002</v>
      </c>
      <c r="R44" s="3">
        <v>18.083462000000001</v>
      </c>
      <c r="S44" s="3">
        <v>20.271280000000001</v>
      </c>
      <c r="T44" s="3">
        <v>16.78294</v>
      </c>
      <c r="U44" s="3">
        <v>20.379866</v>
      </c>
      <c r="V44" s="3">
        <v>20.065978999999999</v>
      </c>
      <c r="W44" s="3">
        <v>20.203748999999998</v>
      </c>
      <c r="X44" s="3">
        <v>23.383507000000002</v>
      </c>
      <c r="Y44" s="3">
        <v>20.509079</v>
      </c>
      <c r="Z44" s="3">
        <v>18.317568000000001</v>
      </c>
      <c r="AA44" s="3">
        <v>18.264389000000001</v>
      </c>
      <c r="AB44" s="3">
        <v>21.108453999999998</v>
      </c>
      <c r="AC44" s="3">
        <v>20.125080000000001</v>
      </c>
      <c r="AD44" s="3">
        <v>20.431913000000002</v>
      </c>
      <c r="AE44" s="3">
        <v>21.719857999999999</v>
      </c>
      <c r="AF44" s="3">
        <v>21.252039</v>
      </c>
      <c r="AG44" s="3">
        <v>19.088187999999999</v>
      </c>
      <c r="AH44" s="3">
        <v>21.441365999999999</v>
      </c>
      <c r="AI44" s="3">
        <v>20.095993</v>
      </c>
      <c r="AJ44" s="3">
        <v>20.954172</v>
      </c>
      <c r="AK44" s="3">
        <v>21.038664000000001</v>
      </c>
      <c r="AL44" s="3">
        <v>19.559832</v>
      </c>
      <c r="AM44" s="3">
        <v>20.087167999999998</v>
      </c>
      <c r="AN44" s="3">
        <v>18.136032</v>
      </c>
      <c r="AO44" s="3">
        <v>19.782305000000001</v>
      </c>
      <c r="AP44" s="3">
        <v>20.389956999999999</v>
      </c>
      <c r="AQ44" s="3">
        <v>18.789632999999998</v>
      </c>
      <c r="AR44" s="3">
        <v>18.980958999999999</v>
      </c>
      <c r="AS44" s="3">
        <v>17.710228000000001</v>
      </c>
      <c r="AT44" s="3">
        <v>23.064238</v>
      </c>
      <c r="AU44" s="3">
        <v>19.752154999999998</v>
      </c>
      <c r="AV44" s="3">
        <v>18.932312</v>
      </c>
      <c r="AW44" s="3">
        <v>20.859821</v>
      </c>
      <c r="AX44" s="3">
        <v>19.876187999999999</v>
      </c>
      <c r="AY44" s="3">
        <v>19.752886</v>
      </c>
      <c r="AZ44" s="3">
        <v>17.443607</v>
      </c>
      <c r="BA44" s="3">
        <v>20.112772</v>
      </c>
      <c r="BB44" s="3">
        <v>19.570685999999998</v>
      </c>
      <c r="BC44" s="3">
        <v>20.969474999999999</v>
      </c>
      <c r="BD44" s="3">
        <v>20.292002</v>
      </c>
      <c r="BE44" s="3">
        <v>18.948785999999998</v>
      </c>
      <c r="BF44" s="3">
        <v>19.619667</v>
      </c>
      <c r="BG44" s="3">
        <v>21.381772999999999</v>
      </c>
      <c r="BH44" s="3">
        <v>19.376902000000001</v>
      </c>
      <c r="BI44" s="3">
        <v>18.121679</v>
      </c>
      <c r="BJ44" s="3">
        <v>19.000114</v>
      </c>
      <c r="BK44" s="3">
        <v>18.801801999999999</v>
      </c>
      <c r="BL44" s="3">
        <v>19.581403999999999</v>
      </c>
      <c r="BM44" s="3">
        <v>19.993292</v>
      </c>
      <c r="BN44" s="3">
        <v>18.634823000000001</v>
      </c>
      <c r="BO44" s="3">
        <v>18.612470999999999</v>
      </c>
      <c r="BP44" s="3">
        <v>19.865057</v>
      </c>
      <c r="BQ44" s="3">
        <v>18.635534</v>
      </c>
      <c r="BR44" s="3">
        <v>21.057162999999999</v>
      </c>
      <c r="BS44" s="3">
        <v>20.862389</v>
      </c>
      <c r="BT44" s="3">
        <v>17.090816</v>
      </c>
      <c r="BU44" s="3">
        <v>19.030722000000001</v>
      </c>
      <c r="BV44" s="3">
        <v>19.062176000000001</v>
      </c>
      <c r="BW44" s="3">
        <v>16.441996</v>
      </c>
      <c r="BX44" s="3">
        <v>21.121267</v>
      </c>
      <c r="BY44" s="3">
        <v>19.303360000000001</v>
      </c>
      <c r="BZ44" s="3">
        <v>19.354203999999999</v>
      </c>
      <c r="CA44" s="3">
        <v>20.716408000000001</v>
      </c>
      <c r="CB44" s="3">
        <v>19.420024999999999</v>
      </c>
      <c r="CC44" s="3">
        <v>20.245764000000001</v>
      </c>
      <c r="CD44" s="3">
        <v>19.771249999999998</v>
      </c>
      <c r="CE44" s="3">
        <v>16.616947</v>
      </c>
      <c r="CF44" s="3">
        <v>21.959420999999999</v>
      </c>
      <c r="CG44" s="3">
        <v>16.228076999999999</v>
      </c>
      <c r="CH44" s="3">
        <v>19.348673000000002</v>
      </c>
      <c r="CI44" s="3">
        <v>21.069181</v>
      </c>
      <c r="CJ44" s="3">
        <v>20.266031000000002</v>
      </c>
      <c r="CK44" s="3">
        <v>19.684609999999999</v>
      </c>
      <c r="CL44" s="3">
        <v>21.668451000000001</v>
      </c>
      <c r="CM44" s="3">
        <v>20.558252</v>
      </c>
      <c r="CN44" s="3">
        <v>18.121587999999999</v>
      </c>
      <c r="CO44" s="3">
        <v>18.794096</v>
      </c>
      <c r="CP44" s="3">
        <v>17.482209999999998</v>
      </c>
      <c r="CQ44" s="3">
        <v>21.402629999999998</v>
      </c>
      <c r="CR44" s="3">
        <v>21.165472000000001</v>
      </c>
      <c r="CS44" s="3">
        <v>18.165828999999999</v>
      </c>
      <c r="CT44" s="3">
        <v>19.359276000000001</v>
      </c>
      <c r="CU44" s="3">
        <v>21.090927000000001</v>
      </c>
      <c r="CV44" s="3">
        <v>20.167456000000001</v>
      </c>
      <c r="CW44" s="3">
        <v>18.694358999999999</v>
      </c>
      <c r="CX44" s="3">
        <v>19.925305999999999</v>
      </c>
      <c r="CY44" s="3">
        <v>21.306009</v>
      </c>
      <c r="CZ44" s="3">
        <v>20.630215</v>
      </c>
      <c r="DA44" s="3">
        <v>20.412685</v>
      </c>
      <c r="DB44" s="3">
        <v>21.220728000000001</v>
      </c>
      <c r="DC44" s="3">
        <v>18.873795000000001</v>
      </c>
      <c r="DD44" s="3">
        <v>19.308769000000002</v>
      </c>
      <c r="DE44" s="3">
        <v>20.696762</v>
      </c>
      <c r="DF44" s="3">
        <v>17.174900000000001</v>
      </c>
      <c r="DG44" s="3">
        <v>20.153399</v>
      </c>
      <c r="DH44" s="3">
        <v>20.002886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20.664226470000003</v>
      </c>
      <c r="H46" s="3">
        <f>MAX(M46:GJ46)</f>
        <v>25.397601999999999</v>
      </c>
      <c r="I46" s="3">
        <f>MIN(M46:GJ46)</f>
        <v>15.295863000000001</v>
      </c>
      <c r="J46" s="3">
        <f>_xlfn.STDEV.P(M46:GJ46)</f>
        <v>2.343671063999202</v>
      </c>
      <c r="K46" s="3">
        <f>_xlfn.VAR.S(M46:GJ46)</f>
        <v>5.548276824471932</v>
      </c>
      <c r="M46" s="3">
        <v>19.752949000000001</v>
      </c>
      <c r="N46" s="3">
        <v>23.559286</v>
      </c>
      <c r="O46" s="3">
        <v>18.854400999999999</v>
      </c>
      <c r="P46" s="3">
        <v>24.876609999999999</v>
      </c>
      <c r="Q46" s="3">
        <v>21.521367999999999</v>
      </c>
      <c r="R46" s="3">
        <v>23.113216000000001</v>
      </c>
      <c r="S46" s="3">
        <v>21.319327999999999</v>
      </c>
      <c r="T46" s="3">
        <v>20.498943000000001</v>
      </c>
      <c r="U46" s="3">
        <v>19.751685999999999</v>
      </c>
      <c r="V46" s="3">
        <v>22.530436999999999</v>
      </c>
      <c r="W46" s="3">
        <v>23.615614000000001</v>
      </c>
      <c r="X46" s="3">
        <v>21.930149</v>
      </c>
      <c r="Y46" s="3">
        <v>22.877801999999999</v>
      </c>
      <c r="Z46" s="3">
        <v>16.710878000000001</v>
      </c>
      <c r="AA46" s="3">
        <v>20.439444000000002</v>
      </c>
      <c r="AB46" s="3">
        <v>19.326529000000001</v>
      </c>
      <c r="AC46" s="3">
        <v>17.620466</v>
      </c>
      <c r="AD46" s="3">
        <v>18.277066999999999</v>
      </c>
      <c r="AE46" s="3">
        <v>21.391413</v>
      </c>
      <c r="AF46" s="3">
        <v>22.862342999999999</v>
      </c>
      <c r="AG46" s="3">
        <v>17.747612</v>
      </c>
      <c r="AH46" s="3">
        <v>24.855765999999999</v>
      </c>
      <c r="AI46" s="3">
        <v>21.829968999999998</v>
      </c>
      <c r="AJ46" s="3">
        <v>18.307918999999998</v>
      </c>
      <c r="AK46" s="3">
        <v>22.370602000000002</v>
      </c>
      <c r="AL46" s="3">
        <v>18.256057999999999</v>
      </c>
      <c r="AM46" s="3">
        <v>20.582799999999999</v>
      </c>
      <c r="AN46" s="3">
        <v>19.701270999999998</v>
      </c>
      <c r="AO46" s="3">
        <v>18.234226</v>
      </c>
      <c r="AP46" s="3">
        <v>18.632345000000001</v>
      </c>
      <c r="AQ46" s="3">
        <v>24.128088000000002</v>
      </c>
      <c r="AR46" s="3">
        <v>23.926532999999999</v>
      </c>
      <c r="AS46" s="3">
        <v>17.064011000000001</v>
      </c>
      <c r="AT46" s="3">
        <v>22.982890999999999</v>
      </c>
      <c r="AU46" s="3">
        <v>18.214741</v>
      </c>
      <c r="AV46" s="3">
        <v>18.494596000000001</v>
      </c>
      <c r="AW46" s="3">
        <v>22.398260000000001</v>
      </c>
      <c r="AX46" s="3">
        <v>19.975270999999999</v>
      </c>
      <c r="AY46" s="3">
        <v>22.496689</v>
      </c>
      <c r="AZ46" s="3">
        <v>24.221454999999999</v>
      </c>
      <c r="BA46" s="3">
        <v>19.829816999999998</v>
      </c>
      <c r="BB46" s="3">
        <v>18.277622000000001</v>
      </c>
      <c r="BC46" s="3">
        <v>22.584465000000002</v>
      </c>
      <c r="BD46" s="3">
        <v>20.729116000000001</v>
      </c>
      <c r="BE46" s="3">
        <v>19.136084</v>
      </c>
      <c r="BF46" s="3">
        <v>24.781690999999999</v>
      </c>
      <c r="BG46" s="3">
        <v>19.334095000000001</v>
      </c>
      <c r="BH46" s="3">
        <v>23.515561999999999</v>
      </c>
      <c r="BI46" s="3">
        <v>20.387073999999998</v>
      </c>
      <c r="BJ46" s="3">
        <v>22.912770999999999</v>
      </c>
      <c r="BK46" s="3">
        <v>21.724761999999998</v>
      </c>
      <c r="BL46" s="3">
        <v>21.193300000000001</v>
      </c>
      <c r="BM46" s="3">
        <v>16.889771</v>
      </c>
      <c r="BN46" s="3">
        <v>19.484279999999998</v>
      </c>
      <c r="BO46" s="3">
        <v>18.588327</v>
      </c>
      <c r="BP46" s="3">
        <v>24.131080999999998</v>
      </c>
      <c r="BQ46" s="3">
        <v>19.531002000000001</v>
      </c>
      <c r="BR46" s="3">
        <v>20.754860000000001</v>
      </c>
      <c r="BS46" s="3">
        <v>20.597994</v>
      </c>
      <c r="BT46" s="3">
        <v>21.458765</v>
      </c>
      <c r="BU46" s="3">
        <v>23.167573999999998</v>
      </c>
      <c r="BV46" s="3">
        <v>21.678101999999999</v>
      </c>
      <c r="BW46" s="3">
        <v>21.942739</v>
      </c>
      <c r="BX46" s="3">
        <v>19.973022</v>
      </c>
      <c r="BY46" s="3">
        <v>25.397601999999999</v>
      </c>
      <c r="BZ46" s="3">
        <v>15.924953</v>
      </c>
      <c r="CA46" s="3">
        <v>19.661171</v>
      </c>
      <c r="CB46" s="3">
        <v>24.224070000000001</v>
      </c>
      <c r="CC46" s="3">
        <v>18.972408000000001</v>
      </c>
      <c r="CD46" s="3">
        <v>22.767059</v>
      </c>
      <c r="CE46" s="3">
        <v>21.577202</v>
      </c>
      <c r="CF46" s="3">
        <v>18.907373</v>
      </c>
      <c r="CG46" s="3">
        <v>22.505447</v>
      </c>
      <c r="CH46" s="3">
        <v>23.269013999999999</v>
      </c>
      <c r="CI46" s="3">
        <v>22.898623000000001</v>
      </c>
      <c r="CJ46" s="3">
        <v>18.267477</v>
      </c>
      <c r="CK46" s="3">
        <v>15.295863000000001</v>
      </c>
      <c r="CL46" s="3">
        <v>21.614100000000001</v>
      </c>
      <c r="CM46" s="3">
        <v>18.506117</v>
      </c>
      <c r="CN46" s="3">
        <v>18.585096</v>
      </c>
      <c r="CO46" s="3">
        <v>18.674751000000001</v>
      </c>
      <c r="CP46" s="3">
        <v>18.038588000000001</v>
      </c>
      <c r="CQ46" s="3">
        <v>23.492826000000001</v>
      </c>
      <c r="CR46" s="3">
        <v>17.351202000000001</v>
      </c>
      <c r="CS46" s="3">
        <v>22.473579000000001</v>
      </c>
      <c r="CT46" s="3">
        <v>19.586341999999998</v>
      </c>
      <c r="CU46" s="3">
        <v>17.323395000000001</v>
      </c>
      <c r="CV46" s="3">
        <v>20.082186</v>
      </c>
      <c r="CW46" s="3">
        <v>15.593392</v>
      </c>
      <c r="CX46" s="3">
        <v>18.622710999999999</v>
      </c>
      <c r="CY46" s="3">
        <v>23.765723999999999</v>
      </c>
      <c r="CZ46" s="3">
        <v>18.039401999999999</v>
      </c>
      <c r="DA46" s="3">
        <v>21.454632</v>
      </c>
      <c r="DB46" s="3">
        <v>19.568456999999999</v>
      </c>
      <c r="DC46" s="3">
        <v>18.533242999999999</v>
      </c>
      <c r="DD46" s="3">
        <v>19.920717</v>
      </c>
      <c r="DE46" s="3">
        <v>20.124662000000001</v>
      </c>
      <c r="DF46" s="3">
        <v>21.390982000000001</v>
      </c>
      <c r="DG46" s="3">
        <v>22.501024000000001</v>
      </c>
      <c r="DH46" s="3">
        <v>23.656348999999999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</row>
    <row r="48" spans="2:207" x14ac:dyDescent="0.2">
      <c r="D48" s="1"/>
    </row>
    <row r="49" spans="2:207" x14ac:dyDescent="0.2">
      <c r="B49" t="s">
        <v>59</v>
      </c>
      <c r="D49" s="1" t="s">
        <v>32</v>
      </c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24.183460799999988</v>
      </c>
      <c r="H50" s="3">
        <f>MAX(M50:GJ50)</f>
        <v>30.27338</v>
      </c>
      <c r="I50" s="3">
        <f>MIN(M50:GJ50)</f>
        <v>22.120543000000001</v>
      </c>
      <c r="J50" s="3">
        <f>_xlfn.STDEV.P(M50:GJ50)</f>
        <v>1.7748485986574236</v>
      </c>
      <c r="K50" s="3">
        <f>_xlfn.VAR.S(M50:GJ50)</f>
        <v>3.181906614299213</v>
      </c>
      <c r="M50" s="3">
        <v>22.619495000000001</v>
      </c>
      <c r="N50" s="3">
        <v>25.314163000000001</v>
      </c>
      <c r="O50" s="3">
        <v>22.723692</v>
      </c>
      <c r="P50" s="3">
        <v>27.030231000000001</v>
      </c>
      <c r="Q50" s="3">
        <v>22.614822</v>
      </c>
      <c r="R50" s="3">
        <v>24.042786</v>
      </c>
      <c r="S50" s="3">
        <v>24.592516</v>
      </c>
      <c r="T50" s="3">
        <v>24.288174000000001</v>
      </c>
      <c r="U50" s="3">
        <v>23.154501</v>
      </c>
      <c r="V50" s="3">
        <v>23.391642000000001</v>
      </c>
      <c r="W50" s="3">
        <v>25.041799999999999</v>
      </c>
      <c r="X50" s="3">
        <v>22.795261</v>
      </c>
      <c r="Y50" s="3">
        <v>27.333973</v>
      </c>
      <c r="Z50" s="3">
        <v>23.048428999999999</v>
      </c>
      <c r="AA50" s="3">
        <v>22.989692999999999</v>
      </c>
      <c r="AB50" s="3">
        <v>24.585923999999999</v>
      </c>
      <c r="AC50" s="3">
        <v>22.808346</v>
      </c>
      <c r="AD50" s="3">
        <v>27.255793000000001</v>
      </c>
      <c r="AE50" s="3">
        <v>28.566386999999999</v>
      </c>
      <c r="AF50" s="3">
        <v>22.907637000000001</v>
      </c>
      <c r="AG50" s="3">
        <v>22.916803000000002</v>
      </c>
      <c r="AH50" s="3">
        <v>24.633177</v>
      </c>
      <c r="AI50" s="3">
        <v>23.987925000000001</v>
      </c>
      <c r="AJ50" s="3">
        <v>23.961030999999998</v>
      </c>
      <c r="AK50" s="3">
        <v>27.732233000000001</v>
      </c>
      <c r="AL50" s="3">
        <v>22.436025999999998</v>
      </c>
      <c r="AM50" s="3">
        <v>24.845675</v>
      </c>
      <c r="AN50" s="3">
        <v>22.614744000000002</v>
      </c>
      <c r="AO50" s="3">
        <v>28.201046000000002</v>
      </c>
      <c r="AP50" s="3">
        <v>24.484466999999999</v>
      </c>
      <c r="AQ50" s="3">
        <v>23.114853</v>
      </c>
      <c r="AR50" s="3">
        <v>27.113209000000001</v>
      </c>
      <c r="AS50" s="3">
        <v>23.591643999999999</v>
      </c>
      <c r="AT50" s="3">
        <v>24.225397000000001</v>
      </c>
      <c r="AU50" s="3">
        <v>22.638923999999999</v>
      </c>
      <c r="AV50" s="3">
        <v>30.27338</v>
      </c>
      <c r="AW50" s="3">
        <v>22.505285000000001</v>
      </c>
      <c r="AX50" s="3">
        <v>25.677347000000001</v>
      </c>
      <c r="AY50" s="3">
        <v>24.033439999999999</v>
      </c>
      <c r="AZ50" s="3">
        <v>23.184149000000001</v>
      </c>
      <c r="BA50" s="3">
        <v>25.742815</v>
      </c>
      <c r="BB50" s="3">
        <v>25.612739999999999</v>
      </c>
      <c r="BC50" s="3">
        <v>23.829730999999999</v>
      </c>
      <c r="BD50" s="3">
        <v>24.323847000000001</v>
      </c>
      <c r="BE50" s="3">
        <v>24.784973000000001</v>
      </c>
      <c r="BF50" s="3">
        <v>24.444458000000001</v>
      </c>
      <c r="BG50" s="3">
        <v>29.073955999999999</v>
      </c>
      <c r="BH50" s="3">
        <v>22.641005</v>
      </c>
      <c r="BI50" s="3">
        <v>23.291260000000001</v>
      </c>
      <c r="BJ50" s="3">
        <v>24.842890000000001</v>
      </c>
      <c r="BK50" s="3">
        <v>23.319455999999999</v>
      </c>
      <c r="BL50" s="3">
        <v>27.394553999999999</v>
      </c>
      <c r="BM50" s="3">
        <v>23.269853999999999</v>
      </c>
      <c r="BN50" s="3">
        <v>27.240976</v>
      </c>
      <c r="BO50" s="3">
        <v>22.254667000000001</v>
      </c>
      <c r="BP50" s="3">
        <v>23.373505000000002</v>
      </c>
      <c r="BQ50" s="3">
        <v>22.700899</v>
      </c>
      <c r="BR50" s="3">
        <v>23.914411999999999</v>
      </c>
      <c r="BS50" s="3">
        <v>23.394317999999998</v>
      </c>
      <c r="BT50" s="3">
        <v>23.132249999999999</v>
      </c>
      <c r="BU50" s="3">
        <v>22.775670999999999</v>
      </c>
      <c r="BV50" s="3">
        <v>22.989640999999999</v>
      </c>
      <c r="BW50" s="3">
        <v>22.886053</v>
      </c>
      <c r="BX50" s="3">
        <v>24.008831000000001</v>
      </c>
      <c r="BY50" s="3">
        <v>24.528320000000001</v>
      </c>
      <c r="BZ50" s="3">
        <v>24.777632000000001</v>
      </c>
      <c r="CA50" s="3">
        <v>25.161245000000001</v>
      </c>
      <c r="CB50" s="3">
        <v>27.668970000000002</v>
      </c>
      <c r="CC50" s="3">
        <v>27.483274000000002</v>
      </c>
      <c r="CD50" s="3">
        <v>23.520502</v>
      </c>
      <c r="CE50" s="3">
        <v>22.695022999999999</v>
      </c>
      <c r="CF50" s="3">
        <v>25.189526000000001</v>
      </c>
      <c r="CG50" s="3">
        <v>23.686319000000001</v>
      </c>
      <c r="CH50" s="3">
        <v>23.463812000000001</v>
      </c>
      <c r="CI50" s="3">
        <v>27.897189999999998</v>
      </c>
      <c r="CJ50" s="3">
        <v>22.952473000000001</v>
      </c>
      <c r="CK50" s="3">
        <v>22.900780000000001</v>
      </c>
      <c r="CL50" s="3">
        <v>22.483046999999999</v>
      </c>
      <c r="CM50" s="3">
        <v>22.674505</v>
      </c>
      <c r="CN50" s="3">
        <v>22.470700999999998</v>
      </c>
      <c r="CO50" s="3">
        <v>23.023928000000002</v>
      </c>
      <c r="CP50" s="3">
        <v>23.688126</v>
      </c>
      <c r="CQ50" s="3">
        <v>23.084833</v>
      </c>
      <c r="CR50" s="3">
        <v>22.722964999999999</v>
      </c>
      <c r="CS50" s="3">
        <v>22.878439</v>
      </c>
      <c r="CT50" s="3">
        <v>22.524166000000001</v>
      </c>
      <c r="CU50" s="3">
        <v>24.071873</v>
      </c>
      <c r="CV50" s="3">
        <v>23.958237</v>
      </c>
      <c r="CW50" s="3">
        <v>22.315436999999999</v>
      </c>
      <c r="CX50" s="3">
        <v>25.099444999999999</v>
      </c>
      <c r="CY50" s="3">
        <v>22.120543000000001</v>
      </c>
      <c r="CZ50" s="3">
        <v>23.634747999999998</v>
      </c>
      <c r="DA50" s="3">
        <v>26.992664000000001</v>
      </c>
      <c r="DB50" s="3">
        <v>23.925070000000002</v>
      </c>
      <c r="DC50" s="3">
        <v>22.429684000000002</v>
      </c>
      <c r="DD50" s="3">
        <v>22.915924</v>
      </c>
      <c r="DE50" s="3">
        <v>23.483135000000001</v>
      </c>
      <c r="DF50" s="3">
        <v>22.472352999999998</v>
      </c>
      <c r="DG50" s="3">
        <v>23.682079000000002</v>
      </c>
      <c r="DH50" s="3">
        <v>23.250330000000002</v>
      </c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26.642639669999991</v>
      </c>
      <c r="H52" s="3">
        <f>MAX(M52:GJ52)</f>
        <v>31.909310999999999</v>
      </c>
      <c r="I52" s="3">
        <f>MIN(M52:GJ52)</f>
        <v>22.260672</v>
      </c>
      <c r="J52" s="3">
        <f>_xlfn.STDEV.P(M52:GJ52)</f>
        <v>1.9481779049503878</v>
      </c>
      <c r="K52" s="3">
        <f>_xlfn.VAR.S(M52:GJ52)</f>
        <v>3.8337344942796787</v>
      </c>
      <c r="M52" s="3">
        <v>24.310853999999999</v>
      </c>
      <c r="N52" s="3">
        <v>25.045565</v>
      </c>
      <c r="O52" s="3">
        <v>30.171952999999998</v>
      </c>
      <c r="P52" s="3">
        <v>29.257607</v>
      </c>
      <c r="Q52" s="3">
        <v>25.856739000000001</v>
      </c>
      <c r="R52" s="3">
        <v>24.821711000000001</v>
      </c>
      <c r="S52" s="3">
        <v>25.521554999999999</v>
      </c>
      <c r="T52" s="3">
        <v>27.587667</v>
      </c>
      <c r="U52" s="3">
        <v>25.565124999999998</v>
      </c>
      <c r="V52" s="3">
        <v>26.493663999999999</v>
      </c>
      <c r="W52" s="3">
        <v>25.058661000000001</v>
      </c>
      <c r="X52" s="3">
        <v>26.379580000000001</v>
      </c>
      <c r="Y52" s="3">
        <v>27.913944000000001</v>
      </c>
      <c r="Z52" s="3">
        <v>23.66029</v>
      </c>
      <c r="AA52" s="3">
        <v>29.831551000000001</v>
      </c>
      <c r="AB52" s="3">
        <v>24.992754000000001</v>
      </c>
      <c r="AC52" s="3">
        <v>23.312073000000002</v>
      </c>
      <c r="AD52" s="3">
        <v>24.301525000000002</v>
      </c>
      <c r="AE52" s="3">
        <v>26.480544999999999</v>
      </c>
      <c r="AF52" s="3">
        <v>24.886182999999999</v>
      </c>
      <c r="AG52" s="3">
        <v>26.020621999999999</v>
      </c>
      <c r="AH52" s="3">
        <v>24.378761000000001</v>
      </c>
      <c r="AI52" s="3">
        <v>28.328724000000001</v>
      </c>
      <c r="AJ52" s="3">
        <v>27.588583</v>
      </c>
      <c r="AK52" s="3">
        <v>31.909310999999999</v>
      </c>
      <c r="AL52" s="3">
        <v>28.344027000000001</v>
      </c>
      <c r="AM52" s="3">
        <v>27.761520000000001</v>
      </c>
      <c r="AN52" s="3">
        <v>26.839151000000001</v>
      </c>
      <c r="AO52" s="3">
        <v>27.921140999999999</v>
      </c>
      <c r="AP52" s="3">
        <v>29.718181999999999</v>
      </c>
      <c r="AQ52" s="3">
        <v>30.528431000000001</v>
      </c>
      <c r="AR52" s="3">
        <v>24.426431999999998</v>
      </c>
      <c r="AS52" s="3">
        <v>25.923238999999999</v>
      </c>
      <c r="AT52" s="3">
        <v>28.585144</v>
      </c>
      <c r="AU52" s="3">
        <v>25.010984000000001</v>
      </c>
      <c r="AV52" s="3">
        <v>24.492032999999999</v>
      </c>
      <c r="AW52" s="3">
        <v>23.655131999999998</v>
      </c>
      <c r="AX52" s="3">
        <v>26.248913000000002</v>
      </c>
      <c r="AY52" s="3">
        <v>26.262722</v>
      </c>
      <c r="AZ52" s="3">
        <v>29.752344000000001</v>
      </c>
      <c r="BA52" s="3">
        <v>24.585649</v>
      </c>
      <c r="BB52" s="3">
        <v>25.018526000000001</v>
      </c>
      <c r="BC52" s="3">
        <v>28.744745000000002</v>
      </c>
      <c r="BD52" s="3">
        <v>25.277018000000002</v>
      </c>
      <c r="BE52" s="3">
        <v>27.394504999999999</v>
      </c>
      <c r="BF52" s="3">
        <v>25.612819999999999</v>
      </c>
      <c r="BG52" s="3">
        <v>26.941904000000001</v>
      </c>
      <c r="BH52" s="3">
        <v>29.983018999999999</v>
      </c>
      <c r="BI52" s="3">
        <v>28.367920000000002</v>
      </c>
      <c r="BJ52" s="3">
        <v>26.946947000000002</v>
      </c>
      <c r="BK52" s="3">
        <v>27.944573999999999</v>
      </c>
      <c r="BL52" s="3">
        <v>30.367107000000001</v>
      </c>
      <c r="BM52" s="3">
        <v>30.542020999999998</v>
      </c>
      <c r="BN52" s="3">
        <v>29.059446000000001</v>
      </c>
      <c r="BO52" s="3">
        <v>26.865739999999999</v>
      </c>
      <c r="BP52" s="3">
        <v>26.365462999999998</v>
      </c>
      <c r="BQ52" s="3">
        <v>24.579875999999999</v>
      </c>
      <c r="BR52" s="3">
        <v>28.894338999999999</v>
      </c>
      <c r="BS52" s="3">
        <v>24.929217999999999</v>
      </c>
      <c r="BT52" s="3">
        <v>25.097225000000002</v>
      </c>
      <c r="BU52" s="3">
        <v>27.348654</v>
      </c>
      <c r="BV52" s="3">
        <v>23.500191000000001</v>
      </c>
      <c r="BW52" s="3">
        <v>25.7806</v>
      </c>
      <c r="BX52" s="3">
        <v>24.250360000000001</v>
      </c>
      <c r="BY52" s="3">
        <v>25.685827</v>
      </c>
      <c r="BZ52" s="3">
        <v>27.726382999999998</v>
      </c>
      <c r="CA52" s="3">
        <v>26.865729999999999</v>
      </c>
      <c r="CB52" s="3">
        <v>27.191904000000001</v>
      </c>
      <c r="CC52" s="3">
        <v>27.919922</v>
      </c>
      <c r="CD52" s="3">
        <v>27.654648000000002</v>
      </c>
      <c r="CE52" s="3">
        <v>26.930401</v>
      </c>
      <c r="CF52" s="3">
        <v>25.837119999999999</v>
      </c>
      <c r="CG52" s="3">
        <v>26.989567000000001</v>
      </c>
      <c r="CH52" s="3">
        <v>27.821670999999998</v>
      </c>
      <c r="CI52" s="3">
        <v>28.860742999999999</v>
      </c>
      <c r="CJ52" s="3">
        <v>27.544267999999999</v>
      </c>
      <c r="CK52" s="3">
        <v>27.710695000000001</v>
      </c>
      <c r="CL52" s="3">
        <v>27.311133999999999</v>
      </c>
      <c r="CM52" s="3">
        <v>28.497534000000002</v>
      </c>
      <c r="CN52" s="3">
        <v>30.061518</v>
      </c>
      <c r="CO52" s="3">
        <v>24.510265</v>
      </c>
      <c r="CP52" s="3">
        <v>22.260672</v>
      </c>
      <c r="CQ52" s="3">
        <v>25.217859000000001</v>
      </c>
      <c r="CR52" s="3">
        <v>26.136976000000001</v>
      </c>
      <c r="CS52" s="3">
        <v>23.554258000000001</v>
      </c>
      <c r="CT52" s="3">
        <v>25.225418000000001</v>
      </c>
      <c r="CU52" s="3">
        <v>24.616748999999999</v>
      </c>
      <c r="CV52" s="3">
        <v>28.580286000000001</v>
      </c>
      <c r="CW52" s="3">
        <v>23.432865</v>
      </c>
      <c r="CX52" s="3">
        <v>27.013594000000001</v>
      </c>
      <c r="CY52" s="3">
        <v>26.155339999999999</v>
      </c>
      <c r="CZ52" s="3">
        <v>26.074596</v>
      </c>
      <c r="DA52" s="3">
        <v>26.343985</v>
      </c>
      <c r="DB52" s="3">
        <v>26.272881000000002</v>
      </c>
      <c r="DC52" s="3">
        <v>26.739263999999999</v>
      </c>
      <c r="DD52" s="3">
        <v>26.316320000000001</v>
      </c>
      <c r="DE52" s="3">
        <v>25.913691</v>
      </c>
      <c r="DF52" s="3">
        <v>25.075589999999998</v>
      </c>
      <c r="DG52" s="3">
        <v>25.246075000000001</v>
      </c>
      <c r="DH52" s="3">
        <v>29.425408999999998</v>
      </c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25.791503839999997</v>
      </c>
      <c r="H54" s="3">
        <f>MAX(M54:GJ54)</f>
        <v>29.080905999999999</v>
      </c>
      <c r="I54" s="3">
        <f>MIN(M54:GJ54)</f>
        <v>23.395941000000001</v>
      </c>
      <c r="J54" s="3">
        <f>_xlfn.STDEV.P(M54:GJ54)</f>
        <v>1.2185129313567644</v>
      </c>
      <c r="K54" s="3">
        <f>_xlfn.VAR.S(M54:GJ54)</f>
        <v>1.4997714786703586</v>
      </c>
      <c r="M54" s="3">
        <v>25.066271</v>
      </c>
      <c r="N54" s="3">
        <v>24.143243999999999</v>
      </c>
      <c r="O54" s="3">
        <v>25.381746</v>
      </c>
      <c r="P54" s="3">
        <v>24.819009999999999</v>
      </c>
      <c r="Q54" s="3">
        <v>25.788464000000001</v>
      </c>
      <c r="R54" s="3">
        <v>24.006273</v>
      </c>
      <c r="S54" s="3">
        <v>26.725771000000002</v>
      </c>
      <c r="T54" s="3">
        <v>25.579194999999999</v>
      </c>
      <c r="U54" s="3">
        <v>28.300621</v>
      </c>
      <c r="V54" s="3">
        <v>25.146854000000001</v>
      </c>
      <c r="W54" s="3">
        <v>27.852163000000001</v>
      </c>
      <c r="X54" s="3">
        <v>28.285703999999999</v>
      </c>
      <c r="Y54" s="3">
        <v>26.703057999999999</v>
      </c>
      <c r="Z54" s="3">
        <v>25.427996</v>
      </c>
      <c r="AA54" s="3">
        <v>26.393357999999999</v>
      </c>
      <c r="AB54" s="3">
        <v>27.004705000000001</v>
      </c>
      <c r="AC54" s="3">
        <v>25.967613</v>
      </c>
      <c r="AD54" s="3">
        <v>24.081758000000001</v>
      </c>
      <c r="AE54" s="3">
        <v>25.0229</v>
      </c>
      <c r="AF54" s="3">
        <v>26.131927000000001</v>
      </c>
      <c r="AG54" s="3">
        <v>28.062847000000001</v>
      </c>
      <c r="AH54" s="3">
        <v>25.081866999999999</v>
      </c>
      <c r="AI54" s="3">
        <v>25.033234</v>
      </c>
      <c r="AJ54" s="3">
        <v>26.973414999999999</v>
      </c>
      <c r="AK54" s="3">
        <v>25.626204000000001</v>
      </c>
      <c r="AL54" s="3">
        <v>25.283111999999999</v>
      </c>
      <c r="AM54" s="3">
        <v>26.183153000000001</v>
      </c>
      <c r="AN54" s="3">
        <v>27.241890000000001</v>
      </c>
      <c r="AO54" s="3">
        <v>24.278794999999999</v>
      </c>
      <c r="AP54" s="3">
        <v>25.912185999999998</v>
      </c>
      <c r="AQ54" s="3">
        <v>26.117004000000001</v>
      </c>
      <c r="AR54" s="3">
        <v>25.620878000000001</v>
      </c>
      <c r="AS54" s="3">
        <v>26.191496000000001</v>
      </c>
      <c r="AT54" s="3">
        <v>24.812584000000001</v>
      </c>
      <c r="AU54" s="3">
        <v>24.398933</v>
      </c>
      <c r="AV54" s="3">
        <v>24.366026000000002</v>
      </c>
      <c r="AW54" s="3">
        <v>25.749599</v>
      </c>
      <c r="AX54" s="3">
        <v>26.830124000000001</v>
      </c>
      <c r="AY54" s="3">
        <v>25.420656000000001</v>
      </c>
      <c r="AZ54" s="3">
        <v>27.644371</v>
      </c>
      <c r="BA54" s="3">
        <v>25.190819000000001</v>
      </c>
      <c r="BB54" s="3">
        <v>24.644566000000001</v>
      </c>
      <c r="BC54" s="3">
        <v>24.298555</v>
      </c>
      <c r="BD54" s="3">
        <v>26.436584</v>
      </c>
      <c r="BE54" s="3">
        <v>25.351492</v>
      </c>
      <c r="BF54" s="3">
        <v>24.751318000000001</v>
      </c>
      <c r="BG54" s="3">
        <v>25.730639</v>
      </c>
      <c r="BH54" s="3">
        <v>25.695951000000001</v>
      </c>
      <c r="BI54" s="3">
        <v>24.389391</v>
      </c>
      <c r="BJ54" s="3">
        <v>24.620649</v>
      </c>
      <c r="BK54" s="3">
        <v>26.460298999999999</v>
      </c>
      <c r="BL54" s="3">
        <v>23.870808</v>
      </c>
      <c r="BM54" s="3">
        <v>25.481752</v>
      </c>
      <c r="BN54" s="3">
        <v>24.965843</v>
      </c>
      <c r="BO54" s="3">
        <v>25.289636999999999</v>
      </c>
      <c r="BP54" s="3">
        <v>25.282454999999999</v>
      </c>
      <c r="BQ54" s="3">
        <v>25.623062000000001</v>
      </c>
      <c r="BR54" s="3">
        <v>26.735706</v>
      </c>
      <c r="BS54" s="3">
        <v>24.395925999999999</v>
      </c>
      <c r="BT54" s="3">
        <v>27.059549000000001</v>
      </c>
      <c r="BU54" s="3">
        <v>27.737452000000001</v>
      </c>
      <c r="BV54" s="3">
        <v>28.963898</v>
      </c>
      <c r="BW54" s="3">
        <v>24.210052000000001</v>
      </c>
      <c r="BX54" s="3">
        <v>23.395941000000001</v>
      </c>
      <c r="BY54" s="3">
        <v>25.034927</v>
      </c>
      <c r="BZ54" s="3">
        <v>25.235212000000001</v>
      </c>
      <c r="CA54" s="3">
        <v>25.352858999999999</v>
      </c>
      <c r="CB54" s="3">
        <v>24.391905000000001</v>
      </c>
      <c r="CC54" s="3">
        <v>25.685410999999998</v>
      </c>
      <c r="CD54" s="3">
        <v>25.309104999999999</v>
      </c>
      <c r="CE54" s="3">
        <v>25.385704</v>
      </c>
      <c r="CF54" s="3">
        <v>26.484175</v>
      </c>
      <c r="CG54" s="3">
        <v>25.135763000000001</v>
      </c>
      <c r="CH54" s="3">
        <v>28.069353</v>
      </c>
      <c r="CI54" s="3">
        <v>25.719255</v>
      </c>
      <c r="CJ54" s="3">
        <v>25.644055999999999</v>
      </c>
      <c r="CK54" s="3">
        <v>28.245491000000001</v>
      </c>
      <c r="CL54" s="3">
        <v>26.449328999999999</v>
      </c>
      <c r="CM54" s="3">
        <v>25.263155000000001</v>
      </c>
      <c r="CN54" s="3">
        <v>26.845495</v>
      </c>
      <c r="CO54" s="3">
        <v>27.649940000000001</v>
      </c>
      <c r="CP54" s="3">
        <v>25.170283999999999</v>
      </c>
      <c r="CQ54" s="3">
        <v>25.218304</v>
      </c>
      <c r="CR54" s="3">
        <v>28.656687000000002</v>
      </c>
      <c r="CS54" s="3">
        <v>25.636907999999998</v>
      </c>
      <c r="CT54" s="3">
        <v>24.997005000000001</v>
      </c>
      <c r="CU54" s="3">
        <v>26.487321999999999</v>
      </c>
      <c r="CV54" s="3">
        <v>26.631057999999999</v>
      </c>
      <c r="CW54" s="3">
        <v>26.569714000000001</v>
      </c>
      <c r="CX54" s="3">
        <v>25.252298</v>
      </c>
      <c r="CY54" s="3">
        <v>26.564304</v>
      </c>
      <c r="CZ54" s="3">
        <v>23.590208000000001</v>
      </c>
      <c r="DA54" s="3">
        <v>25.15419</v>
      </c>
      <c r="DB54" s="3">
        <v>25.541401</v>
      </c>
      <c r="DC54" s="3">
        <v>29.080905999999999</v>
      </c>
      <c r="DD54" s="3">
        <v>26.918534999999999</v>
      </c>
      <c r="DE54" s="3">
        <v>25.356446999999999</v>
      </c>
      <c r="DF54" s="3">
        <v>24.967055999999999</v>
      </c>
      <c r="DG54" s="3">
        <v>24.495297999999998</v>
      </c>
      <c r="DH54" s="3">
        <v>25.721975</v>
      </c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31.014032089999997</v>
      </c>
      <c r="H56" s="3">
        <f>MAX(M56:GJ56)</f>
        <v>34.262805999999998</v>
      </c>
      <c r="I56" s="3">
        <f>MIN(M56:GJ56)</f>
        <v>28.407944000000001</v>
      </c>
      <c r="J56" s="3">
        <f>_xlfn.STDEV.P(M56:GJ56)</f>
        <v>1.0003019708407466</v>
      </c>
      <c r="K56" s="3">
        <f>_xlfn.VAR.S(M56:GJ56)</f>
        <v>1.0107111443109917</v>
      </c>
      <c r="M56" s="3">
        <v>30.950312</v>
      </c>
      <c r="N56" s="3">
        <v>30.412648999999998</v>
      </c>
      <c r="O56" s="3">
        <v>31.401741000000001</v>
      </c>
      <c r="P56" s="3">
        <v>31.059488000000002</v>
      </c>
      <c r="Q56" s="3">
        <v>29.995564999999999</v>
      </c>
      <c r="R56" s="3">
        <v>31.864107000000001</v>
      </c>
      <c r="S56" s="3">
        <v>31.015011000000001</v>
      </c>
      <c r="T56" s="3">
        <v>31.234552000000001</v>
      </c>
      <c r="U56" s="3">
        <v>31.135548</v>
      </c>
      <c r="V56" s="3">
        <v>31.840178999999999</v>
      </c>
      <c r="W56" s="3">
        <v>30.231923999999999</v>
      </c>
      <c r="X56" s="3">
        <v>29.292017000000001</v>
      </c>
      <c r="Y56" s="3">
        <v>29.691607999999999</v>
      </c>
      <c r="Z56" s="3">
        <v>31.102415000000001</v>
      </c>
      <c r="AA56" s="3">
        <v>30.760033</v>
      </c>
      <c r="AB56" s="3">
        <v>29.279340999999999</v>
      </c>
      <c r="AC56" s="3">
        <v>31.358436999999999</v>
      </c>
      <c r="AD56" s="3">
        <v>30.822104</v>
      </c>
      <c r="AE56" s="3">
        <v>30.395699</v>
      </c>
      <c r="AF56" s="3">
        <v>31.167000000000002</v>
      </c>
      <c r="AG56" s="3">
        <v>30.397863000000001</v>
      </c>
      <c r="AH56" s="3">
        <v>31.789932</v>
      </c>
      <c r="AI56" s="3">
        <v>31.711995999999999</v>
      </c>
      <c r="AJ56" s="3">
        <v>34.262805999999998</v>
      </c>
      <c r="AK56" s="3">
        <v>30.477516000000001</v>
      </c>
      <c r="AL56" s="3">
        <v>30.395949999999999</v>
      </c>
      <c r="AM56" s="3">
        <v>30.159147000000001</v>
      </c>
      <c r="AN56" s="3">
        <v>30.853715999999999</v>
      </c>
      <c r="AO56" s="3">
        <v>31.882114000000001</v>
      </c>
      <c r="AP56" s="3">
        <v>31.456961</v>
      </c>
      <c r="AQ56" s="3">
        <v>30.173988000000001</v>
      </c>
      <c r="AR56" s="3">
        <v>30.775269000000002</v>
      </c>
      <c r="AS56" s="3">
        <v>32.217281</v>
      </c>
      <c r="AT56" s="3">
        <v>31.515867</v>
      </c>
      <c r="AU56" s="3">
        <v>31.255344000000001</v>
      </c>
      <c r="AV56" s="3">
        <v>30.633108</v>
      </c>
      <c r="AW56" s="3">
        <v>31.558482999999999</v>
      </c>
      <c r="AX56" s="3">
        <v>32.881267999999999</v>
      </c>
      <c r="AY56" s="3">
        <v>30.148630000000001</v>
      </c>
      <c r="AZ56" s="3">
        <v>32.02364</v>
      </c>
      <c r="BA56" s="3">
        <v>32.152293999999998</v>
      </c>
      <c r="BB56" s="3">
        <v>31.741458999999999</v>
      </c>
      <c r="BC56" s="3">
        <v>31.077835</v>
      </c>
      <c r="BD56" s="3">
        <v>29.000174999999999</v>
      </c>
      <c r="BE56" s="3">
        <v>30.668976000000001</v>
      </c>
      <c r="BF56" s="3">
        <v>31.034046</v>
      </c>
      <c r="BG56" s="3">
        <v>30.752351999999998</v>
      </c>
      <c r="BH56" s="3">
        <v>31.894957000000002</v>
      </c>
      <c r="BI56" s="3">
        <v>31.101455999999999</v>
      </c>
      <c r="BJ56" s="3">
        <v>30.473566000000002</v>
      </c>
      <c r="BK56" s="3">
        <v>32.302860000000003</v>
      </c>
      <c r="BL56" s="3">
        <v>28.945233999999999</v>
      </c>
      <c r="BM56" s="3">
        <v>30.657032000000001</v>
      </c>
      <c r="BN56" s="3">
        <v>31.029530000000001</v>
      </c>
      <c r="BO56" s="3">
        <v>32.428725999999997</v>
      </c>
      <c r="BP56" s="3">
        <v>32.360290999999997</v>
      </c>
      <c r="BQ56" s="3">
        <v>29.767555000000002</v>
      </c>
      <c r="BR56" s="3">
        <v>30.739457999999999</v>
      </c>
      <c r="BS56" s="3">
        <v>31.322247000000001</v>
      </c>
      <c r="BT56" s="3">
        <v>32.132148999999998</v>
      </c>
      <c r="BU56" s="3">
        <v>32.49588</v>
      </c>
      <c r="BV56" s="3">
        <v>31.993251999999998</v>
      </c>
      <c r="BW56" s="3">
        <v>30.854347000000001</v>
      </c>
      <c r="BX56" s="3">
        <v>28.943552</v>
      </c>
      <c r="BY56" s="3">
        <v>30.762820999999999</v>
      </c>
      <c r="BZ56" s="3">
        <v>31.164852</v>
      </c>
      <c r="CA56" s="3">
        <v>28.740266999999999</v>
      </c>
      <c r="CB56" s="3">
        <v>31.146868000000001</v>
      </c>
      <c r="CC56" s="3">
        <v>31.703752999999999</v>
      </c>
      <c r="CD56" s="3">
        <v>31.200785</v>
      </c>
      <c r="CE56" s="3">
        <v>29.727674</v>
      </c>
      <c r="CF56" s="3">
        <v>31.513408999999999</v>
      </c>
      <c r="CG56" s="3">
        <v>31.052021</v>
      </c>
      <c r="CH56" s="3">
        <v>30.464666000000001</v>
      </c>
      <c r="CI56" s="3">
        <v>32.661396000000003</v>
      </c>
      <c r="CJ56" s="3">
        <v>28.407944000000001</v>
      </c>
      <c r="CK56" s="3">
        <v>30.717527</v>
      </c>
      <c r="CL56" s="3">
        <v>32.015999000000001</v>
      </c>
      <c r="CM56" s="3">
        <v>31.716795000000001</v>
      </c>
      <c r="CN56" s="3">
        <v>31.559811</v>
      </c>
      <c r="CO56" s="3">
        <v>32.317630999999999</v>
      </c>
      <c r="CP56" s="3">
        <v>30.005144000000001</v>
      </c>
      <c r="CQ56" s="3">
        <v>32.677731000000001</v>
      </c>
      <c r="CR56" s="3">
        <v>31.361788000000001</v>
      </c>
      <c r="CS56" s="3">
        <v>31.187090000000001</v>
      </c>
      <c r="CT56" s="3">
        <v>29.321224000000001</v>
      </c>
      <c r="CU56" s="3">
        <v>29.539777999999998</v>
      </c>
      <c r="CV56" s="3">
        <v>31.910602999999998</v>
      </c>
      <c r="CW56" s="3">
        <v>30.948533999999999</v>
      </c>
      <c r="CX56" s="3">
        <v>31.856655</v>
      </c>
      <c r="CY56" s="3">
        <v>31.590273</v>
      </c>
      <c r="CZ56" s="3">
        <v>30.955998999999998</v>
      </c>
      <c r="DA56" s="3">
        <v>30.722017000000001</v>
      </c>
      <c r="DB56" s="3">
        <v>29.48019</v>
      </c>
      <c r="DC56" s="3">
        <v>31.03858</v>
      </c>
      <c r="DD56" s="3">
        <v>31.600024999999999</v>
      </c>
      <c r="DE56" s="3">
        <v>29.545335999999999</v>
      </c>
      <c r="DF56" s="3">
        <v>31.360368999999999</v>
      </c>
      <c r="DG56" s="3">
        <v>30.278224999999999</v>
      </c>
      <c r="DH56" s="3">
        <v>31.699591000000002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28.300164099999989</v>
      </c>
      <c r="H58" s="3">
        <f>MAX(M58:GJ58)</f>
        <v>33.435341000000001</v>
      </c>
      <c r="I58" s="3">
        <f>MIN(M58:GJ58)</f>
        <v>23.118734</v>
      </c>
      <c r="J58" s="3">
        <f>_xlfn.STDEV.P(M58:GJ58)</f>
        <v>2.3073340072840844</v>
      </c>
      <c r="K58" s="3">
        <f>_xlfn.VAR.S(M58:GJ58)</f>
        <v>5.3775658799693247</v>
      </c>
      <c r="M58" s="3">
        <v>28.601047999999999</v>
      </c>
      <c r="N58" s="3">
        <v>26.282081999999999</v>
      </c>
      <c r="O58" s="3">
        <v>29.079360999999999</v>
      </c>
      <c r="P58" s="3">
        <v>26.319749999999999</v>
      </c>
      <c r="Q58" s="3">
        <v>29.989761000000001</v>
      </c>
      <c r="R58" s="3">
        <v>23.118734</v>
      </c>
      <c r="S58" s="3">
        <v>26.381222000000001</v>
      </c>
      <c r="T58" s="3">
        <v>29.566113000000001</v>
      </c>
      <c r="U58" s="3">
        <v>32.120936999999998</v>
      </c>
      <c r="V58" s="3">
        <v>27.448795</v>
      </c>
      <c r="W58" s="3">
        <v>24.910209999999999</v>
      </c>
      <c r="X58" s="3">
        <v>26.255436</v>
      </c>
      <c r="Y58" s="3">
        <v>26.641338000000001</v>
      </c>
      <c r="Z58" s="3">
        <v>28.626698000000001</v>
      </c>
      <c r="AA58" s="3">
        <v>28.710443000000001</v>
      </c>
      <c r="AB58" s="3">
        <v>29.597736000000001</v>
      </c>
      <c r="AC58" s="3">
        <v>31.778065000000002</v>
      </c>
      <c r="AD58" s="3">
        <v>28.514410000000002</v>
      </c>
      <c r="AE58" s="3">
        <v>24.934733999999999</v>
      </c>
      <c r="AF58" s="3">
        <v>24.272991000000001</v>
      </c>
      <c r="AG58" s="3">
        <v>29.423988000000001</v>
      </c>
      <c r="AH58" s="3">
        <v>25.896660000000001</v>
      </c>
      <c r="AI58" s="3">
        <v>28.034571</v>
      </c>
      <c r="AJ58" s="3">
        <v>28.957270000000001</v>
      </c>
      <c r="AK58" s="3">
        <v>23.649177999999999</v>
      </c>
      <c r="AL58" s="3">
        <v>29.536595999999999</v>
      </c>
      <c r="AM58" s="3">
        <v>26.693209</v>
      </c>
      <c r="AN58" s="3">
        <v>28.471342</v>
      </c>
      <c r="AO58" s="3">
        <v>29.773954</v>
      </c>
      <c r="AP58" s="3">
        <v>31.846257999999999</v>
      </c>
      <c r="AQ58" s="3">
        <v>25.503617999999999</v>
      </c>
      <c r="AR58" s="3">
        <v>25.236311000000001</v>
      </c>
      <c r="AS58" s="3">
        <v>29.983142999999998</v>
      </c>
      <c r="AT58" s="3">
        <v>23.81072</v>
      </c>
      <c r="AU58" s="3">
        <v>31.740950000000002</v>
      </c>
      <c r="AV58" s="3">
        <v>29.304827</v>
      </c>
      <c r="AW58" s="3">
        <v>25.481228000000002</v>
      </c>
      <c r="AX58" s="3">
        <v>29.611340999999999</v>
      </c>
      <c r="AY58" s="3">
        <v>27.739573</v>
      </c>
      <c r="AZ58" s="3">
        <v>25.241423000000001</v>
      </c>
      <c r="BA58" s="3">
        <v>28.237690000000001</v>
      </c>
      <c r="BB58" s="3">
        <v>31.070647999999998</v>
      </c>
      <c r="BC58" s="3">
        <v>25.080507000000001</v>
      </c>
      <c r="BD58" s="3">
        <v>28.785076</v>
      </c>
      <c r="BE58" s="3">
        <v>29.574524</v>
      </c>
      <c r="BF58" s="3">
        <v>28.110717999999999</v>
      </c>
      <c r="BG58" s="3">
        <v>26.230837000000001</v>
      </c>
      <c r="BH58" s="3">
        <v>27.183268000000002</v>
      </c>
      <c r="BI58" s="3">
        <v>27.478119</v>
      </c>
      <c r="BJ58" s="3">
        <v>30.11824</v>
      </c>
      <c r="BK58" s="3">
        <v>24.611302999999999</v>
      </c>
      <c r="BL58" s="3">
        <v>29.887903000000001</v>
      </c>
      <c r="BM58" s="3">
        <v>33.435341000000001</v>
      </c>
      <c r="BN58" s="3">
        <v>28.143340999999999</v>
      </c>
      <c r="BO58" s="3">
        <v>29.143319999999999</v>
      </c>
      <c r="BP58" s="3">
        <v>25.115219</v>
      </c>
      <c r="BQ58" s="3">
        <v>31.941025</v>
      </c>
      <c r="BR58" s="3">
        <v>29.510501999999999</v>
      </c>
      <c r="BS58" s="3">
        <v>26.472321000000001</v>
      </c>
      <c r="BT58" s="3">
        <v>23.561934999999998</v>
      </c>
      <c r="BU58" s="3">
        <v>26.824753000000001</v>
      </c>
      <c r="BV58" s="3">
        <v>29.537392000000001</v>
      </c>
      <c r="BW58" s="3">
        <v>28.826136000000002</v>
      </c>
      <c r="BX58" s="3">
        <v>27.448336000000001</v>
      </c>
      <c r="BY58" s="3">
        <v>27.184152999999998</v>
      </c>
      <c r="BZ58" s="3">
        <v>26.974357999999999</v>
      </c>
      <c r="CA58" s="3">
        <v>30.356237</v>
      </c>
      <c r="CB58" s="3">
        <v>25.194396999999999</v>
      </c>
      <c r="CC58" s="3">
        <v>30.897272000000001</v>
      </c>
      <c r="CD58" s="3">
        <v>26.797153000000002</v>
      </c>
      <c r="CE58" s="3">
        <v>31.175530999999999</v>
      </c>
      <c r="CF58" s="3">
        <v>31.294197</v>
      </c>
      <c r="CG58" s="3">
        <v>29.998562</v>
      </c>
      <c r="CH58" s="3">
        <v>26.021286</v>
      </c>
      <c r="CI58" s="3">
        <v>27.724889999999998</v>
      </c>
      <c r="CJ58" s="3">
        <v>30.451122000000002</v>
      </c>
      <c r="CK58" s="3">
        <v>32.695273999999998</v>
      </c>
      <c r="CL58" s="3">
        <v>26.946954999999999</v>
      </c>
      <c r="CM58" s="3">
        <v>29.416826</v>
      </c>
      <c r="CN58" s="3">
        <v>28.603840000000002</v>
      </c>
      <c r="CO58" s="3">
        <v>28.185669000000001</v>
      </c>
      <c r="CP58" s="3">
        <v>29.067450999999998</v>
      </c>
      <c r="CQ58" s="3">
        <v>29.187280999999999</v>
      </c>
      <c r="CR58" s="3">
        <v>28.560908999999999</v>
      </c>
      <c r="CS58" s="3">
        <v>28.494230000000002</v>
      </c>
      <c r="CT58" s="3">
        <v>32.563960999999999</v>
      </c>
      <c r="CU58" s="3">
        <v>29.338085</v>
      </c>
      <c r="CV58" s="3">
        <v>27.663844999999998</v>
      </c>
      <c r="CW58" s="3">
        <v>32.495944999999999</v>
      </c>
      <c r="CX58" s="3">
        <v>31.818981000000001</v>
      </c>
      <c r="CY58" s="3">
        <v>26.433741000000001</v>
      </c>
      <c r="CZ58" s="3">
        <v>26.688376999999999</v>
      </c>
      <c r="DA58" s="3">
        <v>26.982111</v>
      </c>
      <c r="DB58" s="3">
        <v>27.722128000000001</v>
      </c>
      <c r="DC58" s="3">
        <v>30.983999000000001</v>
      </c>
      <c r="DD58" s="3">
        <v>29.557817</v>
      </c>
      <c r="DE58" s="3">
        <v>31.179447</v>
      </c>
      <c r="DF58" s="3">
        <v>26.155982999999999</v>
      </c>
      <c r="DG58" s="3">
        <v>29.64517</v>
      </c>
      <c r="DH58" s="3">
        <v>30.144749000000001</v>
      </c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</row>
    <row r="61" spans="2:207" x14ac:dyDescent="0.2">
      <c r="B61" t="s">
        <v>59</v>
      </c>
      <c r="D61" s="1" t="s">
        <v>37</v>
      </c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32.516858200000001</v>
      </c>
      <c r="H62" s="3">
        <f>MAX(M62:GJ62)</f>
        <v>36.856968000000002</v>
      </c>
      <c r="I62" s="3">
        <f>MIN(M62:GJ62)</f>
        <v>29.486011999999999</v>
      </c>
      <c r="J62" s="3">
        <f>_xlfn.STDEV.P(M62:GJ62)</f>
        <v>1.6696277266000585</v>
      </c>
      <c r="K62" s="3">
        <f>_xlfn.VAR.S(M62:GJ62)</f>
        <v>2.8158148943754338</v>
      </c>
      <c r="M62" s="3">
        <v>30.464137999999998</v>
      </c>
      <c r="N62" s="3">
        <v>36.344448</v>
      </c>
      <c r="O62" s="3">
        <v>31.218299999999999</v>
      </c>
      <c r="P62" s="3">
        <v>34.433627999999999</v>
      </c>
      <c r="Q62" s="3">
        <v>29.486011999999999</v>
      </c>
      <c r="R62" s="3">
        <v>32.011516999999998</v>
      </c>
      <c r="S62" s="3">
        <v>33.402287000000001</v>
      </c>
      <c r="T62" s="3">
        <v>29.536377000000002</v>
      </c>
      <c r="U62" s="3">
        <v>31.458442999999999</v>
      </c>
      <c r="V62" s="3">
        <v>31.327995000000001</v>
      </c>
      <c r="W62" s="3">
        <v>32.823757000000001</v>
      </c>
      <c r="X62" s="3">
        <v>32.367744000000002</v>
      </c>
      <c r="Y62" s="3">
        <v>35.203010999999996</v>
      </c>
      <c r="Z62" s="3">
        <v>32.928927999999999</v>
      </c>
      <c r="AA62" s="3">
        <v>31.601748000000001</v>
      </c>
      <c r="AB62" s="3">
        <v>33.644669</v>
      </c>
      <c r="AC62" s="3">
        <v>32.251964999999998</v>
      </c>
      <c r="AD62" s="3">
        <v>34.535721000000002</v>
      </c>
      <c r="AE62" s="3">
        <v>35.628494000000003</v>
      </c>
      <c r="AF62" s="3">
        <v>32.303435999999998</v>
      </c>
      <c r="AG62" s="3">
        <v>32.091900000000003</v>
      </c>
      <c r="AH62" s="3">
        <v>34.105365999999997</v>
      </c>
      <c r="AI62" s="3">
        <v>31.623047</v>
      </c>
      <c r="AJ62" s="3">
        <v>31.747496000000002</v>
      </c>
      <c r="AK62" s="3">
        <v>34.581738000000001</v>
      </c>
      <c r="AL62" s="3">
        <v>31.424067000000001</v>
      </c>
      <c r="AM62" s="3">
        <v>32.845612000000003</v>
      </c>
      <c r="AN62" s="3">
        <v>32.497894000000002</v>
      </c>
      <c r="AO62" s="3">
        <v>35.456508999999997</v>
      </c>
      <c r="AP62" s="3">
        <v>32.145245000000003</v>
      </c>
      <c r="AQ62" s="3">
        <v>32.480648000000002</v>
      </c>
      <c r="AR62" s="3">
        <v>34.064281000000001</v>
      </c>
      <c r="AS62" s="3">
        <v>31.054894999999998</v>
      </c>
      <c r="AT62" s="3">
        <v>30.134926</v>
      </c>
      <c r="AU62" s="3">
        <v>31.442457000000001</v>
      </c>
      <c r="AV62" s="3">
        <v>36.502014000000003</v>
      </c>
      <c r="AW62" s="3">
        <v>31.049911000000002</v>
      </c>
      <c r="AX62" s="3">
        <v>31.747458999999999</v>
      </c>
      <c r="AY62" s="3">
        <v>29.907461000000001</v>
      </c>
      <c r="AZ62" s="3">
        <v>29.857361000000001</v>
      </c>
      <c r="BA62" s="3">
        <v>34.374924</v>
      </c>
      <c r="BB62" s="3">
        <v>33.177280000000003</v>
      </c>
      <c r="BC62" s="3">
        <v>33.456924000000001</v>
      </c>
      <c r="BD62" s="3">
        <v>31.807376999999999</v>
      </c>
      <c r="BE62" s="3">
        <v>32.530842</v>
      </c>
      <c r="BF62" s="3">
        <v>32.458038000000002</v>
      </c>
      <c r="BG62" s="3">
        <v>36.856968000000002</v>
      </c>
      <c r="BH62" s="3">
        <v>32.264628999999999</v>
      </c>
      <c r="BI62" s="3">
        <v>32.563560000000003</v>
      </c>
      <c r="BJ62" s="3">
        <v>32.17268</v>
      </c>
      <c r="BK62" s="3">
        <v>31.556830999999999</v>
      </c>
      <c r="BL62" s="3">
        <v>34.725951999999999</v>
      </c>
      <c r="BM62" s="3">
        <v>30.658080999999999</v>
      </c>
      <c r="BN62" s="3">
        <v>35.386482000000001</v>
      </c>
      <c r="BO62" s="3">
        <v>32.088721999999997</v>
      </c>
      <c r="BP62" s="3">
        <v>30.43899</v>
      </c>
      <c r="BQ62" s="3">
        <v>31.659254000000001</v>
      </c>
      <c r="BR62" s="3">
        <v>31.228788000000002</v>
      </c>
      <c r="BS62" s="3">
        <v>30.223403999999999</v>
      </c>
      <c r="BT62" s="3">
        <v>31.369184000000001</v>
      </c>
      <c r="BU62" s="3">
        <v>32.823692000000001</v>
      </c>
      <c r="BV62" s="3">
        <v>32.888103000000001</v>
      </c>
      <c r="BW62" s="3">
        <v>31.445938000000002</v>
      </c>
      <c r="BX62" s="3">
        <v>31.757905999999998</v>
      </c>
      <c r="BY62" s="3">
        <v>30.926359000000001</v>
      </c>
      <c r="BZ62" s="3">
        <v>33.755329000000003</v>
      </c>
      <c r="CA62" s="3">
        <v>32.372928999999999</v>
      </c>
      <c r="CB62" s="3">
        <v>36.630726000000003</v>
      </c>
      <c r="CC62" s="3">
        <v>36.595782999999997</v>
      </c>
      <c r="CD62" s="3">
        <v>32.836609000000003</v>
      </c>
      <c r="CE62" s="3">
        <v>33.011318000000003</v>
      </c>
      <c r="CF62" s="3">
        <v>32.617161000000003</v>
      </c>
      <c r="CG62" s="3">
        <v>32.052894999999999</v>
      </c>
      <c r="CH62" s="3">
        <v>32.210011000000002</v>
      </c>
      <c r="CI62" s="3">
        <v>36.150615999999999</v>
      </c>
      <c r="CJ62" s="3">
        <v>32.164864000000001</v>
      </c>
      <c r="CK62" s="3">
        <v>32.541629999999998</v>
      </c>
      <c r="CL62" s="3">
        <v>31.270803000000001</v>
      </c>
      <c r="CM62" s="3">
        <v>32.493473000000002</v>
      </c>
      <c r="CN62" s="3">
        <v>33.508183000000002</v>
      </c>
      <c r="CO62" s="3">
        <v>31.580584999999999</v>
      </c>
      <c r="CP62" s="3">
        <v>32.494948999999998</v>
      </c>
      <c r="CQ62" s="3">
        <v>32.080719000000002</v>
      </c>
      <c r="CR62" s="3">
        <v>30.712396999999999</v>
      </c>
      <c r="CS62" s="3">
        <v>31.256288999999999</v>
      </c>
      <c r="CT62" s="3">
        <v>32.409233</v>
      </c>
      <c r="CU62" s="3">
        <v>32.534148999999999</v>
      </c>
      <c r="CV62" s="3">
        <v>32.279045000000004</v>
      </c>
      <c r="CW62" s="3">
        <v>31.463915</v>
      </c>
      <c r="CX62" s="3">
        <v>33.577174999999997</v>
      </c>
      <c r="CY62" s="3">
        <v>32.737563999999999</v>
      </c>
      <c r="CZ62" s="3">
        <v>31.513722999999999</v>
      </c>
      <c r="DA62" s="3">
        <v>36.087966999999999</v>
      </c>
      <c r="DB62" s="3">
        <v>29.977748999999999</v>
      </c>
      <c r="DC62" s="3">
        <v>32.688000000000002</v>
      </c>
      <c r="DD62" s="3">
        <v>31.918949000000001</v>
      </c>
      <c r="DE62" s="3">
        <v>30.435276000000002</v>
      </c>
      <c r="DF62" s="3">
        <v>32.346184000000001</v>
      </c>
      <c r="DG62" s="3">
        <v>31.332032999999999</v>
      </c>
      <c r="DH62" s="3">
        <v>31.473776000000001</v>
      </c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38.448113270000015</v>
      </c>
      <c r="H64" s="3">
        <f>MAX(M64:GJ64)</f>
        <v>45.220829000000002</v>
      </c>
      <c r="I64" s="3">
        <f>MIN(M64:GJ64)</f>
        <v>32.165730000000003</v>
      </c>
      <c r="J64" s="3">
        <f>_xlfn.STDEV.P(M64:GJ64)</f>
        <v>2.5230232758343107</v>
      </c>
      <c r="K64" s="3">
        <f>_xlfn.VAR.S(M64:GJ64)</f>
        <v>6.429945909496662</v>
      </c>
      <c r="M64" s="3">
        <v>37.609222000000003</v>
      </c>
      <c r="N64" s="3">
        <v>35.521931000000002</v>
      </c>
      <c r="O64" s="3">
        <v>45.220829000000002</v>
      </c>
      <c r="P64" s="3">
        <v>42.343432999999997</v>
      </c>
      <c r="Q64" s="3">
        <v>37.721755999999999</v>
      </c>
      <c r="R64" s="3">
        <v>36.414642000000001</v>
      </c>
      <c r="S64" s="3">
        <v>37.529350000000001</v>
      </c>
      <c r="T64" s="3">
        <v>40.838729999999998</v>
      </c>
      <c r="U64" s="3">
        <v>35.565368999999997</v>
      </c>
      <c r="V64" s="3">
        <v>43.423732999999999</v>
      </c>
      <c r="W64" s="3">
        <v>39.393684</v>
      </c>
      <c r="X64" s="3">
        <v>40.350563000000001</v>
      </c>
      <c r="Y64" s="3">
        <v>38.439521999999997</v>
      </c>
      <c r="Z64" s="3">
        <v>35.591746999999998</v>
      </c>
      <c r="AA64" s="3">
        <v>40.466084000000002</v>
      </c>
      <c r="AB64" s="3">
        <v>37.195652000000003</v>
      </c>
      <c r="AC64" s="3">
        <v>38.231791999999999</v>
      </c>
      <c r="AD64" s="3">
        <v>37.896968999999999</v>
      </c>
      <c r="AE64" s="3">
        <v>39.485053999999998</v>
      </c>
      <c r="AF64" s="3">
        <v>35.945469000000003</v>
      </c>
      <c r="AG64" s="3">
        <v>39.870609000000002</v>
      </c>
      <c r="AH64" s="3">
        <v>40.928272</v>
      </c>
      <c r="AI64" s="3">
        <v>41.595016000000001</v>
      </c>
      <c r="AJ64" s="3">
        <v>36.919704000000003</v>
      </c>
      <c r="AK64" s="3">
        <v>39.615195999999997</v>
      </c>
      <c r="AL64" s="3">
        <v>41.126812000000001</v>
      </c>
      <c r="AM64" s="3">
        <v>40.051994000000001</v>
      </c>
      <c r="AN64" s="3">
        <v>37.390945000000002</v>
      </c>
      <c r="AO64" s="3">
        <v>38.653148999999999</v>
      </c>
      <c r="AP64" s="3">
        <v>41.769984999999998</v>
      </c>
      <c r="AQ64" s="3">
        <v>39.780926000000001</v>
      </c>
      <c r="AR64" s="3">
        <v>37.748126999999997</v>
      </c>
      <c r="AS64" s="3">
        <v>43.103619000000002</v>
      </c>
      <c r="AT64" s="3">
        <v>39.185684000000002</v>
      </c>
      <c r="AU64" s="3">
        <v>40.378784000000003</v>
      </c>
      <c r="AV64" s="3">
        <v>38.103572999999997</v>
      </c>
      <c r="AW64" s="3">
        <v>38.039237999999997</v>
      </c>
      <c r="AX64" s="3">
        <v>38.289845</v>
      </c>
      <c r="AY64" s="3">
        <v>39.007914999999997</v>
      </c>
      <c r="AZ64" s="3">
        <v>39.182147999999998</v>
      </c>
      <c r="BA64" s="3">
        <v>36.002251000000001</v>
      </c>
      <c r="BB64" s="3">
        <v>39.091484000000001</v>
      </c>
      <c r="BC64" s="3">
        <v>44.280205000000002</v>
      </c>
      <c r="BD64" s="3">
        <v>37.400288000000003</v>
      </c>
      <c r="BE64" s="3">
        <v>36.205413999999998</v>
      </c>
      <c r="BF64" s="3">
        <v>37.825291</v>
      </c>
      <c r="BG64" s="3">
        <v>42.990684999999999</v>
      </c>
      <c r="BH64" s="3">
        <v>39.115062999999999</v>
      </c>
      <c r="BI64" s="3">
        <v>40.009892000000001</v>
      </c>
      <c r="BJ64" s="3">
        <v>34.901108000000001</v>
      </c>
      <c r="BK64" s="3">
        <v>38.872394999999997</v>
      </c>
      <c r="BL64" s="3">
        <v>39.656886999999998</v>
      </c>
      <c r="BM64" s="3">
        <v>39.320889000000001</v>
      </c>
      <c r="BN64" s="3">
        <v>39.562023000000003</v>
      </c>
      <c r="BO64" s="3">
        <v>37.387737000000001</v>
      </c>
      <c r="BP64" s="3">
        <v>33.706127000000002</v>
      </c>
      <c r="BQ64" s="3">
        <v>39.399757000000001</v>
      </c>
      <c r="BR64" s="3">
        <v>44.352626999999998</v>
      </c>
      <c r="BS64" s="3">
        <v>35.057121000000002</v>
      </c>
      <c r="BT64" s="3">
        <v>40.223675</v>
      </c>
      <c r="BU64" s="3">
        <v>38.803223000000003</v>
      </c>
      <c r="BV64" s="3">
        <v>38.616703000000001</v>
      </c>
      <c r="BW64" s="3">
        <v>37.553882999999999</v>
      </c>
      <c r="BX64" s="3">
        <v>35.540123000000001</v>
      </c>
      <c r="BY64" s="3">
        <v>35.070362000000003</v>
      </c>
      <c r="BZ64" s="3">
        <v>38.575789999999998</v>
      </c>
      <c r="CA64" s="3">
        <v>40.936512</v>
      </c>
      <c r="CB64" s="3">
        <v>40.490349000000002</v>
      </c>
      <c r="CC64" s="3">
        <v>36.502150999999998</v>
      </c>
      <c r="CD64" s="3">
        <v>39.244700999999999</v>
      </c>
      <c r="CE64" s="3">
        <v>41.215569000000002</v>
      </c>
      <c r="CF64" s="3">
        <v>37.048309000000003</v>
      </c>
      <c r="CG64" s="3">
        <v>36.909923999999997</v>
      </c>
      <c r="CH64" s="3">
        <v>39.583396999999998</v>
      </c>
      <c r="CI64" s="3">
        <v>32.807277999999997</v>
      </c>
      <c r="CJ64" s="3">
        <v>38.099049000000001</v>
      </c>
      <c r="CK64" s="3">
        <v>37.913612000000001</v>
      </c>
      <c r="CL64" s="3">
        <v>36.442340999999999</v>
      </c>
      <c r="CM64" s="3">
        <v>39.963886000000002</v>
      </c>
      <c r="CN64" s="3">
        <v>39.318702999999999</v>
      </c>
      <c r="CO64" s="3">
        <v>32.165730000000003</v>
      </c>
      <c r="CP64" s="3">
        <v>36.929988999999999</v>
      </c>
      <c r="CQ64" s="3">
        <v>38.875960999999997</v>
      </c>
      <c r="CR64" s="3">
        <v>34.818126999999997</v>
      </c>
      <c r="CS64" s="3">
        <v>36.974110000000003</v>
      </c>
      <c r="CT64" s="3">
        <v>37.755034999999999</v>
      </c>
      <c r="CU64" s="3">
        <v>39.451256000000001</v>
      </c>
      <c r="CV64" s="3">
        <v>40.005488999999997</v>
      </c>
      <c r="CW64" s="3">
        <v>35.598446000000003</v>
      </c>
      <c r="CX64" s="3">
        <v>37.498519999999999</v>
      </c>
      <c r="CY64" s="3">
        <v>38.437237000000003</v>
      </c>
      <c r="CZ64" s="3">
        <v>41.608497999999997</v>
      </c>
      <c r="DA64" s="3">
        <v>41.876175000000003</v>
      </c>
      <c r="DB64" s="3">
        <v>36.500118000000001</v>
      </c>
      <c r="DC64" s="3">
        <v>38.812922999999998</v>
      </c>
      <c r="DD64" s="3">
        <v>39.077976</v>
      </c>
      <c r="DE64" s="3">
        <v>35.318558000000003</v>
      </c>
      <c r="DF64" s="3">
        <v>34.154311999999997</v>
      </c>
      <c r="DG64" s="3">
        <v>34.129570000000001</v>
      </c>
      <c r="DH64" s="3">
        <v>32.899441000000003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42.011659349999988</v>
      </c>
      <c r="H66" s="3">
        <f>MAX(M66:GJ66)</f>
        <v>44.730342999999998</v>
      </c>
      <c r="I66" s="3">
        <f>MIN(M66:GJ66)</f>
        <v>39.830677000000001</v>
      </c>
      <c r="J66" s="3">
        <f>_xlfn.STDEV.P(M66:GJ66)</f>
        <v>1.0130011259854199</v>
      </c>
      <c r="K66" s="3">
        <f>_xlfn.VAR.S(M66:GJ66)</f>
        <v>1.0365366477249782</v>
      </c>
      <c r="M66" s="3">
        <v>40.731602000000002</v>
      </c>
      <c r="N66" s="3">
        <v>41.175953</v>
      </c>
      <c r="O66" s="3">
        <v>40.362296999999998</v>
      </c>
      <c r="P66" s="3">
        <v>41.172210999999997</v>
      </c>
      <c r="Q66" s="3">
        <v>41.185558</v>
      </c>
      <c r="R66" s="3">
        <v>39.968884000000003</v>
      </c>
      <c r="S66" s="3">
        <v>41.867741000000002</v>
      </c>
      <c r="T66" s="3">
        <v>41.879024999999999</v>
      </c>
      <c r="U66" s="3">
        <v>43.191066999999997</v>
      </c>
      <c r="V66" s="3">
        <v>41.424301</v>
      </c>
      <c r="W66" s="3">
        <v>43.378067000000001</v>
      </c>
      <c r="X66" s="3">
        <v>44.347244000000003</v>
      </c>
      <c r="Y66" s="3">
        <v>42.817470999999998</v>
      </c>
      <c r="Z66" s="3">
        <v>41.730167000000002</v>
      </c>
      <c r="AA66" s="3">
        <v>41.691113000000001</v>
      </c>
      <c r="AB66" s="3">
        <v>42.250110999999997</v>
      </c>
      <c r="AC66" s="3">
        <v>42.187961999999999</v>
      </c>
      <c r="AD66" s="3">
        <v>40.986041999999998</v>
      </c>
      <c r="AE66" s="3">
        <v>41.356388000000003</v>
      </c>
      <c r="AF66" s="3">
        <v>42.297916000000001</v>
      </c>
      <c r="AG66" s="3">
        <v>43.465767</v>
      </c>
      <c r="AH66" s="3">
        <v>41.592953000000001</v>
      </c>
      <c r="AI66" s="3">
        <v>41.045589</v>
      </c>
      <c r="AJ66" s="3">
        <v>41.892840999999997</v>
      </c>
      <c r="AK66" s="3">
        <v>41.105193999999997</v>
      </c>
      <c r="AL66" s="3">
        <v>42.277934999999999</v>
      </c>
      <c r="AM66" s="3">
        <v>43.171947000000003</v>
      </c>
      <c r="AN66" s="3">
        <v>42.763331999999998</v>
      </c>
      <c r="AO66" s="3">
        <v>41.325882</v>
      </c>
      <c r="AP66" s="3">
        <v>42.948684999999998</v>
      </c>
      <c r="AQ66" s="3">
        <v>42.927303000000002</v>
      </c>
      <c r="AR66" s="3">
        <v>42.156177999999997</v>
      </c>
      <c r="AS66" s="3">
        <v>43.579211999999998</v>
      </c>
      <c r="AT66" s="3">
        <v>41.007010999999999</v>
      </c>
      <c r="AU66" s="3">
        <v>41.372962999999999</v>
      </c>
      <c r="AV66" s="3">
        <v>40.400517000000001</v>
      </c>
      <c r="AW66" s="3">
        <v>41.848197999999996</v>
      </c>
      <c r="AX66" s="3">
        <v>42.792084000000003</v>
      </c>
      <c r="AY66" s="3">
        <v>42.002505999999997</v>
      </c>
      <c r="AZ66" s="3">
        <v>42.890220999999997</v>
      </c>
      <c r="BA66" s="3">
        <v>42.104156000000003</v>
      </c>
      <c r="BB66" s="3">
        <v>41.486736000000001</v>
      </c>
      <c r="BC66" s="3">
        <v>42.559483</v>
      </c>
      <c r="BD66" s="3">
        <v>41.406436999999997</v>
      </c>
      <c r="BE66" s="3">
        <v>41.911774000000001</v>
      </c>
      <c r="BF66" s="3">
        <v>41.823765000000002</v>
      </c>
      <c r="BG66" s="3">
        <v>41.849113000000003</v>
      </c>
      <c r="BH66" s="3">
        <v>43.016776999999998</v>
      </c>
      <c r="BI66" s="3">
        <v>41.998924000000002</v>
      </c>
      <c r="BJ66" s="3">
        <v>41.732985999999997</v>
      </c>
      <c r="BK66" s="3">
        <v>43.361198000000002</v>
      </c>
      <c r="BL66" s="3">
        <v>40.366965999999998</v>
      </c>
      <c r="BM66" s="3">
        <v>40.243782000000003</v>
      </c>
      <c r="BN66" s="3">
        <v>41.443882000000002</v>
      </c>
      <c r="BO66" s="3">
        <v>42.168995000000002</v>
      </c>
      <c r="BP66" s="3">
        <v>41.625759000000002</v>
      </c>
      <c r="BQ66" s="3">
        <v>41.373565999999997</v>
      </c>
      <c r="BR66" s="3">
        <v>41.406039999999997</v>
      </c>
      <c r="BS66" s="3">
        <v>41.644973999999998</v>
      </c>
      <c r="BT66" s="3">
        <v>42.427464000000001</v>
      </c>
      <c r="BU66" s="3">
        <v>43.807526000000003</v>
      </c>
      <c r="BV66" s="3">
        <v>44.094593000000003</v>
      </c>
      <c r="BW66" s="3">
        <v>41.120552000000004</v>
      </c>
      <c r="BX66" s="3">
        <v>40.887390000000003</v>
      </c>
      <c r="BY66" s="3">
        <v>42.001159999999999</v>
      </c>
      <c r="BZ66" s="3">
        <v>42.493972999999997</v>
      </c>
      <c r="CA66" s="3">
        <v>42.904727999999999</v>
      </c>
      <c r="CB66" s="3">
        <v>41.446582999999997</v>
      </c>
      <c r="CC66" s="3">
        <v>42.523083</v>
      </c>
      <c r="CD66" s="3">
        <v>41.098906999999997</v>
      </c>
      <c r="CE66" s="3">
        <v>43.121735000000001</v>
      </c>
      <c r="CF66" s="3">
        <v>42.366202999999999</v>
      </c>
      <c r="CG66" s="3">
        <v>40.955176999999999</v>
      </c>
      <c r="CH66" s="3">
        <v>43.589111000000003</v>
      </c>
      <c r="CI66" s="3">
        <v>42.181415999999999</v>
      </c>
      <c r="CJ66" s="3">
        <v>41.734856000000001</v>
      </c>
      <c r="CK66" s="3">
        <v>43.102428000000003</v>
      </c>
      <c r="CL66" s="3">
        <v>40.18047</v>
      </c>
      <c r="CM66" s="3">
        <v>40.621307000000002</v>
      </c>
      <c r="CN66" s="3">
        <v>42.917915000000001</v>
      </c>
      <c r="CO66" s="3">
        <v>42.858424999999997</v>
      </c>
      <c r="CP66" s="3">
        <v>41.401851999999998</v>
      </c>
      <c r="CQ66" s="3">
        <v>41.902576000000003</v>
      </c>
      <c r="CR66" s="3">
        <v>43.769615000000002</v>
      </c>
      <c r="CS66" s="3">
        <v>41.813147999999998</v>
      </c>
      <c r="CT66" s="3">
        <v>40.584285999999999</v>
      </c>
      <c r="CU66" s="3">
        <v>42.884106000000003</v>
      </c>
      <c r="CV66" s="3">
        <v>43.64743</v>
      </c>
      <c r="CW66" s="3">
        <v>42.563892000000003</v>
      </c>
      <c r="CX66" s="3">
        <v>41.984470000000002</v>
      </c>
      <c r="CY66" s="3">
        <v>42.471851000000001</v>
      </c>
      <c r="CZ66" s="3">
        <v>39.830677000000001</v>
      </c>
      <c r="DA66" s="3">
        <v>40.673363000000002</v>
      </c>
      <c r="DB66" s="3">
        <v>41.955058999999999</v>
      </c>
      <c r="DC66" s="3">
        <v>44.730342999999998</v>
      </c>
      <c r="DD66" s="3">
        <v>43.732562999999999</v>
      </c>
      <c r="DE66" s="3">
        <v>42.371208000000003</v>
      </c>
      <c r="DF66" s="3">
        <v>41.001033999999997</v>
      </c>
      <c r="DG66" s="3">
        <v>41.667876999999997</v>
      </c>
      <c r="DH66" s="3">
        <v>41.652831999999997</v>
      </c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35.810420179999994</v>
      </c>
      <c r="H68" s="3">
        <f>MAX(M68:GJ68)</f>
        <v>38.821036999999997</v>
      </c>
      <c r="I68" s="3">
        <f>MIN(M68:GJ68)</f>
        <v>33.041671999999998</v>
      </c>
      <c r="J68" s="3">
        <f>_xlfn.STDEV.P(M68:GJ68)</f>
        <v>1.1285644239082266</v>
      </c>
      <c r="K68" s="3">
        <f>_xlfn.VAR.S(M68:GJ68)</f>
        <v>1.2865228877891994</v>
      </c>
      <c r="M68" s="3">
        <v>37.736049999999999</v>
      </c>
      <c r="N68" s="3">
        <v>34.006165000000003</v>
      </c>
      <c r="O68" s="3">
        <v>34.362327999999998</v>
      </c>
      <c r="P68" s="3">
        <v>35.546760999999996</v>
      </c>
      <c r="Q68" s="3">
        <v>36.738480000000003</v>
      </c>
      <c r="R68" s="3">
        <v>36.623013</v>
      </c>
      <c r="S68" s="3">
        <v>36.768864000000001</v>
      </c>
      <c r="T68" s="3">
        <v>35.020060999999998</v>
      </c>
      <c r="U68" s="3">
        <v>33.898529000000003</v>
      </c>
      <c r="V68" s="3">
        <v>38.821036999999997</v>
      </c>
      <c r="W68" s="3">
        <v>37.811363</v>
      </c>
      <c r="X68" s="3">
        <v>36.671551000000001</v>
      </c>
      <c r="Y68" s="3">
        <v>34.888966000000003</v>
      </c>
      <c r="Z68" s="3">
        <v>34.238449000000003</v>
      </c>
      <c r="AA68" s="3">
        <v>35.178027999999998</v>
      </c>
      <c r="AB68" s="3">
        <v>34.504688000000002</v>
      </c>
      <c r="AC68" s="3">
        <v>36.818885999999999</v>
      </c>
      <c r="AD68" s="3">
        <v>35.985579999999999</v>
      </c>
      <c r="AE68" s="3">
        <v>35.585880000000003</v>
      </c>
      <c r="AF68" s="3">
        <v>37.203063999999998</v>
      </c>
      <c r="AG68" s="3">
        <v>34.830604999999998</v>
      </c>
      <c r="AH68" s="3">
        <v>37.558898999999997</v>
      </c>
      <c r="AI68" s="3">
        <v>35.403174999999997</v>
      </c>
      <c r="AJ68" s="3">
        <v>36.337497999999997</v>
      </c>
      <c r="AK68" s="3">
        <v>36.405574999999999</v>
      </c>
      <c r="AL68" s="3">
        <v>33.45908</v>
      </c>
      <c r="AM68" s="3">
        <v>35.873714</v>
      </c>
      <c r="AN68" s="3">
        <v>34.897640000000003</v>
      </c>
      <c r="AO68" s="3">
        <v>36.544342</v>
      </c>
      <c r="AP68" s="3">
        <v>36.266384000000002</v>
      </c>
      <c r="AQ68" s="3">
        <v>36.028683000000001</v>
      </c>
      <c r="AR68" s="3">
        <v>35.588810000000002</v>
      </c>
      <c r="AS68" s="3">
        <v>35.743983999999998</v>
      </c>
      <c r="AT68" s="3">
        <v>37.142166000000003</v>
      </c>
      <c r="AU68" s="3">
        <v>37.355747000000001</v>
      </c>
      <c r="AV68" s="3">
        <v>36.346001000000001</v>
      </c>
      <c r="AW68" s="3">
        <v>35.340355000000002</v>
      </c>
      <c r="AX68" s="3">
        <v>35.707275000000003</v>
      </c>
      <c r="AY68" s="3">
        <v>35.920985999999999</v>
      </c>
      <c r="AZ68" s="3">
        <v>35.542503000000004</v>
      </c>
      <c r="BA68" s="3">
        <v>34.369022000000001</v>
      </c>
      <c r="BB68" s="3">
        <v>36.753124</v>
      </c>
      <c r="BC68" s="3">
        <v>35.346370999999998</v>
      </c>
      <c r="BD68" s="3">
        <v>36.081169000000003</v>
      </c>
      <c r="BE68" s="3">
        <v>35.595939999999999</v>
      </c>
      <c r="BF68" s="3">
        <v>36.620583000000003</v>
      </c>
      <c r="BG68" s="3">
        <v>36.913857</v>
      </c>
      <c r="BH68" s="3">
        <v>35.629584999999999</v>
      </c>
      <c r="BI68" s="3">
        <v>35.832489000000002</v>
      </c>
      <c r="BJ68" s="3">
        <v>36.322704000000002</v>
      </c>
      <c r="BK68" s="3">
        <v>35.407210999999997</v>
      </c>
      <c r="BL68" s="3">
        <v>34.926090000000002</v>
      </c>
      <c r="BM68" s="3">
        <v>34.041710000000002</v>
      </c>
      <c r="BN68" s="3">
        <v>33.566875000000003</v>
      </c>
      <c r="BO68" s="3">
        <v>36.387977999999997</v>
      </c>
      <c r="BP68" s="3">
        <v>36.937119000000003</v>
      </c>
      <c r="BQ68" s="3">
        <v>33.849578999999999</v>
      </c>
      <c r="BR68" s="3">
        <v>35.485908999999999</v>
      </c>
      <c r="BS68" s="3">
        <v>38.255833000000003</v>
      </c>
      <c r="BT68" s="3">
        <v>35.888561000000003</v>
      </c>
      <c r="BU68" s="3">
        <v>36.856563999999999</v>
      </c>
      <c r="BV68" s="3">
        <v>37.00132</v>
      </c>
      <c r="BW68" s="3">
        <v>36.027126000000003</v>
      </c>
      <c r="BX68" s="3">
        <v>37.244484</v>
      </c>
      <c r="BY68" s="3">
        <v>35.880070000000003</v>
      </c>
      <c r="BZ68" s="3">
        <v>35.775848000000003</v>
      </c>
      <c r="CA68" s="3">
        <v>35.708103000000001</v>
      </c>
      <c r="CB68" s="3">
        <v>35.707068999999997</v>
      </c>
      <c r="CC68" s="3">
        <v>35.021107000000001</v>
      </c>
      <c r="CD68" s="3">
        <v>35.425697</v>
      </c>
      <c r="CE68" s="3">
        <v>33.914883000000003</v>
      </c>
      <c r="CF68" s="3">
        <v>38.519069999999999</v>
      </c>
      <c r="CG68" s="3">
        <v>34.878844999999998</v>
      </c>
      <c r="CH68" s="3">
        <v>33.041671999999998</v>
      </c>
      <c r="CI68" s="3">
        <v>36.34919</v>
      </c>
      <c r="CJ68" s="3">
        <v>35.355277999999998</v>
      </c>
      <c r="CK68" s="3">
        <v>37.25515</v>
      </c>
      <c r="CL68" s="3">
        <v>34.633457</v>
      </c>
      <c r="CM68" s="3">
        <v>35.766869</v>
      </c>
      <c r="CN68" s="3">
        <v>34.743805000000002</v>
      </c>
      <c r="CO68" s="3">
        <v>37.123417000000003</v>
      </c>
      <c r="CP68" s="3">
        <v>35.029674999999997</v>
      </c>
      <c r="CQ68" s="3">
        <v>37.105476000000003</v>
      </c>
      <c r="CR68" s="3">
        <v>34.567374999999998</v>
      </c>
      <c r="CS68" s="3">
        <v>35.753318999999998</v>
      </c>
      <c r="CT68" s="3">
        <v>35.252743000000002</v>
      </c>
      <c r="CU68" s="3">
        <v>34.029204999999997</v>
      </c>
      <c r="CV68" s="3">
        <v>37.197346000000003</v>
      </c>
      <c r="CW68" s="3">
        <v>35.409016000000001</v>
      </c>
      <c r="CX68" s="3">
        <v>36.183867999999997</v>
      </c>
      <c r="CY68" s="3">
        <v>36.595261000000001</v>
      </c>
      <c r="CZ68" s="3">
        <v>35.784728999999999</v>
      </c>
      <c r="DA68" s="3">
        <v>36.169787999999997</v>
      </c>
      <c r="DB68" s="3">
        <v>35.197094</v>
      </c>
      <c r="DC68" s="3">
        <v>35.954971</v>
      </c>
      <c r="DD68" s="3">
        <v>34.446990999999997</v>
      </c>
      <c r="DE68" s="3">
        <v>35.238593999999999</v>
      </c>
      <c r="DF68" s="3">
        <v>35.642727000000001</v>
      </c>
      <c r="DG68" s="3">
        <v>35.315570999999998</v>
      </c>
      <c r="DH68" s="3">
        <v>37.026370999999997</v>
      </c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33.154500980000002</v>
      </c>
      <c r="H70" s="3">
        <f>MAX(M70:GJ70)</f>
        <v>37.496158999999999</v>
      </c>
      <c r="I70" s="3">
        <f>MIN(M70:GJ70)</f>
        <v>28.179632000000002</v>
      </c>
      <c r="J70" s="3">
        <f>_xlfn.STDEV.P(M70:GJ70)</f>
        <v>2.339177072612884</v>
      </c>
      <c r="K70" s="3">
        <f>_xlfn.VAR.S(M70:GJ70)</f>
        <v>5.5270195727654343</v>
      </c>
      <c r="M70" s="3">
        <v>33.984146000000003</v>
      </c>
      <c r="N70" s="3">
        <v>29.289031999999999</v>
      </c>
      <c r="O70" s="3">
        <v>31.230710999999999</v>
      </c>
      <c r="P70" s="3">
        <v>34.804107999999999</v>
      </c>
      <c r="Q70" s="3">
        <v>37.071021999999999</v>
      </c>
      <c r="R70" s="3">
        <v>35.676155000000001</v>
      </c>
      <c r="S70" s="3">
        <v>35.091095000000003</v>
      </c>
      <c r="T70" s="3">
        <v>32.752414999999999</v>
      </c>
      <c r="U70" s="3">
        <v>30.073547000000001</v>
      </c>
      <c r="V70" s="3">
        <v>33.550418999999998</v>
      </c>
      <c r="W70" s="3">
        <v>30.074984000000001</v>
      </c>
      <c r="X70" s="3">
        <v>32.708373999999999</v>
      </c>
      <c r="Y70" s="3">
        <v>33.142516999999998</v>
      </c>
      <c r="Z70" s="3">
        <v>34.258595</v>
      </c>
      <c r="AA70" s="3">
        <v>35.955143</v>
      </c>
      <c r="AB70" s="3">
        <v>34.509773000000003</v>
      </c>
      <c r="AC70" s="3">
        <v>35.909748</v>
      </c>
      <c r="AD70" s="3">
        <v>34.698363999999998</v>
      </c>
      <c r="AE70" s="3">
        <v>28.182005</v>
      </c>
      <c r="AF70" s="3">
        <v>28.993879</v>
      </c>
      <c r="AG70" s="3">
        <v>33.561191999999998</v>
      </c>
      <c r="AH70" s="3">
        <v>28.720285000000001</v>
      </c>
      <c r="AI70" s="3">
        <v>33.251517999999997</v>
      </c>
      <c r="AJ70" s="3">
        <v>34.292763000000001</v>
      </c>
      <c r="AK70" s="3">
        <v>34.358432999999998</v>
      </c>
      <c r="AL70" s="3">
        <v>28.179632000000002</v>
      </c>
      <c r="AM70" s="3">
        <v>35.427162000000003</v>
      </c>
      <c r="AN70" s="3">
        <v>35.480640000000001</v>
      </c>
      <c r="AO70" s="3">
        <v>30.284358999999998</v>
      </c>
      <c r="AP70" s="3">
        <v>33.952553000000002</v>
      </c>
      <c r="AQ70" s="3">
        <v>33.932594000000002</v>
      </c>
      <c r="AR70" s="3">
        <v>29.522058000000001</v>
      </c>
      <c r="AS70" s="3">
        <v>31.076435</v>
      </c>
      <c r="AT70" s="3">
        <v>33.621428999999999</v>
      </c>
      <c r="AU70" s="3">
        <v>35.150398000000003</v>
      </c>
      <c r="AV70" s="3">
        <v>35.635502000000002</v>
      </c>
      <c r="AW70" s="3">
        <v>35.364769000000003</v>
      </c>
      <c r="AX70" s="3">
        <v>33.199706999999997</v>
      </c>
      <c r="AY70" s="3">
        <v>34.979553000000003</v>
      </c>
      <c r="AZ70" s="3">
        <v>35.428051000000004</v>
      </c>
      <c r="BA70" s="3">
        <v>35.674518999999997</v>
      </c>
      <c r="BB70" s="3">
        <v>35.608291999999999</v>
      </c>
      <c r="BC70" s="3">
        <v>34.068129999999996</v>
      </c>
      <c r="BD70" s="3">
        <v>30.880034999999999</v>
      </c>
      <c r="BE70" s="3">
        <v>32.020862999999999</v>
      </c>
      <c r="BF70" s="3">
        <v>35.048859</v>
      </c>
      <c r="BG70" s="3">
        <v>33.998767999999998</v>
      </c>
      <c r="BH70" s="3">
        <v>31.476419</v>
      </c>
      <c r="BI70" s="3">
        <v>32.274146999999999</v>
      </c>
      <c r="BJ70" s="3">
        <v>29.433658999999999</v>
      </c>
      <c r="BK70" s="3">
        <v>35.098137000000001</v>
      </c>
      <c r="BL70" s="3">
        <v>33.406742000000001</v>
      </c>
      <c r="BM70" s="3">
        <v>37.496158999999999</v>
      </c>
      <c r="BN70" s="3">
        <v>31.427672999999999</v>
      </c>
      <c r="BO70" s="3">
        <v>31.606297999999999</v>
      </c>
      <c r="BP70" s="3">
        <v>36.925438</v>
      </c>
      <c r="BQ70" s="3">
        <v>34.265549</v>
      </c>
      <c r="BR70" s="3">
        <v>33.102856000000003</v>
      </c>
      <c r="BS70" s="3">
        <v>33.897098999999997</v>
      </c>
      <c r="BT70" s="3">
        <v>32.502388000000003</v>
      </c>
      <c r="BU70" s="3">
        <v>28.722812999999999</v>
      </c>
      <c r="BV70" s="3">
        <v>28.542503</v>
      </c>
      <c r="BW70" s="3">
        <v>32.036391999999999</v>
      </c>
      <c r="BX70" s="3">
        <v>33.965663999999997</v>
      </c>
      <c r="BY70" s="3">
        <v>35.781101</v>
      </c>
      <c r="BZ70" s="3">
        <v>35.112071999999998</v>
      </c>
      <c r="CA70" s="3">
        <v>34.508254999999998</v>
      </c>
      <c r="CB70" s="3">
        <v>33.935786999999998</v>
      </c>
      <c r="CC70" s="3">
        <v>31.816223000000001</v>
      </c>
      <c r="CD70" s="3">
        <v>33.223540999999997</v>
      </c>
      <c r="CE70" s="3">
        <v>36.345618999999999</v>
      </c>
      <c r="CF70" s="3">
        <v>35.131210000000003</v>
      </c>
      <c r="CG70" s="3">
        <v>30.441748</v>
      </c>
      <c r="CH70" s="3">
        <v>28.619164999999999</v>
      </c>
      <c r="CI70" s="3">
        <v>29.383659000000002</v>
      </c>
      <c r="CJ70" s="3">
        <v>30.684595000000002</v>
      </c>
      <c r="CK70" s="3">
        <v>33.138126</v>
      </c>
      <c r="CL70" s="3">
        <v>34.494273999999997</v>
      </c>
      <c r="CM70" s="3">
        <v>34.493701999999999</v>
      </c>
      <c r="CN70" s="3">
        <v>30.732171999999998</v>
      </c>
      <c r="CO70" s="3">
        <v>33.829498000000001</v>
      </c>
      <c r="CP70" s="3">
        <v>28.350769</v>
      </c>
      <c r="CQ70" s="3">
        <v>35.245747000000001</v>
      </c>
      <c r="CR70" s="3">
        <v>34.005431999999999</v>
      </c>
      <c r="CS70" s="3">
        <v>35.630184</v>
      </c>
      <c r="CT70" s="3">
        <v>31.185312</v>
      </c>
      <c r="CU70" s="3">
        <v>34.629241999999998</v>
      </c>
      <c r="CV70" s="3">
        <v>29.925498999999999</v>
      </c>
      <c r="CW70" s="3">
        <v>34.307670999999999</v>
      </c>
      <c r="CX70" s="3">
        <v>32.053314</v>
      </c>
      <c r="CY70" s="3">
        <v>32.179459000000001</v>
      </c>
      <c r="CZ70" s="3">
        <v>32.663604999999997</v>
      </c>
      <c r="DA70" s="3">
        <v>35.398437999999999</v>
      </c>
      <c r="DB70" s="3">
        <v>32.361710000000002</v>
      </c>
      <c r="DC70" s="3">
        <v>33.664253000000002</v>
      </c>
      <c r="DD70" s="3">
        <v>36.125430999999999</v>
      </c>
      <c r="DE70" s="3">
        <v>30.389037999999999</v>
      </c>
      <c r="DF70" s="3">
        <v>32.89743</v>
      </c>
      <c r="DG70" s="3">
        <v>35.917946000000001</v>
      </c>
      <c r="DH70" s="3">
        <v>35.994404000000003</v>
      </c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</row>
    <row r="72" spans="2:207" x14ac:dyDescent="0.2">
      <c r="M72" s="3"/>
      <c r="N72" s="3"/>
    </row>
    <row r="73" spans="2:207" x14ac:dyDescent="0.2">
      <c r="B73" t="s">
        <v>59</v>
      </c>
      <c r="D73" s="1" t="s">
        <v>41</v>
      </c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38.40350273</v>
      </c>
      <c r="H74" s="3">
        <f>MAX(M74:GJ74)</f>
        <v>43.288715000000003</v>
      </c>
      <c r="I74" s="3">
        <f>MIN(M74:GJ74)</f>
        <v>33.259864999999998</v>
      </c>
      <c r="J74" s="3">
        <f>_xlfn.STDEV.P(M74:GJ74)</f>
        <v>2.0119023548259038</v>
      </c>
      <c r="K74" s="3">
        <f>_xlfn.VAR.S(M74:GJ74)</f>
        <v>4.0886374599535529</v>
      </c>
      <c r="M74" s="3">
        <v>37.524742000000003</v>
      </c>
      <c r="N74" s="3">
        <v>38.863449000000003</v>
      </c>
      <c r="O74" s="3">
        <v>37.394238000000001</v>
      </c>
      <c r="P74" s="3">
        <v>38.827209000000003</v>
      </c>
      <c r="Q74" s="3">
        <v>38.426476000000001</v>
      </c>
      <c r="R74" s="3">
        <v>37.402901</v>
      </c>
      <c r="S74" s="3">
        <v>40.465321000000003</v>
      </c>
      <c r="T74" s="3">
        <v>36.84346</v>
      </c>
      <c r="U74" s="3">
        <v>33.259864999999998</v>
      </c>
      <c r="V74" s="3">
        <v>34.895054000000002</v>
      </c>
      <c r="W74" s="3">
        <v>35.260151</v>
      </c>
      <c r="X74" s="3">
        <v>39.786456999999999</v>
      </c>
      <c r="Y74" s="3">
        <v>38.802897999999999</v>
      </c>
      <c r="Z74" s="3">
        <v>38.878162000000003</v>
      </c>
      <c r="AA74" s="3">
        <v>40.961243000000003</v>
      </c>
      <c r="AB74" s="3">
        <v>34.633693999999998</v>
      </c>
      <c r="AC74" s="3">
        <v>35.082560999999998</v>
      </c>
      <c r="AD74" s="3">
        <v>39.736365999999997</v>
      </c>
      <c r="AE74" s="3">
        <v>42.111462000000003</v>
      </c>
      <c r="AF74" s="3">
        <v>36.463104000000001</v>
      </c>
      <c r="AG74" s="3">
        <v>38.929085000000001</v>
      </c>
      <c r="AH74" s="3">
        <v>38.228332999999999</v>
      </c>
      <c r="AI74" s="3">
        <v>37.127533</v>
      </c>
      <c r="AJ74" s="3">
        <v>40.604613999999998</v>
      </c>
      <c r="AK74" s="3">
        <v>37.833447</v>
      </c>
      <c r="AL74" s="3">
        <v>38.006892999999998</v>
      </c>
      <c r="AM74" s="3">
        <v>39.060513</v>
      </c>
      <c r="AN74" s="3">
        <v>36.761654</v>
      </c>
      <c r="AO74" s="3">
        <v>39.884402999999999</v>
      </c>
      <c r="AP74" s="3">
        <v>38.327435000000001</v>
      </c>
      <c r="AQ74" s="3">
        <v>37.383544999999998</v>
      </c>
      <c r="AR74" s="3">
        <v>37.576061000000003</v>
      </c>
      <c r="AS74" s="3">
        <v>36.781959999999998</v>
      </c>
      <c r="AT74" s="3">
        <v>37.044970999999997</v>
      </c>
      <c r="AU74" s="3">
        <v>37.867676000000003</v>
      </c>
      <c r="AV74" s="3">
        <v>39.133586999999999</v>
      </c>
      <c r="AW74" s="3">
        <v>39.180869999999999</v>
      </c>
      <c r="AX74" s="3">
        <v>36.871440999999997</v>
      </c>
      <c r="AY74" s="3">
        <v>40.070189999999997</v>
      </c>
      <c r="AZ74" s="3">
        <v>39.282074000000001</v>
      </c>
      <c r="BA74" s="3">
        <v>35.986041999999998</v>
      </c>
      <c r="BB74" s="3">
        <v>37.548946000000001</v>
      </c>
      <c r="BC74" s="3">
        <v>35.944884999999999</v>
      </c>
      <c r="BD74" s="3">
        <v>39.472709999999999</v>
      </c>
      <c r="BE74" s="3">
        <v>37.954467999999999</v>
      </c>
      <c r="BF74" s="3">
        <v>38.887585000000001</v>
      </c>
      <c r="BG74" s="3">
        <v>41.428280000000001</v>
      </c>
      <c r="BH74" s="3">
        <v>35.423862</v>
      </c>
      <c r="BI74" s="3">
        <v>35.55621</v>
      </c>
      <c r="BJ74" s="3">
        <v>40.195563999999997</v>
      </c>
      <c r="BK74" s="3">
        <v>38.085971999999998</v>
      </c>
      <c r="BL74" s="3">
        <v>40.992069000000001</v>
      </c>
      <c r="BM74" s="3">
        <v>43.288715000000003</v>
      </c>
      <c r="BN74" s="3">
        <v>40.500587000000003</v>
      </c>
      <c r="BO74" s="3">
        <v>35.915332999999997</v>
      </c>
      <c r="BP74" s="3">
        <v>39.378051999999997</v>
      </c>
      <c r="BQ74" s="3">
        <v>36.339770999999999</v>
      </c>
      <c r="BR74" s="3">
        <v>41.136425000000003</v>
      </c>
      <c r="BS74" s="3">
        <v>38.580997000000004</v>
      </c>
      <c r="BT74" s="3">
        <v>34.963332999999999</v>
      </c>
      <c r="BU74" s="3">
        <v>37.271515000000001</v>
      </c>
      <c r="BV74" s="3">
        <v>38.316127999999999</v>
      </c>
      <c r="BW74" s="3">
        <v>37.159626000000003</v>
      </c>
      <c r="BX74" s="3">
        <v>37.554749000000001</v>
      </c>
      <c r="BY74" s="3">
        <v>41.667350999999996</v>
      </c>
      <c r="BZ74" s="3">
        <v>35.302684999999997</v>
      </c>
      <c r="CA74" s="3">
        <v>40.056033999999997</v>
      </c>
      <c r="CB74" s="3">
        <v>40.600445000000001</v>
      </c>
      <c r="CC74" s="3">
        <v>42.001640000000002</v>
      </c>
      <c r="CD74" s="3">
        <v>41.716800999999997</v>
      </c>
      <c r="CE74" s="3">
        <v>37.596729000000003</v>
      </c>
      <c r="CF74" s="3">
        <v>39.338188000000002</v>
      </c>
      <c r="CG74" s="3">
        <v>38.507213999999998</v>
      </c>
      <c r="CH74" s="3">
        <v>39.742663999999998</v>
      </c>
      <c r="CI74" s="3">
        <v>39.251311999999999</v>
      </c>
      <c r="CJ74" s="3">
        <v>38.434081999999997</v>
      </c>
      <c r="CK74" s="3">
        <v>40.398701000000003</v>
      </c>
      <c r="CL74" s="3">
        <v>35.712318000000003</v>
      </c>
      <c r="CM74" s="3">
        <v>37.388908000000001</v>
      </c>
      <c r="CN74" s="3">
        <v>37.919280999999998</v>
      </c>
      <c r="CO74" s="3">
        <v>40.295841000000003</v>
      </c>
      <c r="CP74" s="3">
        <v>40.420338000000001</v>
      </c>
      <c r="CQ74" s="3">
        <v>36.218738999999999</v>
      </c>
      <c r="CR74" s="3">
        <v>38.967753999999999</v>
      </c>
      <c r="CS74" s="3">
        <v>37.426299999999998</v>
      </c>
      <c r="CT74" s="3">
        <v>35.345588999999997</v>
      </c>
      <c r="CU74" s="3">
        <v>40.979767000000002</v>
      </c>
      <c r="CV74" s="3">
        <v>37.313183000000002</v>
      </c>
      <c r="CW74" s="3">
        <v>38.329880000000003</v>
      </c>
      <c r="CX74" s="3">
        <v>42.263603000000003</v>
      </c>
      <c r="CY74" s="3">
        <v>36.256393000000003</v>
      </c>
      <c r="CZ74" s="3">
        <v>38.691456000000002</v>
      </c>
      <c r="DA74" s="3">
        <v>42.463867</v>
      </c>
      <c r="DB74" s="3">
        <v>41.047198999999999</v>
      </c>
      <c r="DC74" s="3">
        <v>37.643867</v>
      </c>
      <c r="DD74" s="3">
        <v>40.723652000000001</v>
      </c>
      <c r="DE74" s="3">
        <v>36.700443</v>
      </c>
      <c r="DF74" s="3">
        <v>36.793903</v>
      </c>
      <c r="DG74" s="3">
        <v>38.558487</v>
      </c>
      <c r="DH74" s="3">
        <v>38.818736999999999</v>
      </c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33.247507790000007</v>
      </c>
      <c r="H76" s="3">
        <f>MAX(M76:GJ76)</f>
        <v>42.908295000000003</v>
      </c>
      <c r="I76" s="3">
        <f>MIN(M76:GJ76)</f>
        <v>28.64226</v>
      </c>
      <c r="J76" s="3">
        <f>_xlfn.STDEV.P(M76:GJ76)</f>
        <v>2.8835152586640986</v>
      </c>
      <c r="K76" s="3">
        <f>_xlfn.VAR.S(M76:GJ76)</f>
        <v>8.3986467140895797</v>
      </c>
      <c r="M76" s="3">
        <v>30.973828999999999</v>
      </c>
      <c r="N76" s="3">
        <v>30.155211999999999</v>
      </c>
      <c r="O76" s="3">
        <v>42.908295000000003</v>
      </c>
      <c r="P76" s="3">
        <v>38.471438999999997</v>
      </c>
      <c r="Q76" s="3">
        <v>30.626570000000001</v>
      </c>
      <c r="R76" s="3">
        <v>32.287762000000001</v>
      </c>
      <c r="S76" s="3">
        <v>31.484290999999999</v>
      </c>
      <c r="T76" s="3">
        <v>36.411293000000001</v>
      </c>
      <c r="U76" s="3">
        <v>36.105324000000003</v>
      </c>
      <c r="V76" s="3">
        <v>37.973598000000003</v>
      </c>
      <c r="W76" s="3">
        <v>36.516125000000002</v>
      </c>
      <c r="X76" s="3">
        <v>38.913578000000001</v>
      </c>
      <c r="Y76" s="3">
        <v>38.774773000000003</v>
      </c>
      <c r="Z76" s="3">
        <v>33.316710999999998</v>
      </c>
      <c r="AA76" s="3">
        <v>36.535130000000002</v>
      </c>
      <c r="AB76" s="3">
        <v>35.652724999999997</v>
      </c>
      <c r="AC76" s="3">
        <v>30.600739999999998</v>
      </c>
      <c r="AD76" s="3">
        <v>33.394249000000002</v>
      </c>
      <c r="AE76" s="3">
        <v>35.488461000000001</v>
      </c>
      <c r="AF76" s="3">
        <v>32.216652000000003</v>
      </c>
      <c r="AG76" s="3">
        <v>31.610153</v>
      </c>
      <c r="AH76" s="3">
        <v>39.951241000000003</v>
      </c>
      <c r="AI76" s="3">
        <v>34.718971000000003</v>
      </c>
      <c r="AJ76" s="3">
        <v>30.972436999999999</v>
      </c>
      <c r="AK76" s="3">
        <v>39.821311999999999</v>
      </c>
      <c r="AL76" s="3">
        <v>32.264893000000001</v>
      </c>
      <c r="AM76" s="3">
        <v>30.584627000000001</v>
      </c>
      <c r="AN76" s="3">
        <v>33.681282000000003</v>
      </c>
      <c r="AO76" s="3">
        <v>31.307741</v>
      </c>
      <c r="AP76" s="3">
        <v>32.786186000000001</v>
      </c>
      <c r="AQ76" s="3">
        <v>38.176566999999999</v>
      </c>
      <c r="AR76" s="3">
        <v>31.875816</v>
      </c>
      <c r="AS76" s="3">
        <v>32.094794999999998</v>
      </c>
      <c r="AT76" s="3">
        <v>33.292884999999998</v>
      </c>
      <c r="AU76" s="3">
        <v>37.184963000000003</v>
      </c>
      <c r="AV76" s="3">
        <v>36.446536999999999</v>
      </c>
      <c r="AW76" s="3">
        <v>30.729081999999998</v>
      </c>
      <c r="AX76" s="3">
        <v>35.185532000000002</v>
      </c>
      <c r="AY76" s="3">
        <v>33.699837000000002</v>
      </c>
      <c r="AZ76" s="3">
        <v>37.140540999999999</v>
      </c>
      <c r="BA76" s="3">
        <v>30.798624</v>
      </c>
      <c r="BB76" s="3">
        <v>29.259003</v>
      </c>
      <c r="BC76" s="3">
        <v>34.692379000000003</v>
      </c>
      <c r="BD76" s="3">
        <v>30.36636</v>
      </c>
      <c r="BE76" s="3">
        <v>33.684845000000003</v>
      </c>
      <c r="BF76" s="3">
        <v>31.099321</v>
      </c>
      <c r="BG76" s="3">
        <v>35.139491999999997</v>
      </c>
      <c r="BH76" s="3">
        <v>35.614871999999998</v>
      </c>
      <c r="BI76" s="3">
        <v>36.104754999999997</v>
      </c>
      <c r="BJ76" s="3">
        <v>32.684986000000002</v>
      </c>
      <c r="BK76" s="3">
        <v>30.32443</v>
      </c>
      <c r="BL76" s="3">
        <v>34.984234000000001</v>
      </c>
      <c r="BM76" s="3">
        <v>37.719394999999999</v>
      </c>
      <c r="BN76" s="3">
        <v>36.602252999999997</v>
      </c>
      <c r="BO76" s="3">
        <v>31.819901000000002</v>
      </c>
      <c r="BP76" s="3">
        <v>31.1675</v>
      </c>
      <c r="BQ76" s="3">
        <v>29.57283</v>
      </c>
      <c r="BR76" s="3">
        <v>36.244976000000001</v>
      </c>
      <c r="BS76" s="3">
        <v>29.758130999999999</v>
      </c>
      <c r="BT76" s="3">
        <v>36.383887999999999</v>
      </c>
      <c r="BU76" s="3">
        <v>33.359898000000001</v>
      </c>
      <c r="BV76" s="3">
        <v>29.982979</v>
      </c>
      <c r="BW76" s="3">
        <v>33.653357999999997</v>
      </c>
      <c r="BX76" s="3">
        <v>31.387045000000001</v>
      </c>
      <c r="BY76" s="3">
        <v>31.491496999999999</v>
      </c>
      <c r="BZ76" s="3">
        <v>32.228110999999998</v>
      </c>
      <c r="CA76" s="3">
        <v>30.786085</v>
      </c>
      <c r="CB76" s="3">
        <v>32.718944999999998</v>
      </c>
      <c r="CC76" s="3">
        <v>32.206493000000002</v>
      </c>
      <c r="CD76" s="3">
        <v>31.520235</v>
      </c>
      <c r="CE76" s="3">
        <v>33.910812</v>
      </c>
      <c r="CF76" s="3">
        <v>30.740957000000002</v>
      </c>
      <c r="CG76" s="3">
        <v>33.476944000000003</v>
      </c>
      <c r="CH76" s="3">
        <v>33.977817999999999</v>
      </c>
      <c r="CI76" s="3">
        <v>32.627411000000002</v>
      </c>
      <c r="CJ76" s="3">
        <v>29.440611000000001</v>
      </c>
      <c r="CK76" s="3">
        <v>31.201754000000001</v>
      </c>
      <c r="CL76" s="3">
        <v>35.813338999999999</v>
      </c>
      <c r="CM76" s="3">
        <v>34.445380999999998</v>
      </c>
      <c r="CN76" s="3">
        <v>34.335278000000002</v>
      </c>
      <c r="CO76" s="3">
        <v>31.280828</v>
      </c>
      <c r="CP76" s="3">
        <v>29.297089</v>
      </c>
      <c r="CQ76" s="3">
        <v>30.264918999999999</v>
      </c>
      <c r="CR76" s="3">
        <v>28.64226</v>
      </c>
      <c r="CS76" s="3">
        <v>35.676456000000002</v>
      </c>
      <c r="CT76" s="3">
        <v>30.101789</v>
      </c>
      <c r="CU76" s="3">
        <v>33.085177999999999</v>
      </c>
      <c r="CV76" s="3">
        <v>35.069622000000003</v>
      </c>
      <c r="CW76" s="3">
        <v>31.843523000000001</v>
      </c>
      <c r="CX76" s="3">
        <v>32.577331999999998</v>
      </c>
      <c r="CY76" s="3">
        <v>29.433223999999999</v>
      </c>
      <c r="CZ76" s="3">
        <v>32.736438999999997</v>
      </c>
      <c r="DA76" s="3">
        <v>29.333394999999999</v>
      </c>
      <c r="DB76" s="3">
        <v>29.825768</v>
      </c>
      <c r="DC76" s="3">
        <v>31.755524000000001</v>
      </c>
      <c r="DD76" s="3">
        <v>31.353083000000002</v>
      </c>
      <c r="DE76" s="3">
        <v>34.596519000000001</v>
      </c>
      <c r="DF76" s="3">
        <v>30.350321000000001</v>
      </c>
      <c r="DG76" s="3">
        <v>30.975726999999999</v>
      </c>
      <c r="DH76" s="3">
        <v>30.892502</v>
      </c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38.243505059999997</v>
      </c>
      <c r="H78" s="3">
        <f>MAX(M78:GJ78)</f>
        <v>42.094920999999999</v>
      </c>
      <c r="I78" s="3">
        <f>MIN(M78:GJ78)</f>
        <v>33.781460000000003</v>
      </c>
      <c r="J78" s="3">
        <f>_xlfn.STDEV.P(M78:GJ78)</f>
        <v>1.798341753541044</v>
      </c>
      <c r="K78" s="3">
        <f>_xlfn.VAR.S(M78:GJ78)</f>
        <v>3.2667000631606835</v>
      </c>
      <c r="M78" s="3">
        <v>36.950252999999996</v>
      </c>
      <c r="N78" s="3">
        <v>40.763683</v>
      </c>
      <c r="O78" s="3">
        <v>37.958655999999998</v>
      </c>
      <c r="P78" s="3">
        <v>39.708736000000002</v>
      </c>
      <c r="Q78" s="3">
        <v>38.155689000000002</v>
      </c>
      <c r="R78" s="3">
        <v>33.781460000000003</v>
      </c>
      <c r="S78" s="3">
        <v>39.593829999999997</v>
      </c>
      <c r="T78" s="3">
        <v>37.675868999999999</v>
      </c>
      <c r="U78" s="3">
        <v>41.184691999999998</v>
      </c>
      <c r="V78" s="3">
        <v>37.583492</v>
      </c>
      <c r="W78" s="3">
        <v>39.588123000000003</v>
      </c>
      <c r="X78" s="3">
        <v>40.915923999999997</v>
      </c>
      <c r="Y78" s="3">
        <v>39.732993999999998</v>
      </c>
      <c r="Z78" s="3">
        <v>39.039101000000002</v>
      </c>
      <c r="AA78" s="3">
        <v>39.710011000000002</v>
      </c>
      <c r="AB78" s="3">
        <v>40.469357000000002</v>
      </c>
      <c r="AC78" s="3">
        <v>36.749133999999998</v>
      </c>
      <c r="AD78" s="3">
        <v>37.097580000000001</v>
      </c>
      <c r="AE78" s="3">
        <v>37.716583</v>
      </c>
      <c r="AF78" s="3">
        <v>38.064292999999999</v>
      </c>
      <c r="AG78" s="3">
        <v>41.876465000000003</v>
      </c>
      <c r="AH78" s="3">
        <v>37.265479999999997</v>
      </c>
      <c r="AI78" s="3">
        <v>37.197139999999997</v>
      </c>
      <c r="AJ78" s="3">
        <v>39.930194999999998</v>
      </c>
      <c r="AK78" s="3">
        <v>37.557144000000001</v>
      </c>
      <c r="AL78" s="3">
        <v>39.488415000000003</v>
      </c>
      <c r="AM78" s="3">
        <v>39.876601999999998</v>
      </c>
      <c r="AN78" s="3">
        <v>41.761234000000002</v>
      </c>
      <c r="AO78" s="3">
        <v>37.479892999999997</v>
      </c>
      <c r="AP78" s="3">
        <v>38.517913999999998</v>
      </c>
      <c r="AQ78" s="3">
        <v>39.197338000000002</v>
      </c>
      <c r="AR78" s="3">
        <v>37.331420999999999</v>
      </c>
      <c r="AS78" s="3">
        <v>36.42794</v>
      </c>
      <c r="AT78" s="3">
        <v>36.610568999999998</v>
      </c>
      <c r="AU78" s="3">
        <v>37.393410000000003</v>
      </c>
      <c r="AV78" s="3">
        <v>37.633389000000001</v>
      </c>
      <c r="AW78" s="3">
        <v>37.621566999999999</v>
      </c>
      <c r="AX78" s="3">
        <v>38.086604999999999</v>
      </c>
      <c r="AY78" s="3">
        <v>37.940562999999997</v>
      </c>
      <c r="AZ78" s="3">
        <v>40.400863999999999</v>
      </c>
      <c r="BA78" s="3">
        <v>40.186394</v>
      </c>
      <c r="BB78" s="3">
        <v>36.986626000000001</v>
      </c>
      <c r="BC78" s="3">
        <v>36.860939000000002</v>
      </c>
      <c r="BD78" s="3">
        <v>38.390656</v>
      </c>
      <c r="BE78" s="3">
        <v>36.681823999999999</v>
      </c>
      <c r="BF78" s="3">
        <v>36.254035999999999</v>
      </c>
      <c r="BG78" s="3">
        <v>36.253825999999997</v>
      </c>
      <c r="BH78" s="3">
        <v>38.188087000000003</v>
      </c>
      <c r="BI78" s="3">
        <v>35.869118</v>
      </c>
      <c r="BJ78" s="3">
        <v>36.041713999999999</v>
      </c>
      <c r="BK78" s="3">
        <v>36.104565000000001</v>
      </c>
      <c r="BL78" s="3">
        <v>38.211348999999998</v>
      </c>
      <c r="BM78" s="3">
        <v>36.549895999999997</v>
      </c>
      <c r="BN78" s="3">
        <v>36.122902000000003</v>
      </c>
      <c r="BO78" s="3">
        <v>35.472523000000002</v>
      </c>
      <c r="BP78" s="3">
        <v>36.820450000000001</v>
      </c>
      <c r="BQ78" s="3">
        <v>36.727103999999997</v>
      </c>
      <c r="BR78" s="3">
        <v>36.454445</v>
      </c>
      <c r="BS78" s="3">
        <v>37.490513</v>
      </c>
      <c r="BT78" s="3">
        <v>39.491016000000002</v>
      </c>
      <c r="BU78" s="3">
        <v>39.547657000000001</v>
      </c>
      <c r="BV78" s="3">
        <v>40.404654999999998</v>
      </c>
      <c r="BW78" s="3">
        <v>36.820377000000001</v>
      </c>
      <c r="BX78" s="3">
        <v>37.143951000000001</v>
      </c>
      <c r="BY78" s="3">
        <v>36.855742999999997</v>
      </c>
      <c r="BZ78" s="3">
        <v>37.754821999999997</v>
      </c>
      <c r="CA78" s="3">
        <v>36.714100000000002</v>
      </c>
      <c r="CB78" s="3">
        <v>35.619929999999997</v>
      </c>
      <c r="CC78" s="3">
        <v>36.742451000000003</v>
      </c>
      <c r="CD78" s="3">
        <v>33.855609999999999</v>
      </c>
      <c r="CE78" s="3">
        <v>36.171821999999999</v>
      </c>
      <c r="CF78" s="3">
        <v>37.928829</v>
      </c>
      <c r="CG78" s="3">
        <v>35.989502000000002</v>
      </c>
      <c r="CH78" s="3">
        <v>40.018551000000002</v>
      </c>
      <c r="CI78" s="3">
        <v>37.655659</v>
      </c>
      <c r="CJ78" s="3">
        <v>38.518031999999998</v>
      </c>
      <c r="CK78" s="3">
        <v>40.490147</v>
      </c>
      <c r="CL78" s="3">
        <v>38.663466999999997</v>
      </c>
      <c r="CM78" s="3">
        <v>38.123137999999997</v>
      </c>
      <c r="CN78" s="3">
        <v>41.794922</v>
      </c>
      <c r="CO78" s="3">
        <v>41.835278000000002</v>
      </c>
      <c r="CP78" s="3">
        <v>38.946693000000003</v>
      </c>
      <c r="CQ78" s="3">
        <v>38.544772999999999</v>
      </c>
      <c r="CR78" s="3">
        <v>40.962634999999999</v>
      </c>
      <c r="CS78" s="3">
        <v>38.216442000000001</v>
      </c>
      <c r="CT78" s="3">
        <v>36.289658000000003</v>
      </c>
      <c r="CU78" s="3">
        <v>39.697884000000002</v>
      </c>
      <c r="CV78" s="3">
        <v>40.500568000000001</v>
      </c>
      <c r="CW78" s="3">
        <v>41.628658000000001</v>
      </c>
      <c r="CX78" s="3">
        <v>38.928234000000003</v>
      </c>
      <c r="CY78" s="3">
        <v>40.141869</v>
      </c>
      <c r="CZ78" s="3">
        <v>37.788817999999999</v>
      </c>
      <c r="DA78" s="3">
        <v>37.800269999999998</v>
      </c>
      <c r="DB78" s="3">
        <v>38.381000999999998</v>
      </c>
      <c r="DC78" s="3">
        <v>42.094920999999999</v>
      </c>
      <c r="DD78" s="3">
        <v>41.515255000000003</v>
      </c>
      <c r="DE78" s="3">
        <v>39.524920999999999</v>
      </c>
      <c r="DF78" s="3">
        <v>37.046844</v>
      </c>
      <c r="DG78" s="3">
        <v>37.588047000000003</v>
      </c>
      <c r="DH78" s="3">
        <v>36.912781000000003</v>
      </c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32.524932579999998</v>
      </c>
      <c r="H80" s="3">
        <f>MAX(M80:GJ80)</f>
        <v>35.725769</v>
      </c>
      <c r="I80" s="3">
        <f>MIN(M80:GJ80)</f>
        <v>29.820938000000002</v>
      </c>
      <c r="J80" s="3">
        <f>_xlfn.STDEV.P(M80:GJ80)</f>
        <v>1.3317365705570914</v>
      </c>
      <c r="K80" s="3">
        <f>_xlfn.VAR.S(M80:GJ80)</f>
        <v>1.7914366599587501</v>
      </c>
      <c r="M80" s="3">
        <v>31.860254000000001</v>
      </c>
      <c r="N80" s="3">
        <v>31.318821</v>
      </c>
      <c r="O80" s="3">
        <v>32.884982999999998</v>
      </c>
      <c r="P80" s="3">
        <v>32.666584</v>
      </c>
      <c r="Q80" s="3">
        <v>31.862341000000001</v>
      </c>
      <c r="R80" s="3">
        <v>33.433681</v>
      </c>
      <c r="S80" s="3">
        <v>32.661963999999998</v>
      </c>
      <c r="T80" s="3">
        <v>31.662414999999999</v>
      </c>
      <c r="U80" s="3">
        <v>32.159115</v>
      </c>
      <c r="V80" s="3">
        <v>35.725769</v>
      </c>
      <c r="W80" s="3">
        <v>31.092136</v>
      </c>
      <c r="X80" s="3">
        <v>31.606928</v>
      </c>
      <c r="Y80" s="3">
        <v>31.217576999999999</v>
      </c>
      <c r="Z80" s="3">
        <v>35.040405</v>
      </c>
      <c r="AA80" s="3">
        <v>32.550350000000002</v>
      </c>
      <c r="AB80" s="3">
        <v>30.443487000000001</v>
      </c>
      <c r="AC80" s="3">
        <v>29.820938000000002</v>
      </c>
      <c r="AD80" s="3">
        <v>33.109687999999998</v>
      </c>
      <c r="AE80" s="3">
        <v>31.951778000000001</v>
      </c>
      <c r="AF80" s="3">
        <v>31.377478</v>
      </c>
      <c r="AG80" s="3">
        <v>32.895332000000003</v>
      </c>
      <c r="AH80" s="3">
        <v>34.854225</v>
      </c>
      <c r="AI80" s="3">
        <v>31.106674000000002</v>
      </c>
      <c r="AJ80" s="3">
        <v>34.635429000000002</v>
      </c>
      <c r="AK80" s="3">
        <v>32.550193999999998</v>
      </c>
      <c r="AL80" s="3">
        <v>32.833117999999999</v>
      </c>
      <c r="AM80" s="3">
        <v>31.135714</v>
      </c>
      <c r="AN80" s="3">
        <v>30.386063</v>
      </c>
      <c r="AO80" s="3">
        <v>32.164248999999998</v>
      </c>
      <c r="AP80" s="3">
        <v>30.824276000000001</v>
      </c>
      <c r="AQ80" s="3">
        <v>31.965434999999999</v>
      </c>
      <c r="AR80" s="3">
        <v>30.610371000000001</v>
      </c>
      <c r="AS80" s="3">
        <v>31.378595000000001</v>
      </c>
      <c r="AT80" s="3">
        <v>32.206313999999999</v>
      </c>
      <c r="AU80" s="3">
        <v>32.104385000000001</v>
      </c>
      <c r="AV80" s="3">
        <v>30.066320000000001</v>
      </c>
      <c r="AW80" s="3">
        <v>32.838332999999999</v>
      </c>
      <c r="AX80" s="3">
        <v>33.842941000000003</v>
      </c>
      <c r="AY80" s="3">
        <v>32.129173000000002</v>
      </c>
      <c r="AZ80" s="3">
        <v>32.157986000000001</v>
      </c>
      <c r="BA80" s="3">
        <v>32.357655000000001</v>
      </c>
      <c r="BB80" s="3">
        <v>32.314846000000003</v>
      </c>
      <c r="BC80" s="3">
        <v>32.566482999999998</v>
      </c>
      <c r="BD80" s="3">
        <v>31.373819000000001</v>
      </c>
      <c r="BE80" s="3">
        <v>32.151496999999999</v>
      </c>
      <c r="BF80" s="3">
        <v>30.481686</v>
      </c>
      <c r="BG80" s="3">
        <v>31.539256999999999</v>
      </c>
      <c r="BH80" s="3">
        <v>33.499122999999997</v>
      </c>
      <c r="BI80" s="3">
        <v>33.056804999999997</v>
      </c>
      <c r="BJ80" s="3">
        <v>33.272162999999999</v>
      </c>
      <c r="BK80" s="3">
        <v>34.027977</v>
      </c>
      <c r="BL80" s="3">
        <v>31.949728</v>
      </c>
      <c r="BM80" s="3">
        <v>30.839518000000002</v>
      </c>
      <c r="BN80" s="3">
        <v>32.653911999999998</v>
      </c>
      <c r="BO80" s="3">
        <v>32.081744999999998</v>
      </c>
      <c r="BP80" s="3">
        <v>35.067261000000002</v>
      </c>
      <c r="BQ80" s="3">
        <v>31.368357</v>
      </c>
      <c r="BR80" s="3">
        <v>32.648235</v>
      </c>
      <c r="BS80" s="3">
        <v>33.239510000000003</v>
      </c>
      <c r="BT80" s="3">
        <v>34.602893999999999</v>
      </c>
      <c r="BU80" s="3">
        <v>32.869616999999998</v>
      </c>
      <c r="BV80" s="3">
        <v>31.779453</v>
      </c>
      <c r="BW80" s="3">
        <v>32.292099</v>
      </c>
      <c r="BX80" s="3">
        <v>33.070732</v>
      </c>
      <c r="BY80" s="3">
        <v>32.695694000000003</v>
      </c>
      <c r="BZ80" s="3">
        <v>32.057461000000004</v>
      </c>
      <c r="CA80" s="3">
        <v>30.805685</v>
      </c>
      <c r="CB80" s="3">
        <v>32.924084000000001</v>
      </c>
      <c r="CC80" s="3">
        <v>33.421455000000002</v>
      </c>
      <c r="CD80" s="3">
        <v>33.222847000000002</v>
      </c>
      <c r="CE80" s="3">
        <v>32.203285000000001</v>
      </c>
      <c r="CF80" s="3">
        <v>34.099148</v>
      </c>
      <c r="CG80" s="3">
        <v>33.057307999999999</v>
      </c>
      <c r="CH80" s="3">
        <v>35.642685</v>
      </c>
      <c r="CI80" s="3">
        <v>35.447989999999997</v>
      </c>
      <c r="CJ80" s="3">
        <v>32.861033999999997</v>
      </c>
      <c r="CK80" s="3">
        <v>33.611091999999999</v>
      </c>
      <c r="CL80" s="3">
        <v>32.651412999999998</v>
      </c>
      <c r="CM80" s="3">
        <v>33.07246</v>
      </c>
      <c r="CN80" s="3">
        <v>32.596519000000001</v>
      </c>
      <c r="CO80" s="3">
        <v>34.793835000000001</v>
      </c>
      <c r="CP80" s="3">
        <v>31.161121000000001</v>
      </c>
      <c r="CQ80" s="3">
        <v>34.163017000000004</v>
      </c>
      <c r="CR80" s="3">
        <v>33.898890999999999</v>
      </c>
      <c r="CS80" s="3">
        <v>30.713383</v>
      </c>
      <c r="CT80" s="3">
        <v>31.478563000000001</v>
      </c>
      <c r="CU80" s="3">
        <v>30.289127000000001</v>
      </c>
      <c r="CV80" s="3">
        <v>33.906787999999999</v>
      </c>
      <c r="CW80" s="3">
        <v>33.779324000000003</v>
      </c>
      <c r="CX80" s="3">
        <v>32.824196000000001</v>
      </c>
      <c r="CY80" s="3">
        <v>31.278687999999999</v>
      </c>
      <c r="CZ80" s="3">
        <v>33.796993000000001</v>
      </c>
      <c r="DA80" s="3">
        <v>31.096695</v>
      </c>
      <c r="DB80" s="3">
        <v>33.939914999999999</v>
      </c>
      <c r="DC80" s="3">
        <v>33.321522000000002</v>
      </c>
      <c r="DD80" s="3">
        <v>30.739346000000001</v>
      </c>
      <c r="DE80" s="3">
        <v>30.597013</v>
      </c>
      <c r="DF80" s="3">
        <v>33.199257000000003</v>
      </c>
      <c r="DG80" s="3">
        <v>33.919708</v>
      </c>
      <c r="DH80" s="3">
        <v>34.989525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37.902814329999991</v>
      </c>
      <c r="H82" s="3">
        <f>MAX(M82:GJ82)</f>
        <v>45.633491999999997</v>
      </c>
      <c r="I82" s="3">
        <f>MIN(M82:GJ82)</f>
        <v>30.311063999999998</v>
      </c>
      <c r="J82" s="3">
        <f>_xlfn.STDEV.P(M82:GJ82)</f>
        <v>3.8377332391357766</v>
      </c>
      <c r="K82" s="3">
        <f>_xlfn.VAR.S(M82:GJ82)</f>
        <v>14.876966075522818</v>
      </c>
      <c r="M82" s="3">
        <v>30.484466999999999</v>
      </c>
      <c r="N82" s="3">
        <v>43.203518000000003</v>
      </c>
      <c r="O82" s="3">
        <v>42.885437000000003</v>
      </c>
      <c r="P82" s="3">
        <v>37.652228999999998</v>
      </c>
      <c r="Q82" s="3">
        <v>43.710166999999998</v>
      </c>
      <c r="R82" s="3">
        <v>40.279967999999997</v>
      </c>
      <c r="S82" s="3">
        <v>37.745136000000002</v>
      </c>
      <c r="T82" s="3">
        <v>44.104488000000003</v>
      </c>
      <c r="U82" s="3">
        <v>38.129142999999999</v>
      </c>
      <c r="V82" s="3">
        <v>39.315277000000002</v>
      </c>
      <c r="W82" s="3">
        <v>40.762149999999998</v>
      </c>
      <c r="X82" s="3">
        <v>34.190421999999998</v>
      </c>
      <c r="Y82" s="3">
        <v>36.914856</v>
      </c>
      <c r="Z82" s="3">
        <v>35.010638999999998</v>
      </c>
      <c r="AA82" s="3">
        <v>41.542889000000002</v>
      </c>
      <c r="AB82" s="3">
        <v>37.923012</v>
      </c>
      <c r="AC82" s="3">
        <v>35.618153</v>
      </c>
      <c r="AD82" s="3">
        <v>38.414661000000002</v>
      </c>
      <c r="AE82" s="3">
        <v>41.912868000000003</v>
      </c>
      <c r="AF82" s="3">
        <v>42.288150999999999</v>
      </c>
      <c r="AG82" s="3">
        <v>37.317374999999998</v>
      </c>
      <c r="AH82" s="3">
        <v>34.924590999999999</v>
      </c>
      <c r="AI82" s="3">
        <v>32.802169999999997</v>
      </c>
      <c r="AJ82" s="3">
        <v>38.012656999999997</v>
      </c>
      <c r="AK82" s="3">
        <v>33.037776999999998</v>
      </c>
      <c r="AL82" s="3">
        <v>34.141787999999998</v>
      </c>
      <c r="AM82" s="3">
        <v>32.338569999999997</v>
      </c>
      <c r="AN82" s="3">
        <v>37.748260000000002</v>
      </c>
      <c r="AO82" s="3">
        <v>38.061359000000003</v>
      </c>
      <c r="AP82" s="3">
        <v>45.633491999999997</v>
      </c>
      <c r="AQ82" s="3">
        <v>36.940907000000003</v>
      </c>
      <c r="AR82" s="3">
        <v>34.30048</v>
      </c>
      <c r="AS82" s="3">
        <v>32.352195999999999</v>
      </c>
      <c r="AT82" s="3">
        <v>36.282184999999998</v>
      </c>
      <c r="AU82" s="3">
        <v>44.128025000000001</v>
      </c>
      <c r="AV82" s="3">
        <v>36.464255999999999</v>
      </c>
      <c r="AW82" s="3">
        <v>30.311063999999998</v>
      </c>
      <c r="AX82" s="3">
        <v>45.432518000000002</v>
      </c>
      <c r="AY82" s="3">
        <v>32.224178000000002</v>
      </c>
      <c r="AZ82" s="3">
        <v>36.112724</v>
      </c>
      <c r="BA82" s="3">
        <v>40.540168999999999</v>
      </c>
      <c r="BB82" s="3">
        <v>35.568333000000003</v>
      </c>
      <c r="BC82" s="3">
        <v>38.078102000000001</v>
      </c>
      <c r="BD82" s="3">
        <v>35.529263</v>
      </c>
      <c r="BE82" s="3">
        <v>31.654716000000001</v>
      </c>
      <c r="BF82" s="3">
        <v>36.000008000000001</v>
      </c>
      <c r="BG82" s="3">
        <v>36.190883999999997</v>
      </c>
      <c r="BH82" s="3">
        <v>36.255294999999997</v>
      </c>
      <c r="BI82" s="3">
        <v>34.509520999999999</v>
      </c>
      <c r="BJ82" s="3">
        <v>39.494349999999997</v>
      </c>
      <c r="BK82" s="3">
        <v>32.773232</v>
      </c>
      <c r="BL82" s="3">
        <v>40.427784000000003</v>
      </c>
      <c r="BM82" s="3">
        <v>35.483719000000001</v>
      </c>
      <c r="BN82" s="3">
        <v>33.909644999999998</v>
      </c>
      <c r="BO82" s="3">
        <v>37.640881</v>
      </c>
      <c r="BP82" s="3">
        <v>32.164729999999999</v>
      </c>
      <c r="BQ82" s="3">
        <v>44.268523999999999</v>
      </c>
      <c r="BR82" s="3">
        <v>34.377411000000002</v>
      </c>
      <c r="BS82" s="3">
        <v>39.224513999999999</v>
      </c>
      <c r="BT82" s="3">
        <v>34.713569999999997</v>
      </c>
      <c r="BU82" s="3">
        <v>35.824359999999999</v>
      </c>
      <c r="BV82" s="3">
        <v>39.037979</v>
      </c>
      <c r="BW82" s="3">
        <v>42.721138000000003</v>
      </c>
      <c r="BX82" s="3">
        <v>37.838397999999998</v>
      </c>
      <c r="BY82" s="3">
        <v>36.073109000000002</v>
      </c>
      <c r="BZ82" s="3">
        <v>39.087082000000002</v>
      </c>
      <c r="CA82" s="3">
        <v>40.615943999999999</v>
      </c>
      <c r="CB82" s="3">
        <v>36.371825999999999</v>
      </c>
      <c r="CC82" s="3">
        <v>38.357784000000002</v>
      </c>
      <c r="CD82" s="3">
        <v>35.952083999999999</v>
      </c>
      <c r="CE82" s="3">
        <v>41.126553000000001</v>
      </c>
      <c r="CF82" s="3">
        <v>40.642426</v>
      </c>
      <c r="CG82" s="3">
        <v>34.82497</v>
      </c>
      <c r="CH82" s="3">
        <v>33.623534999999997</v>
      </c>
      <c r="CI82" s="3">
        <v>44.896118000000001</v>
      </c>
      <c r="CJ82" s="3">
        <v>36.390490999999997</v>
      </c>
      <c r="CK82" s="3">
        <v>36.139561</v>
      </c>
      <c r="CL82" s="3">
        <v>43.431541000000003</v>
      </c>
      <c r="CM82" s="3">
        <v>45.580249999999999</v>
      </c>
      <c r="CN82" s="3">
        <v>33.299563999999997</v>
      </c>
      <c r="CO82" s="3">
        <v>36.715240000000001</v>
      </c>
      <c r="CP82" s="3">
        <v>37.779812</v>
      </c>
      <c r="CQ82" s="3">
        <v>45.298121999999999</v>
      </c>
      <c r="CR82" s="3">
        <v>40.92371</v>
      </c>
      <c r="CS82" s="3">
        <v>34.738151999999999</v>
      </c>
      <c r="CT82" s="3">
        <v>42.186706999999998</v>
      </c>
      <c r="CU82" s="3">
        <v>32.821697</v>
      </c>
      <c r="CV82" s="3">
        <v>41.583888999999999</v>
      </c>
      <c r="CW82" s="3">
        <v>42.665877999999999</v>
      </c>
      <c r="CX82" s="3">
        <v>42.462798999999997</v>
      </c>
      <c r="CY82" s="3">
        <v>31.229074000000001</v>
      </c>
      <c r="CZ82" s="3">
        <v>40.040829000000002</v>
      </c>
      <c r="DA82" s="3">
        <v>40.322155000000002</v>
      </c>
      <c r="DB82" s="3">
        <v>33.934032000000002</v>
      </c>
      <c r="DC82" s="3">
        <v>35.639716999999997</v>
      </c>
      <c r="DD82" s="3">
        <v>41.808228</v>
      </c>
      <c r="DE82" s="3">
        <v>42.467590000000001</v>
      </c>
      <c r="DF82" s="3">
        <v>41.402763</v>
      </c>
      <c r="DG82" s="3">
        <v>39.222037999999998</v>
      </c>
      <c r="DH82" s="3">
        <v>35.745434000000003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</row>
    <row r="84" spans="2:207" x14ac:dyDescent="0.2">
      <c r="M84" s="3"/>
      <c r="N84" s="3"/>
    </row>
    <row r="85" spans="2:207" x14ac:dyDescent="0.2">
      <c r="B85" t="s">
        <v>59</v>
      </c>
      <c r="D85" s="1" t="s">
        <v>40</v>
      </c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15.10248966999999</v>
      </c>
      <c r="H86" s="3">
        <f>MAX(M86:GJ86)</f>
        <v>20.230923000000001</v>
      </c>
      <c r="I86" s="3">
        <f>MIN(M86:GJ86)</f>
        <v>12.988011</v>
      </c>
      <c r="J86" s="3">
        <f>_xlfn.STDEV.P(M86:GJ86)</f>
        <v>1.6158850911898726</v>
      </c>
      <c r="K86" s="3">
        <f>_xlfn.VAR.S(M86:GJ86)</f>
        <v>2.6374592201310509</v>
      </c>
      <c r="M86" s="3">
        <v>13.846894000000001</v>
      </c>
      <c r="N86" s="3">
        <v>16.801373000000002</v>
      </c>
      <c r="O86" s="3">
        <v>14.030808</v>
      </c>
      <c r="P86" s="3">
        <v>17.076381999999999</v>
      </c>
      <c r="Q86" s="3">
        <v>13.532397</v>
      </c>
      <c r="R86" s="3">
        <v>14.119429</v>
      </c>
      <c r="S86" s="3">
        <v>15.409564</v>
      </c>
      <c r="T86" s="3">
        <v>14.309832</v>
      </c>
      <c r="U86" s="3">
        <v>13.862795</v>
      </c>
      <c r="V86" s="3">
        <v>13.470248</v>
      </c>
      <c r="W86" s="3">
        <v>13.870540999999999</v>
      </c>
      <c r="X86" s="3">
        <v>14.271117</v>
      </c>
      <c r="Y86" s="3">
        <v>17.397852</v>
      </c>
      <c r="Z86" s="3">
        <v>14.892941</v>
      </c>
      <c r="AA86" s="3">
        <v>13.997226</v>
      </c>
      <c r="AB86" s="3">
        <v>15.043239</v>
      </c>
      <c r="AC86" s="3">
        <v>14.415664</v>
      </c>
      <c r="AD86" s="3">
        <v>17.916077000000001</v>
      </c>
      <c r="AE86" s="3">
        <v>18.638719999999999</v>
      </c>
      <c r="AF86" s="3">
        <v>14.7476</v>
      </c>
      <c r="AG86" s="3">
        <v>14.378361</v>
      </c>
      <c r="AH86" s="3">
        <v>15.779968</v>
      </c>
      <c r="AI86" s="3">
        <v>14.071102</v>
      </c>
      <c r="AJ86" s="3">
        <v>14.262408000000001</v>
      </c>
      <c r="AK86" s="3">
        <v>18.414771999999999</v>
      </c>
      <c r="AL86" s="3">
        <v>14.341583</v>
      </c>
      <c r="AM86" s="3">
        <v>15.694386</v>
      </c>
      <c r="AN86" s="3">
        <v>14.216942</v>
      </c>
      <c r="AO86" s="3">
        <v>19.265654000000001</v>
      </c>
      <c r="AP86" s="3">
        <v>15.271369999999999</v>
      </c>
      <c r="AQ86" s="3">
        <v>14.047477000000001</v>
      </c>
      <c r="AR86" s="3">
        <v>17.729374</v>
      </c>
      <c r="AS86" s="3">
        <v>14.835070999999999</v>
      </c>
      <c r="AT86" s="3">
        <v>13.619975999999999</v>
      </c>
      <c r="AU86" s="3">
        <v>14.566248999999999</v>
      </c>
      <c r="AV86" s="3">
        <v>17.764244000000001</v>
      </c>
      <c r="AW86" s="3">
        <v>13.772676000000001</v>
      </c>
      <c r="AX86" s="3">
        <v>16.965923</v>
      </c>
      <c r="AY86" s="3">
        <v>14.320845</v>
      </c>
      <c r="AZ86" s="3">
        <v>13.624470000000001</v>
      </c>
      <c r="BA86" s="3">
        <v>15.697205</v>
      </c>
      <c r="BB86" s="3">
        <v>16.680371999999998</v>
      </c>
      <c r="BC86" s="3">
        <v>15.826613</v>
      </c>
      <c r="BD86" s="3">
        <v>13.852703999999999</v>
      </c>
      <c r="BE86" s="3">
        <v>15.567679</v>
      </c>
      <c r="BF86" s="3">
        <v>13.278124</v>
      </c>
      <c r="BG86" s="3">
        <v>20.230923000000001</v>
      </c>
      <c r="BH86" s="3">
        <v>14.396710000000001</v>
      </c>
      <c r="BI86" s="3">
        <v>13.735986</v>
      </c>
      <c r="BJ86" s="3">
        <v>15.752682</v>
      </c>
      <c r="BK86" s="3">
        <v>13.781084</v>
      </c>
      <c r="BL86" s="3">
        <v>18.626169000000001</v>
      </c>
      <c r="BM86" s="3">
        <v>14.465794000000001</v>
      </c>
      <c r="BN86" s="3">
        <v>18.212344999999999</v>
      </c>
      <c r="BO86" s="3">
        <v>13.666693</v>
      </c>
      <c r="BP86" s="3">
        <v>14.179399</v>
      </c>
      <c r="BQ86" s="3">
        <v>13.875966</v>
      </c>
      <c r="BR86" s="3">
        <v>14.383552999999999</v>
      </c>
      <c r="BS86" s="3">
        <v>14.248716</v>
      </c>
      <c r="BT86" s="3">
        <v>14.628358</v>
      </c>
      <c r="BU86" s="3">
        <v>14.778886</v>
      </c>
      <c r="BV86" s="3">
        <v>14.768018</v>
      </c>
      <c r="BW86" s="3">
        <v>13.944485</v>
      </c>
      <c r="BX86" s="3">
        <v>14.509997</v>
      </c>
      <c r="BY86" s="3">
        <v>15.126229</v>
      </c>
      <c r="BZ86" s="3">
        <v>14.383694999999999</v>
      </c>
      <c r="CA86" s="3">
        <v>16.666661999999999</v>
      </c>
      <c r="CB86" s="3">
        <v>18.878039999999999</v>
      </c>
      <c r="CC86" s="3">
        <v>18.243509</v>
      </c>
      <c r="CD86" s="3">
        <v>15.216554</v>
      </c>
      <c r="CE86" s="3">
        <v>14.920273999999999</v>
      </c>
      <c r="CF86" s="3">
        <v>16.562828</v>
      </c>
      <c r="CG86" s="3">
        <v>14.566001</v>
      </c>
      <c r="CH86" s="3">
        <v>12.988011</v>
      </c>
      <c r="CI86" s="3">
        <v>19.184286</v>
      </c>
      <c r="CJ86" s="3">
        <v>14.133470000000001</v>
      </c>
      <c r="CK86" s="3">
        <v>14.820636</v>
      </c>
      <c r="CL86" s="3">
        <v>14.193203</v>
      </c>
      <c r="CM86" s="3">
        <v>14.03913</v>
      </c>
      <c r="CN86" s="3">
        <v>13.798403</v>
      </c>
      <c r="CO86" s="3">
        <v>14.441082</v>
      </c>
      <c r="CP86" s="3">
        <v>14.351037</v>
      </c>
      <c r="CQ86" s="3">
        <v>13.742728</v>
      </c>
      <c r="CR86" s="3">
        <v>14.154799000000001</v>
      </c>
      <c r="CS86" s="3">
        <v>13.761139999999999</v>
      </c>
      <c r="CT86" s="3">
        <v>13.819222999999999</v>
      </c>
      <c r="CU86" s="3">
        <v>14.955282</v>
      </c>
      <c r="CV86" s="3">
        <v>14.932308000000001</v>
      </c>
      <c r="CW86" s="3">
        <v>14.029688</v>
      </c>
      <c r="CX86" s="3">
        <v>15.851254000000001</v>
      </c>
      <c r="CY86" s="3">
        <v>13.925091</v>
      </c>
      <c r="CZ86" s="3">
        <v>14.867908</v>
      </c>
      <c r="DA86" s="3">
        <v>18.636478</v>
      </c>
      <c r="DB86" s="3">
        <v>13.860293</v>
      </c>
      <c r="DC86" s="3">
        <v>14.543884</v>
      </c>
      <c r="DD86" s="3">
        <v>13.343253000000001</v>
      </c>
      <c r="DE86" s="3">
        <v>14.583221999999999</v>
      </c>
      <c r="DF86" s="3">
        <v>14.012810999999999</v>
      </c>
      <c r="DG86" s="3">
        <v>14.677159</v>
      </c>
      <c r="DH86" s="3">
        <v>14.357385000000001</v>
      </c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14.448744589999992</v>
      </c>
      <c r="H88" s="3">
        <f>MAX(M88:GJ88)</f>
        <v>19.628610999999999</v>
      </c>
      <c r="I88" s="3">
        <f>MIN(M88:GJ88)</f>
        <v>10.80092</v>
      </c>
      <c r="J88" s="3">
        <f>_xlfn.STDEV.P(M88:GJ88)</f>
        <v>1.8745139005039195</v>
      </c>
      <c r="K88" s="3">
        <f>_xlfn.VAR.S(M88:GJ88)</f>
        <v>3.5492953163458987</v>
      </c>
      <c r="M88" s="3">
        <v>15.148028999999999</v>
      </c>
      <c r="N88" s="3">
        <v>15.642143000000001</v>
      </c>
      <c r="O88" s="3">
        <v>19.628610999999999</v>
      </c>
      <c r="P88" s="3">
        <v>15.293785</v>
      </c>
      <c r="Q88" s="3">
        <v>17.839642000000001</v>
      </c>
      <c r="R88" s="3">
        <v>13.930599000000001</v>
      </c>
      <c r="S88" s="3">
        <v>13.912508000000001</v>
      </c>
      <c r="T88" s="3">
        <v>14.566978000000001</v>
      </c>
      <c r="U88" s="3">
        <v>12.307052000000001</v>
      </c>
      <c r="V88" s="3">
        <v>17.142237000000002</v>
      </c>
      <c r="W88" s="3">
        <v>14.108663</v>
      </c>
      <c r="X88" s="3">
        <v>13.806932</v>
      </c>
      <c r="Y88" s="3">
        <v>14.425803999999999</v>
      </c>
      <c r="Z88" s="3">
        <v>13.692655999999999</v>
      </c>
      <c r="AA88" s="3">
        <v>13.435044</v>
      </c>
      <c r="AB88" s="3">
        <v>13.762195999999999</v>
      </c>
      <c r="AC88" s="3">
        <v>14.365252999999999</v>
      </c>
      <c r="AD88" s="3">
        <v>16.055627999999999</v>
      </c>
      <c r="AE88" s="3">
        <v>15.973706</v>
      </c>
      <c r="AF88" s="3">
        <v>13.649699999999999</v>
      </c>
      <c r="AG88" s="3">
        <v>14.547332000000001</v>
      </c>
      <c r="AH88" s="3">
        <v>15.409492</v>
      </c>
      <c r="AI88" s="3">
        <v>18.291409000000002</v>
      </c>
      <c r="AJ88" s="3">
        <v>12.402355</v>
      </c>
      <c r="AK88" s="3">
        <v>15.465714</v>
      </c>
      <c r="AL88" s="3">
        <v>16.845521999999999</v>
      </c>
      <c r="AM88" s="3">
        <v>12.959415999999999</v>
      </c>
      <c r="AN88" s="3">
        <v>16.476977999999999</v>
      </c>
      <c r="AO88" s="3">
        <v>14.417119</v>
      </c>
      <c r="AP88" s="3">
        <v>17.176770999999999</v>
      </c>
      <c r="AQ88" s="3">
        <v>14.943249</v>
      </c>
      <c r="AR88" s="3">
        <v>14.751067000000001</v>
      </c>
      <c r="AS88" s="3">
        <v>17.100901</v>
      </c>
      <c r="AT88" s="3">
        <v>12.450227999999999</v>
      </c>
      <c r="AU88" s="3">
        <v>15.97212</v>
      </c>
      <c r="AV88" s="3">
        <v>13.524609999999999</v>
      </c>
      <c r="AW88" s="3">
        <v>14.53546</v>
      </c>
      <c r="AX88" s="3">
        <v>14.474137000000001</v>
      </c>
      <c r="AY88" s="3">
        <v>14.468009</v>
      </c>
      <c r="AZ88" s="3">
        <v>15.319350999999999</v>
      </c>
      <c r="BA88" s="3">
        <v>12.334625000000001</v>
      </c>
      <c r="BB88" s="3">
        <v>16.074133</v>
      </c>
      <c r="BC88" s="3">
        <v>13.456839</v>
      </c>
      <c r="BD88" s="3">
        <v>14.331726</v>
      </c>
      <c r="BE88" s="3">
        <v>11.707027999999999</v>
      </c>
      <c r="BF88" s="3">
        <v>16.596968</v>
      </c>
      <c r="BG88" s="3">
        <v>15.208961</v>
      </c>
      <c r="BH88" s="3">
        <v>18.450354000000001</v>
      </c>
      <c r="BI88" s="3">
        <v>14.053890000000001</v>
      </c>
      <c r="BJ88" s="3">
        <v>12.423106000000001</v>
      </c>
      <c r="BK88" s="3">
        <v>16.593278999999999</v>
      </c>
      <c r="BL88" s="3">
        <v>13.233968000000001</v>
      </c>
      <c r="BM88" s="3">
        <v>17.848697999999999</v>
      </c>
      <c r="BN88" s="3">
        <v>14.971686999999999</v>
      </c>
      <c r="BO88" s="3">
        <v>16.941133000000001</v>
      </c>
      <c r="BP88" s="3">
        <v>11.620208999999999</v>
      </c>
      <c r="BQ88" s="3">
        <v>16.046908999999999</v>
      </c>
      <c r="BR88" s="3">
        <v>17.320544999999999</v>
      </c>
      <c r="BS88" s="3">
        <v>10.80092</v>
      </c>
      <c r="BT88" s="3">
        <v>14.202579</v>
      </c>
      <c r="BU88" s="3">
        <v>14.883172999999999</v>
      </c>
      <c r="BV88" s="3">
        <v>13.236999000000001</v>
      </c>
      <c r="BW88" s="3">
        <v>13.84905</v>
      </c>
      <c r="BX88" s="3">
        <v>14.817624</v>
      </c>
      <c r="BY88" s="3">
        <v>11.246727999999999</v>
      </c>
      <c r="BZ88" s="3">
        <v>12.378803</v>
      </c>
      <c r="CA88" s="3">
        <v>15.58403</v>
      </c>
      <c r="CB88" s="3">
        <v>14.625318999999999</v>
      </c>
      <c r="CC88" s="3">
        <v>11.866735</v>
      </c>
      <c r="CD88" s="3">
        <v>14.179632</v>
      </c>
      <c r="CE88" s="3">
        <v>16.871578</v>
      </c>
      <c r="CF88" s="3">
        <v>16.667369999999998</v>
      </c>
      <c r="CG88" s="3">
        <v>15.639839</v>
      </c>
      <c r="CH88" s="3">
        <v>13.204202</v>
      </c>
      <c r="CI88" s="3">
        <v>13.366910000000001</v>
      </c>
      <c r="CJ88" s="3">
        <v>14.145428000000001</v>
      </c>
      <c r="CK88" s="3">
        <v>11.975643</v>
      </c>
      <c r="CL88" s="3">
        <v>15.680446999999999</v>
      </c>
      <c r="CM88" s="3">
        <v>14.990372000000001</v>
      </c>
      <c r="CN88" s="3">
        <v>18.310402</v>
      </c>
      <c r="CO88" s="3">
        <v>10.975545</v>
      </c>
      <c r="CP88" s="3">
        <v>12.817997999999999</v>
      </c>
      <c r="CQ88" s="3">
        <v>14.276989</v>
      </c>
      <c r="CR88" s="3">
        <v>11.842855</v>
      </c>
      <c r="CS88" s="3">
        <v>12.811453999999999</v>
      </c>
      <c r="CT88" s="3">
        <v>13.404662999999999</v>
      </c>
      <c r="CU88" s="3">
        <v>11.764597999999999</v>
      </c>
      <c r="CV88" s="3">
        <v>15.918977999999999</v>
      </c>
      <c r="CW88" s="3">
        <v>11.317428</v>
      </c>
      <c r="CX88" s="3">
        <v>14.613284999999999</v>
      </c>
      <c r="CY88" s="3">
        <v>12.125088999999999</v>
      </c>
      <c r="CZ88" s="3">
        <v>13.430111</v>
      </c>
      <c r="DA88" s="3">
        <v>14.727505000000001</v>
      </c>
      <c r="DB88" s="3">
        <v>12.917975</v>
      </c>
      <c r="DC88" s="3">
        <v>11.411217000000001</v>
      </c>
      <c r="DD88" s="3">
        <v>15.232278000000001</v>
      </c>
      <c r="DE88" s="3">
        <v>13.829591000000001</v>
      </c>
      <c r="DF88" s="3">
        <v>15.03768</v>
      </c>
      <c r="DG88" s="3">
        <v>12.650418</v>
      </c>
      <c r="DH88" s="3">
        <v>11.812555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16.012838029999998</v>
      </c>
      <c r="H90" s="3">
        <f>MAX(M90:GJ90)</f>
        <v>19.211206000000001</v>
      </c>
      <c r="I90" s="3">
        <f>MIN(M90:GJ90)</f>
        <v>13.52284</v>
      </c>
      <c r="J90" s="3">
        <f>_xlfn.STDEV.P(M90:GJ90)</f>
        <v>1.2669165450047331</v>
      </c>
      <c r="K90" s="3">
        <f>_xlfn.VAR.S(M90:GJ90)</f>
        <v>1.6212904363704339</v>
      </c>
      <c r="M90" s="3">
        <v>14.893428</v>
      </c>
      <c r="N90" s="3">
        <v>14.492929</v>
      </c>
      <c r="O90" s="3">
        <v>15.385246</v>
      </c>
      <c r="P90" s="3">
        <v>14.429703</v>
      </c>
      <c r="Q90" s="3">
        <v>15.826679</v>
      </c>
      <c r="R90" s="3">
        <v>14.746791999999999</v>
      </c>
      <c r="S90" s="3">
        <v>16.825284</v>
      </c>
      <c r="T90" s="3">
        <v>15.525513</v>
      </c>
      <c r="U90" s="3">
        <v>18.805098000000001</v>
      </c>
      <c r="V90" s="3">
        <v>13.929356</v>
      </c>
      <c r="W90" s="3">
        <v>16.389980000000001</v>
      </c>
      <c r="X90" s="3">
        <v>18.255597999999999</v>
      </c>
      <c r="Y90" s="3">
        <v>16.726531999999999</v>
      </c>
      <c r="Z90" s="3">
        <v>15.82859</v>
      </c>
      <c r="AA90" s="3">
        <v>16.139111</v>
      </c>
      <c r="AB90" s="3">
        <v>16.464137999999998</v>
      </c>
      <c r="AC90" s="3">
        <v>15.726924</v>
      </c>
      <c r="AD90" s="3">
        <v>14.705321</v>
      </c>
      <c r="AE90" s="3">
        <v>14.992020999999999</v>
      </c>
      <c r="AF90" s="3">
        <v>15.972985</v>
      </c>
      <c r="AG90" s="3">
        <v>18.963025999999999</v>
      </c>
      <c r="AH90" s="3">
        <v>16.032948000000001</v>
      </c>
      <c r="AI90" s="3">
        <v>15.763328</v>
      </c>
      <c r="AJ90" s="3">
        <v>15.896789999999999</v>
      </c>
      <c r="AK90" s="3">
        <v>14.760861999999999</v>
      </c>
      <c r="AL90" s="3">
        <v>15.741657999999999</v>
      </c>
      <c r="AM90" s="3">
        <v>15.944437000000001</v>
      </c>
      <c r="AN90" s="3">
        <v>18.757656999999998</v>
      </c>
      <c r="AO90" s="3">
        <v>15.036141000000001</v>
      </c>
      <c r="AP90" s="3">
        <v>16.140073999999998</v>
      </c>
      <c r="AQ90" s="3">
        <v>16.170248999999998</v>
      </c>
      <c r="AR90" s="3">
        <v>15.901135999999999</v>
      </c>
      <c r="AS90" s="3">
        <v>16.899654000000002</v>
      </c>
      <c r="AT90" s="3">
        <v>15.356828</v>
      </c>
      <c r="AU90" s="3">
        <v>14.435536000000001</v>
      </c>
      <c r="AV90" s="3">
        <v>13.964821000000001</v>
      </c>
      <c r="AW90" s="3">
        <v>15.813155</v>
      </c>
      <c r="AX90" s="3">
        <v>17.495360999999999</v>
      </c>
      <c r="AY90" s="3">
        <v>15.720243</v>
      </c>
      <c r="AZ90" s="3">
        <v>17.05829</v>
      </c>
      <c r="BA90" s="3">
        <v>16.181069999999998</v>
      </c>
      <c r="BB90" s="3">
        <v>14.936442</v>
      </c>
      <c r="BC90" s="3">
        <v>14.320039</v>
      </c>
      <c r="BD90" s="3">
        <v>15.343268999999999</v>
      </c>
      <c r="BE90" s="3">
        <v>14.953085</v>
      </c>
      <c r="BF90" s="3">
        <v>15.639874000000001</v>
      </c>
      <c r="BG90" s="3">
        <v>16.737371</v>
      </c>
      <c r="BH90" s="3">
        <v>17.15044</v>
      </c>
      <c r="BI90" s="3">
        <v>14.546053000000001</v>
      </c>
      <c r="BJ90" s="3">
        <v>15.536966</v>
      </c>
      <c r="BK90" s="3">
        <v>17.821228000000001</v>
      </c>
      <c r="BL90" s="3">
        <v>13.935955999999999</v>
      </c>
      <c r="BM90" s="3">
        <v>16.046552999999999</v>
      </c>
      <c r="BN90" s="3">
        <v>15.497579999999999</v>
      </c>
      <c r="BO90" s="3">
        <v>16.167086000000001</v>
      </c>
      <c r="BP90" s="3">
        <v>15.872601</v>
      </c>
      <c r="BQ90" s="3">
        <v>15.769259999999999</v>
      </c>
      <c r="BR90" s="3">
        <v>15.173333</v>
      </c>
      <c r="BS90" s="3">
        <v>15.324636</v>
      </c>
      <c r="BT90" s="3">
        <v>17.883737</v>
      </c>
      <c r="BU90" s="3">
        <v>18.163170000000001</v>
      </c>
      <c r="BV90" s="3">
        <v>19.133797000000001</v>
      </c>
      <c r="BW90" s="3">
        <v>15.546543</v>
      </c>
      <c r="BX90" s="3">
        <v>14.24011</v>
      </c>
      <c r="BY90" s="3">
        <v>16.208818000000001</v>
      </c>
      <c r="BZ90" s="3">
        <v>16.032751000000001</v>
      </c>
      <c r="CA90" s="3">
        <v>16.326789999999999</v>
      </c>
      <c r="CB90" s="3">
        <v>15.507903000000001</v>
      </c>
      <c r="CC90" s="3">
        <v>16.327742000000001</v>
      </c>
      <c r="CD90" s="3">
        <v>15.943708000000001</v>
      </c>
      <c r="CE90" s="3">
        <v>16.06448</v>
      </c>
      <c r="CF90" s="3">
        <v>16.615449999999999</v>
      </c>
      <c r="CG90" s="3">
        <v>16.057877000000001</v>
      </c>
      <c r="CH90" s="3">
        <v>18.320782000000001</v>
      </c>
      <c r="CI90" s="3">
        <v>16.670362000000001</v>
      </c>
      <c r="CJ90" s="3">
        <v>16.325227999999999</v>
      </c>
      <c r="CK90" s="3">
        <v>15.170577</v>
      </c>
      <c r="CL90" s="3">
        <v>18.921861</v>
      </c>
      <c r="CM90" s="3">
        <v>17.813690000000001</v>
      </c>
      <c r="CN90" s="3">
        <v>16.001932</v>
      </c>
      <c r="CO90" s="3">
        <v>17.639982</v>
      </c>
      <c r="CP90" s="3">
        <v>15.118537</v>
      </c>
      <c r="CQ90" s="3">
        <v>16.003567</v>
      </c>
      <c r="CR90" s="3">
        <v>19.008389999999999</v>
      </c>
      <c r="CS90" s="3">
        <v>14.845858</v>
      </c>
      <c r="CT90" s="3">
        <v>15.616002</v>
      </c>
      <c r="CU90" s="3">
        <v>16.075495</v>
      </c>
      <c r="CV90" s="3">
        <v>17.05106</v>
      </c>
      <c r="CW90" s="3">
        <v>15.601198</v>
      </c>
      <c r="CX90" s="3">
        <v>14.304114999999999</v>
      </c>
      <c r="CY90" s="3">
        <v>13.52284</v>
      </c>
      <c r="CZ90" s="3">
        <v>14.981522999999999</v>
      </c>
      <c r="DA90" s="3">
        <v>15.485943000000001</v>
      </c>
      <c r="DB90" s="3">
        <v>15.309142</v>
      </c>
      <c r="DC90" s="3">
        <v>19.211206000000001</v>
      </c>
      <c r="DD90" s="3">
        <v>16.850038999999999</v>
      </c>
      <c r="DE90" s="3">
        <v>15.603172000000001</v>
      </c>
      <c r="DF90" s="3">
        <v>15.210272</v>
      </c>
      <c r="DG90" s="3">
        <v>14.478395000000001</v>
      </c>
      <c r="DH90" s="3">
        <v>15.223495</v>
      </c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16.296210209999991</v>
      </c>
      <c r="H92" s="3">
        <f>MAX(M92:GJ92)</f>
        <v>18.242355</v>
      </c>
      <c r="I92" s="3">
        <f>MIN(M92:GJ92)</f>
        <v>11.08442</v>
      </c>
      <c r="J92" s="3">
        <f>_xlfn.STDEV.P(M92:GJ92)</f>
        <v>0.92513016887378918</v>
      </c>
      <c r="K92" s="3">
        <f>_xlfn.VAR.S(M92:GJ92)</f>
        <v>0.86451093874792506</v>
      </c>
      <c r="M92" s="3">
        <v>17.192965000000001</v>
      </c>
      <c r="N92" s="3">
        <v>16.183071000000002</v>
      </c>
      <c r="O92" s="3">
        <v>15.733692</v>
      </c>
      <c r="P92" s="3">
        <v>15.972689000000001</v>
      </c>
      <c r="Q92" s="3">
        <v>14.851656999999999</v>
      </c>
      <c r="R92" s="3">
        <v>17.070322000000001</v>
      </c>
      <c r="S92" s="3">
        <v>16.997952000000002</v>
      </c>
      <c r="T92" s="3">
        <v>16.044279</v>
      </c>
      <c r="U92" s="3">
        <v>16.376733999999999</v>
      </c>
      <c r="V92" s="3">
        <v>16.621507999999999</v>
      </c>
      <c r="W92" s="3">
        <v>16.537025</v>
      </c>
      <c r="X92" s="3">
        <v>16.503</v>
      </c>
      <c r="Y92" s="3">
        <v>16.272652000000001</v>
      </c>
      <c r="Z92" s="3">
        <v>15.809571</v>
      </c>
      <c r="AA92" s="3">
        <v>16.281319</v>
      </c>
      <c r="AB92" s="3">
        <v>12.81062</v>
      </c>
      <c r="AC92" s="3">
        <v>16.938123999999998</v>
      </c>
      <c r="AD92" s="3">
        <v>15.966013</v>
      </c>
      <c r="AE92" s="3">
        <v>17.83774</v>
      </c>
      <c r="AF92" s="3">
        <v>16.928629000000001</v>
      </c>
      <c r="AG92" s="3">
        <v>16.01539</v>
      </c>
      <c r="AH92" s="3">
        <v>16.716448</v>
      </c>
      <c r="AI92" s="3">
        <v>16.613942999999999</v>
      </c>
      <c r="AJ92" s="3">
        <v>18.242355</v>
      </c>
      <c r="AK92" s="3">
        <v>16.756197</v>
      </c>
      <c r="AL92" s="3">
        <v>16.074390000000001</v>
      </c>
      <c r="AM92" s="3">
        <v>16.169129999999999</v>
      </c>
      <c r="AN92" s="3">
        <v>15.678509</v>
      </c>
      <c r="AO92" s="3">
        <v>16.222356999999999</v>
      </c>
      <c r="AP92" s="3">
        <v>15.747938</v>
      </c>
      <c r="AQ92" s="3">
        <v>16.453807999999999</v>
      </c>
      <c r="AR92" s="3">
        <v>16.242160999999999</v>
      </c>
      <c r="AS92" s="3">
        <v>16.990891000000001</v>
      </c>
      <c r="AT92" s="3">
        <v>17.045099</v>
      </c>
      <c r="AU92" s="3">
        <v>16.707149999999999</v>
      </c>
      <c r="AV92" s="3">
        <v>15.470644999999999</v>
      </c>
      <c r="AW92" s="3">
        <v>16.549578</v>
      </c>
      <c r="AX92" s="3">
        <v>17.245550000000001</v>
      </c>
      <c r="AY92" s="3">
        <v>16.57921</v>
      </c>
      <c r="AZ92" s="3">
        <v>16.165241000000002</v>
      </c>
      <c r="BA92" s="3">
        <v>11.08442</v>
      </c>
      <c r="BB92" s="3">
        <v>16.629546999999999</v>
      </c>
      <c r="BC92" s="3">
        <v>16.336344</v>
      </c>
      <c r="BD92" s="3">
        <v>16.523669999999999</v>
      </c>
      <c r="BE92" s="3">
        <v>16.428491999999999</v>
      </c>
      <c r="BF92" s="3">
        <v>16.414667000000001</v>
      </c>
      <c r="BG92" s="3">
        <v>16.312771000000001</v>
      </c>
      <c r="BH92" s="3">
        <v>16.402695000000001</v>
      </c>
      <c r="BI92" s="3">
        <v>15.562881000000001</v>
      </c>
      <c r="BJ92" s="3">
        <v>15.468703</v>
      </c>
      <c r="BK92" s="3">
        <v>17.222049999999999</v>
      </c>
      <c r="BL92" s="3">
        <v>15.583242</v>
      </c>
      <c r="BM92" s="3">
        <v>15.554029999999999</v>
      </c>
      <c r="BN92" s="3">
        <v>15.782743</v>
      </c>
      <c r="BO92" s="3">
        <v>17.233536000000001</v>
      </c>
      <c r="BP92" s="3">
        <v>17.030832</v>
      </c>
      <c r="BQ92" s="3">
        <v>15.141754000000001</v>
      </c>
      <c r="BR92" s="3">
        <v>16.864160999999999</v>
      </c>
      <c r="BS92" s="3">
        <v>16.714542000000002</v>
      </c>
      <c r="BT92" s="3">
        <v>16.678170999999999</v>
      </c>
      <c r="BU92" s="3">
        <v>15.543321000000001</v>
      </c>
      <c r="BV92" s="3">
        <v>16.537785</v>
      </c>
      <c r="BW92" s="3">
        <v>15.09234</v>
      </c>
      <c r="BX92" s="3">
        <v>16.301787999999998</v>
      </c>
      <c r="BY92" s="3">
        <v>16.497952000000002</v>
      </c>
      <c r="BZ92" s="3">
        <v>16.279709</v>
      </c>
      <c r="CA92" s="3">
        <v>16.273481</v>
      </c>
      <c r="CB92" s="3">
        <v>15.688383</v>
      </c>
      <c r="CC92" s="3">
        <v>15.713615000000001</v>
      </c>
      <c r="CD92" s="3">
        <v>17.195982000000001</v>
      </c>
      <c r="CE92" s="3">
        <v>14.815034000000001</v>
      </c>
      <c r="CF92" s="3">
        <v>17.963073999999999</v>
      </c>
      <c r="CG92" s="3">
        <v>15.571547000000001</v>
      </c>
      <c r="CH92" s="3">
        <v>15.464332000000001</v>
      </c>
      <c r="CI92" s="3">
        <v>16.864597</v>
      </c>
      <c r="CJ92" s="3">
        <v>16.055336</v>
      </c>
      <c r="CK92" s="3">
        <v>16.803183000000001</v>
      </c>
      <c r="CL92" s="3">
        <v>16.294551999999999</v>
      </c>
      <c r="CM92" s="3">
        <v>17.413986000000001</v>
      </c>
      <c r="CN92" s="3">
        <v>16.585087000000001</v>
      </c>
      <c r="CO92" s="3">
        <v>17.470165000000001</v>
      </c>
      <c r="CP92" s="3">
        <v>15.169485</v>
      </c>
      <c r="CQ92" s="3">
        <v>17.274813000000002</v>
      </c>
      <c r="CR92" s="3">
        <v>17.550370999999998</v>
      </c>
      <c r="CS92" s="3">
        <v>16.017299999999999</v>
      </c>
      <c r="CT92" s="3">
        <v>15.872471000000001</v>
      </c>
      <c r="CU92" s="3">
        <v>16.521473</v>
      </c>
      <c r="CV92" s="3">
        <v>17.15934</v>
      </c>
      <c r="CW92" s="3">
        <v>15.674827000000001</v>
      </c>
      <c r="CX92" s="3">
        <v>17.016629999999999</v>
      </c>
      <c r="CY92" s="3">
        <v>15.428345999999999</v>
      </c>
      <c r="CZ92" s="3">
        <v>16.820461000000002</v>
      </c>
      <c r="DA92" s="3">
        <v>16.620488999999999</v>
      </c>
      <c r="DB92" s="3">
        <v>17.356199</v>
      </c>
      <c r="DC92" s="3">
        <v>15.643534000000001</v>
      </c>
      <c r="DD92" s="3">
        <v>16.393999000000001</v>
      </c>
      <c r="DE92" s="3">
        <v>16.113581</v>
      </c>
      <c r="DF92" s="3">
        <v>15.655867000000001</v>
      </c>
      <c r="DG92" s="3">
        <v>16.105872999999999</v>
      </c>
      <c r="DH92" s="3">
        <v>17.215910000000001</v>
      </c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16.340006989999999</v>
      </c>
      <c r="H94" s="3">
        <f>MAX(M94:GJ94)</f>
        <v>18.088322000000002</v>
      </c>
      <c r="I94" s="3">
        <f>MIN(M94:GJ94)</f>
        <v>13.487314</v>
      </c>
      <c r="J94" s="3">
        <f>_xlfn.STDEV.P(M94:GJ94)</f>
        <v>0.71602407097586473</v>
      </c>
      <c r="K94" s="3">
        <f>_xlfn.VAR.S(M94:GJ94)</f>
        <v>0.51786916183520226</v>
      </c>
      <c r="M94" s="3">
        <v>16.1751</v>
      </c>
      <c r="N94" s="3">
        <v>16.037095999999998</v>
      </c>
      <c r="O94" s="3">
        <v>16.771761000000001</v>
      </c>
      <c r="P94" s="3">
        <v>17.201242000000001</v>
      </c>
      <c r="Q94">
        <v>17.440351</v>
      </c>
      <c r="R94" s="3">
        <v>15.917856</v>
      </c>
      <c r="S94" s="3">
        <v>16.328123000000001</v>
      </c>
      <c r="T94" s="3">
        <v>16.364899000000001</v>
      </c>
      <c r="U94" s="3">
        <v>16.652712000000001</v>
      </c>
      <c r="V94" s="3">
        <v>15.967848999999999</v>
      </c>
      <c r="W94" s="3">
        <v>16.289663000000001</v>
      </c>
      <c r="X94" s="3">
        <v>15.799008000000001</v>
      </c>
      <c r="Y94" s="3">
        <v>16.786608000000001</v>
      </c>
      <c r="Z94" s="3">
        <v>15.205970000000001</v>
      </c>
      <c r="AA94" s="3">
        <v>17.157962999999999</v>
      </c>
      <c r="AB94" s="3">
        <v>16.528117999999999</v>
      </c>
      <c r="AC94" s="3">
        <v>16.404457000000001</v>
      </c>
      <c r="AD94" s="3">
        <v>16.578164999999998</v>
      </c>
      <c r="AE94" s="3">
        <v>15.76932</v>
      </c>
      <c r="AF94" s="3">
        <v>15.260892999999999</v>
      </c>
      <c r="AG94" s="3">
        <v>15.890077</v>
      </c>
      <c r="AH94" s="3">
        <v>17.321422999999999</v>
      </c>
      <c r="AI94" s="3">
        <v>16.282768000000001</v>
      </c>
      <c r="AJ94" s="3">
        <v>15.411802</v>
      </c>
      <c r="AK94" s="3">
        <v>14.429808</v>
      </c>
      <c r="AL94" s="3">
        <v>16.127752000000001</v>
      </c>
      <c r="AM94" s="3">
        <v>16.139279999999999</v>
      </c>
      <c r="AN94" s="3">
        <v>17.067028000000001</v>
      </c>
      <c r="AO94" s="3">
        <v>16.396902000000001</v>
      </c>
      <c r="AP94" s="3">
        <v>16.719591000000001</v>
      </c>
      <c r="AQ94" s="3">
        <v>17.124441000000001</v>
      </c>
      <c r="AR94" s="3">
        <v>16.636896</v>
      </c>
      <c r="AS94" s="3">
        <v>16.009955999999999</v>
      </c>
      <c r="AT94" s="3">
        <v>15.181379</v>
      </c>
      <c r="AU94" s="3">
        <v>16.422385999999999</v>
      </c>
      <c r="AV94" s="3">
        <v>16.575737</v>
      </c>
      <c r="AW94" s="3">
        <v>16.379612000000002</v>
      </c>
      <c r="AX94" s="3">
        <v>13.487314</v>
      </c>
      <c r="AY94" s="3">
        <v>16.053356000000001</v>
      </c>
      <c r="AZ94" s="3">
        <v>16.821735</v>
      </c>
      <c r="BA94" s="3">
        <v>16.630133000000001</v>
      </c>
      <c r="BB94" s="3">
        <v>16.697762999999998</v>
      </c>
      <c r="BC94" s="3">
        <v>15.783747999999999</v>
      </c>
      <c r="BD94" s="3">
        <v>15.931305999999999</v>
      </c>
      <c r="BE94" s="3">
        <v>15.473696</v>
      </c>
      <c r="BF94" s="3">
        <v>16.897815999999999</v>
      </c>
      <c r="BG94" s="3">
        <v>17.117023</v>
      </c>
      <c r="BH94" s="3">
        <v>16.473633</v>
      </c>
      <c r="BI94" s="3">
        <v>15.061785</v>
      </c>
      <c r="BJ94" s="3">
        <v>17.169291000000001</v>
      </c>
      <c r="BK94" s="3">
        <v>16.220704999999999</v>
      </c>
      <c r="BL94" s="3">
        <v>16.963303</v>
      </c>
      <c r="BM94" s="3">
        <v>16.557390000000002</v>
      </c>
      <c r="BN94" s="3">
        <v>15.313119</v>
      </c>
      <c r="BO94" s="3">
        <v>16.845275999999998</v>
      </c>
      <c r="BP94" s="3">
        <v>16.954315000000001</v>
      </c>
      <c r="BQ94" s="3">
        <v>16.159200999999999</v>
      </c>
      <c r="BR94" s="3">
        <v>16.546693999999999</v>
      </c>
      <c r="BS94" s="3">
        <v>16.387710999999999</v>
      </c>
      <c r="BT94" s="3">
        <v>14.458178999999999</v>
      </c>
      <c r="BU94" s="3">
        <v>16.210491000000001</v>
      </c>
      <c r="BV94" s="3">
        <v>16.794321</v>
      </c>
      <c r="BW94" s="3">
        <v>16.585726000000001</v>
      </c>
      <c r="BX94" s="3">
        <v>16.960493</v>
      </c>
      <c r="BY94" s="3">
        <v>17.783632000000001</v>
      </c>
      <c r="BZ94" s="3">
        <v>15.222189999999999</v>
      </c>
      <c r="CA94" s="3">
        <v>15.507826</v>
      </c>
      <c r="CB94" s="3">
        <v>16.679497000000001</v>
      </c>
      <c r="CC94" s="3">
        <v>15.736091999999999</v>
      </c>
      <c r="CD94" s="3">
        <v>16.735434999999999</v>
      </c>
      <c r="CE94" s="3">
        <v>18.088322000000002</v>
      </c>
      <c r="CF94" s="3">
        <v>15.965854</v>
      </c>
      <c r="CG94" s="3">
        <v>17.454547999999999</v>
      </c>
      <c r="CH94" s="3">
        <v>16.614402999999999</v>
      </c>
      <c r="CI94" s="3">
        <v>16.656638999999998</v>
      </c>
      <c r="CJ94" s="3">
        <v>15.460955999999999</v>
      </c>
      <c r="CK94" s="3">
        <v>16.074614</v>
      </c>
      <c r="CL94" s="3">
        <v>15.953538999999999</v>
      </c>
      <c r="CM94" s="3">
        <v>16.793901000000002</v>
      </c>
      <c r="CN94" s="3">
        <v>15.939095</v>
      </c>
      <c r="CO94" s="3">
        <v>15.775354999999999</v>
      </c>
      <c r="CP94" s="3">
        <v>15.692634999999999</v>
      </c>
      <c r="CQ94" s="3">
        <v>17.423817</v>
      </c>
      <c r="CR94" s="3">
        <v>16.479229</v>
      </c>
      <c r="CS94" s="3">
        <v>16.875855999999999</v>
      </c>
      <c r="CT94" s="3">
        <v>16.225311000000001</v>
      </c>
      <c r="CU94" s="3">
        <v>16.148116999999999</v>
      </c>
      <c r="CV94" s="3">
        <v>15.13871</v>
      </c>
      <c r="CW94" s="3">
        <v>16.418997000000001</v>
      </c>
      <c r="CX94" s="3">
        <v>16.616299000000001</v>
      </c>
      <c r="CY94" s="3">
        <v>16.624647</v>
      </c>
      <c r="CZ94" s="3">
        <v>16.436712</v>
      </c>
      <c r="DA94" s="3">
        <v>16.616185999999999</v>
      </c>
      <c r="DB94" s="3">
        <v>16.592489</v>
      </c>
      <c r="DC94" s="3">
        <v>16.734103999999999</v>
      </c>
      <c r="DD94" s="3">
        <v>17.011990000000001</v>
      </c>
      <c r="DE94" s="3">
        <v>16.963633000000002</v>
      </c>
      <c r="DF94" s="3">
        <v>16.455317999999998</v>
      </c>
      <c r="DG94" s="3">
        <v>16.759542</v>
      </c>
      <c r="DH94" s="3">
        <v>17.035693999999999</v>
      </c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2026-03-05T19:32:11Z</dcterms:modified>
</cp:coreProperties>
</file>